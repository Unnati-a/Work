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U:\Work\Final_Exam_Files\Business Studies Exam\"/>
    </mc:Choice>
  </mc:AlternateContent>
  <xr:revisionPtr revIDLastSave="0" documentId="13_ncr:9_{A7F0A57A-AD42-4F79-938A-0EAD886081DA}" xr6:coauthVersionLast="47" xr6:coauthVersionMax="47" xr10:uidLastSave="{00000000-0000-0000-0000-000000000000}"/>
  <bookViews>
    <workbookView xWindow="-110" yWindow="-110" windowWidth="19420" windowHeight="10300" activeTab="2" xr2:uid="{615D7858-59CA-4FAB-8D99-D09F48F0601E}"/>
  </bookViews>
  <sheets>
    <sheet name="smart_meter_dataset" sheetId="1" r:id="rId1"/>
    <sheet name="Sheet1" sheetId="2" r:id="rId2"/>
    <sheet name="Dashboard" sheetId="4" r:id="rId3"/>
  </sheets>
  <definedNames>
    <definedName name="NativeTimeline_Date">#N/A</definedName>
    <definedName name="Slicer_Zone">#N/A</definedName>
  </definedNames>
  <calcPr calcId="0"/>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calcChain.xml><?xml version="1.0" encoding="utf-8"?>
<calcChain xmlns="http://schemas.openxmlformats.org/spreadsheetml/2006/main">
  <c r="U25" i="4" l="1"/>
  <c r="U20" i="4"/>
  <c r="D27" i="4"/>
  <c r="D20" i="4"/>
  <c r="B7" i="2"/>
  <c r="B6" i="2"/>
  <c r="B4" i="2"/>
  <c r="B3" i="2"/>
  <c r="B2" i="2"/>
  <c r="B1"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2" i="1"/>
</calcChain>
</file>

<file path=xl/sharedStrings.xml><?xml version="1.0" encoding="utf-8"?>
<sst xmlns="http://schemas.openxmlformats.org/spreadsheetml/2006/main" count="3667" uniqueCount="945">
  <si>
    <t>MeterID</t>
  </si>
  <si>
    <t>Zone</t>
  </si>
  <si>
    <t>ConsumerType</t>
  </si>
  <si>
    <t>Date</t>
  </si>
  <si>
    <t>EnergyConsumed_kWh</t>
  </si>
  <si>
    <t>PeakUsage_kWh</t>
  </si>
  <si>
    <t>OutageMinutes</t>
  </si>
  <si>
    <t>MeterStatus</t>
  </si>
  <si>
    <t>TariffRate</t>
  </si>
  <si>
    <t>M1000</t>
  </si>
  <si>
    <t>Central</t>
  </si>
  <si>
    <t>Commercial</t>
  </si>
  <si>
    <t>Faulty</t>
  </si>
  <si>
    <t>M1001</t>
  </si>
  <si>
    <t>North</t>
  </si>
  <si>
    <t>Residential</t>
  </si>
  <si>
    <t>M1002</t>
  </si>
  <si>
    <t>South</t>
  </si>
  <si>
    <t>Active</t>
  </si>
  <si>
    <t>M1003</t>
  </si>
  <si>
    <t>M1004</t>
  </si>
  <si>
    <t>M1005</t>
  </si>
  <si>
    <t>M1006</t>
  </si>
  <si>
    <t>M1007</t>
  </si>
  <si>
    <t>Industrial</t>
  </si>
  <si>
    <t>M1008</t>
  </si>
  <si>
    <t>M1009</t>
  </si>
  <si>
    <t>M1010</t>
  </si>
  <si>
    <t>M1011</t>
  </si>
  <si>
    <t>M1012</t>
  </si>
  <si>
    <t>M1013</t>
  </si>
  <si>
    <t>M1014</t>
  </si>
  <si>
    <t>M1015</t>
  </si>
  <si>
    <t>M1016</t>
  </si>
  <si>
    <t>M1017</t>
  </si>
  <si>
    <t>M1018</t>
  </si>
  <si>
    <t>M1019</t>
  </si>
  <si>
    <t>M1020</t>
  </si>
  <si>
    <t>M1021</t>
  </si>
  <si>
    <t>M1022</t>
  </si>
  <si>
    <t>M1023</t>
  </si>
  <si>
    <t>M1024</t>
  </si>
  <si>
    <t>M1025</t>
  </si>
  <si>
    <t>M1026</t>
  </si>
  <si>
    <t>M1027</t>
  </si>
  <si>
    <t>M1028</t>
  </si>
  <si>
    <t>M1029</t>
  </si>
  <si>
    <t>M1030</t>
  </si>
  <si>
    <t>M1031</t>
  </si>
  <si>
    <t>M1032</t>
  </si>
  <si>
    <t>M1033</t>
  </si>
  <si>
    <t>M1034</t>
  </si>
  <si>
    <t>M1035</t>
  </si>
  <si>
    <t>M1036</t>
  </si>
  <si>
    <t>M1037</t>
  </si>
  <si>
    <t>M1038</t>
  </si>
  <si>
    <t>M1039</t>
  </si>
  <si>
    <t>M1040</t>
  </si>
  <si>
    <t>M1041</t>
  </si>
  <si>
    <t>M1042</t>
  </si>
  <si>
    <t>M1043</t>
  </si>
  <si>
    <t>M1044</t>
  </si>
  <si>
    <t>M1045</t>
  </si>
  <si>
    <t>M1046</t>
  </si>
  <si>
    <t>M1047</t>
  </si>
  <si>
    <t>M1048</t>
  </si>
  <si>
    <t>M1049</t>
  </si>
  <si>
    <t>M1050</t>
  </si>
  <si>
    <t>M1051</t>
  </si>
  <si>
    <t>M1052</t>
  </si>
  <si>
    <t>M1053</t>
  </si>
  <si>
    <t>M1054</t>
  </si>
  <si>
    <t>M1055</t>
  </si>
  <si>
    <t>M1056</t>
  </si>
  <si>
    <t>M1057</t>
  </si>
  <si>
    <t>M1058</t>
  </si>
  <si>
    <t>M1059</t>
  </si>
  <si>
    <t>M1060</t>
  </si>
  <si>
    <t>M1061</t>
  </si>
  <si>
    <t>M1062</t>
  </si>
  <si>
    <t>M1063</t>
  </si>
  <si>
    <t>M1064</t>
  </si>
  <si>
    <t>M1065</t>
  </si>
  <si>
    <t>M1066</t>
  </si>
  <si>
    <t>M1067</t>
  </si>
  <si>
    <t>M1068</t>
  </si>
  <si>
    <t>M1069</t>
  </si>
  <si>
    <t>M1070</t>
  </si>
  <si>
    <t>M1071</t>
  </si>
  <si>
    <t>M1072</t>
  </si>
  <si>
    <t>M1073</t>
  </si>
  <si>
    <t>M1074</t>
  </si>
  <si>
    <t>M1075</t>
  </si>
  <si>
    <t>M1076</t>
  </si>
  <si>
    <t>M1077</t>
  </si>
  <si>
    <t>M1078</t>
  </si>
  <si>
    <t>M1079</t>
  </si>
  <si>
    <t>M1080</t>
  </si>
  <si>
    <t>M1081</t>
  </si>
  <si>
    <t>M1082</t>
  </si>
  <si>
    <t>M1083</t>
  </si>
  <si>
    <t>M1084</t>
  </si>
  <si>
    <t>M1085</t>
  </si>
  <si>
    <t>M1086</t>
  </si>
  <si>
    <t>M1087</t>
  </si>
  <si>
    <t>M1088</t>
  </si>
  <si>
    <t>M1089</t>
  </si>
  <si>
    <t>M1090</t>
  </si>
  <si>
    <t>M1091</t>
  </si>
  <si>
    <t>M1092</t>
  </si>
  <si>
    <t>M1093</t>
  </si>
  <si>
    <t>M1094</t>
  </si>
  <si>
    <t>M1095</t>
  </si>
  <si>
    <t>M1096</t>
  </si>
  <si>
    <t>M1097</t>
  </si>
  <si>
    <t>M1098</t>
  </si>
  <si>
    <t>M1099</t>
  </si>
  <si>
    <t>M1100</t>
  </si>
  <si>
    <t>M1101</t>
  </si>
  <si>
    <t>M1102</t>
  </si>
  <si>
    <t>M1103</t>
  </si>
  <si>
    <t>M1104</t>
  </si>
  <si>
    <t>M1105</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</si>
  <si>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</si>
  <si>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</si>
  <si>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</si>
  <si>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</si>
  <si>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</si>
  <si>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</si>
  <si>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</si>
  <si>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</si>
  <si>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</si>
  <si>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</si>
  <si>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</si>
  <si>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</si>
  <si>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</si>
  <si>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</si>
  <si>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</si>
  <si>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</si>
  <si>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</si>
  <si>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</si>
  <si>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</si>
  <si>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</si>
  <si>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</si>
  <si>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</si>
  <si>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</si>
  <si>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</si>
  <si>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</si>
  <si>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</si>
  <si>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</si>
  <si>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</si>
  <si>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</si>
  <si>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</si>
  <si>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M1136</t>
  </si>
  <si>
    <t>M1137</t>
  </si>
  <si>
    <t>M1138</t>
  </si>
  <si>
    <t>M1139</t>
  </si>
  <si>
    <t>M1140</t>
  </si>
  <si>
    <t>M1141</t>
  </si>
  <si>
    <t>M1142</t>
  </si>
  <si>
    <t>M1143</t>
  </si>
  <si>
    <t>M1144</t>
  </si>
  <si>
    <t>M1145</t>
  </si>
  <si>
    <t>M1146</t>
  </si>
  <si>
    <t>M1147</t>
  </si>
  <si>
    <t>M1148</t>
  </si>
  <si>
    <t>M1149</t>
  </si>
  <si>
    <t>M1150</t>
  </si>
  <si>
    <t>M1151</t>
  </si>
  <si>
    <t>M1152</t>
  </si>
  <si>
    <t>M1153</t>
  </si>
  <si>
    <t>M1154</t>
  </si>
  <si>
    <t>M1155</t>
  </si>
  <si>
    <t>M1156</t>
  </si>
  <si>
    <t>M1157</t>
  </si>
  <si>
    <t>M1158</t>
  </si>
  <si>
    <t>M1159</t>
  </si>
  <si>
    <t>M1160</t>
  </si>
  <si>
    <t>M1161</t>
  </si>
  <si>
    <t>M1162</t>
  </si>
  <si>
    <t>M1163</t>
  </si>
  <si>
    <t>M1164</t>
  </si>
  <si>
    <t>M1165</t>
  </si>
  <si>
    <t>M1166</t>
  </si>
  <si>
    <t>M1167</t>
  </si>
  <si>
    <t>M1168</t>
  </si>
  <si>
    <t>M1169</t>
  </si>
  <si>
    <t>M1170</t>
  </si>
  <si>
    <t>M1171</t>
  </si>
  <si>
    <t>M1172</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</si>
  <si>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</si>
  <si>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</si>
  <si>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</si>
  <si>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</si>
  <si>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</si>
  <si>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</si>
  <si>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</si>
  <si>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</si>
  <si>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</si>
  <si>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</si>
  <si>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</si>
  <si>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</si>
  <si>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</si>
  <si>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</si>
  <si>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</si>
  <si>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</si>
  <si>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</si>
  <si>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</si>
  <si>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</si>
  <si>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</si>
  <si>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</si>
  <si>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</si>
  <si>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M1195</t>
  </si>
  <si>
    <t>M1196</t>
  </si>
  <si>
    <t>M1197</t>
  </si>
  <si>
    <t>M1198</t>
  </si>
  <si>
    <t>M1199</t>
  </si>
  <si>
    <t>M1200</t>
  </si>
  <si>
    <t>M1201</t>
  </si>
  <si>
    <t>M1202</t>
  </si>
  <si>
    <t>M1203</t>
  </si>
  <si>
    <t>M1204</t>
  </si>
  <si>
    <t>M1205</t>
  </si>
  <si>
    <t>M1206</t>
  </si>
  <si>
    <t>M1207</t>
  </si>
  <si>
    <t>M1208</t>
  </si>
  <si>
    <t>M1209</t>
  </si>
  <si>
    <t>M1210</t>
  </si>
  <si>
    <t>M1211</t>
  </si>
  <si>
    <t>M1212</t>
  </si>
  <si>
    <t>M1213</t>
  </si>
  <si>
    <t>M1214</t>
  </si>
  <si>
    <t>M1215</t>
  </si>
  <si>
    <t>M1216</t>
  </si>
  <si>
    <t>M1217</t>
  </si>
  <si>
    <t>M1218</t>
  </si>
  <si>
    <t>M1219</t>
  </si>
  <si>
    <t>M1220</t>
  </si>
  <si>
    <t>M1221</t>
  </si>
  <si>
    <t>M1222</t>
  </si>
  <si>
    <t>M1223</t>
  </si>
  <si>
    <t>M1224</t>
  </si>
  <si>
    <t>M1225</t>
  </si>
  <si>
    <t>M1226</t>
  </si>
  <si>
    <t>M1227</t>
  </si>
  <si>
    <t>M1228</t>
  </si>
  <si>
    <t>M1229</t>
  </si>
  <si>
    <t>M1230</t>
  </si>
  <si>
    <t>M1231</t>
  </si>
  <si>
    <t>M1232</t>
  </si>
  <si>
    <t>M1233</t>
  </si>
  <si>
    <t>M1234</t>
  </si>
  <si>
    <t>M1235</t>
  </si>
  <si>
    <t>M1236</t>
  </si>
  <si>
    <t>M1237</t>
  </si>
  <si>
    <t>M1238</t>
  </si>
  <si>
    <t>M1239</t>
  </si>
  <si>
    <t>M1240</t>
  </si>
  <si>
    <t>M1241</t>
  </si>
  <si>
    <t>M1242</t>
  </si>
  <si>
    <t>M1243</t>
  </si>
  <si>
    <t>M1244</t>
  </si>
  <si>
    <t>M1245</t>
  </si>
  <si>
    <t>M1246</t>
  </si>
  <si>
    <t>M1247</t>
  </si>
  <si>
    <t>M1248</t>
  </si>
  <si>
    <t>M1249</t>
  </si>
  <si>
    <t>M1250</t>
  </si>
  <si>
    <t>M1251</t>
  </si>
  <si>
    <t>M1252</t>
  </si>
  <si>
    <t>M1253</t>
  </si>
  <si>
    <t>M1254</t>
  </si>
  <si>
    <t>M1255</t>
  </si>
  <si>
    <t>M1256</t>
  </si>
  <si>
    <t>M1257</t>
  </si>
  <si>
    <t>M1258</t>
  </si>
  <si>
    <t>M1259</t>
  </si>
  <si>
    <t>M1260</t>
  </si>
  <si>
    <t>M1261</t>
  </si>
  <si>
    <t>M1262</t>
  </si>
  <si>
    <t>M1263</t>
  </si>
  <si>
    <t>M1264</t>
  </si>
  <si>
    <t>M1265</t>
  </si>
  <si>
    <t>M1266</t>
  </si>
  <si>
    <t>M1267</t>
  </si>
  <si>
    <t>M1268</t>
  </si>
  <si>
    <t>M1269</t>
  </si>
  <si>
    <t>M1270</t>
  </si>
  <si>
    <t>M1271</t>
  </si>
  <si>
    <t>M1272</t>
  </si>
  <si>
    <t>M1273</t>
  </si>
  <si>
    <t>M1274</t>
  </si>
  <si>
    <t>M1275</t>
  </si>
  <si>
    <t>M1276</t>
  </si>
  <si>
    <t>M1277</t>
  </si>
  <si>
    <t>M1278</t>
  </si>
  <si>
    <t>M1279</t>
  </si>
  <si>
    <t>M1280</t>
  </si>
  <si>
    <t>M1281</t>
  </si>
  <si>
    <t>M1282</t>
  </si>
  <si>
    <t>M1283</t>
  </si>
  <si>
    <t>M1284</t>
  </si>
  <si>
    <t>M1285</t>
  </si>
  <si>
    <t>M1286</t>
  </si>
  <si>
    <t>M1287</t>
  </si>
  <si>
    <t>M1288</t>
  </si>
  <si>
    <t>M1289</t>
  </si>
  <si>
    <t>M1290</t>
  </si>
  <si>
    <t>M1291</t>
  </si>
  <si>
    <t>M1292</t>
  </si>
  <si>
    <t>M1293</t>
  </si>
  <si>
    <t>M1294</t>
  </si>
  <si>
    <t>M1295</t>
  </si>
  <si>
    <t>M1296</t>
  </si>
  <si>
    <t>M1297</t>
  </si>
  <si>
    <t>M1298</t>
  </si>
  <si>
    <t>M1299</t>
  </si>
  <si>
    <t>M1300</t>
  </si>
  <si>
    <t>M1301</t>
  </si>
  <si>
    <t>M1302</t>
  </si>
  <si>
    <t>M1303</t>
  </si>
  <si>
    <t>M1304</t>
  </si>
  <si>
    <t>M1305</t>
  </si>
  <si>
    <t>M1306</t>
  </si>
  <si>
    <t>M1307</t>
  </si>
  <si>
    <t>M1308</t>
  </si>
  <si>
    <t>M1309</t>
  </si>
  <si>
    <t>M1310</t>
  </si>
  <si>
    <t>M1311</t>
  </si>
  <si>
    <t>M1312</t>
  </si>
  <si>
    <t>M1313</t>
  </si>
  <si>
    <t>M1314</t>
  </si>
  <si>
    <t>M1315</t>
  </si>
  <si>
    <t>M1316</t>
  </si>
  <si>
    <t>M1317</t>
  </si>
  <si>
    <t>M1318</t>
  </si>
  <si>
    <t>M1319</t>
  </si>
  <si>
    <t>M1320</t>
  </si>
  <si>
    <t>M1321</t>
  </si>
  <si>
    <t>M1322</t>
  </si>
  <si>
    <t>M1323</t>
  </si>
  <si>
    <t>M1324</t>
  </si>
  <si>
    <t>M1325</t>
  </si>
  <si>
    <t>M1326</t>
  </si>
  <si>
    <t>M1327</t>
  </si>
  <si>
    <t>M1328</t>
  </si>
  <si>
    <t>M1329</t>
  </si>
  <si>
    <t>M1330</t>
  </si>
  <si>
    <t>M1331</t>
  </si>
  <si>
    <t>M1332</t>
  </si>
  <si>
    <t>M1333</t>
  </si>
  <si>
    <t>M1334</t>
  </si>
  <si>
    <t>M1335</t>
  </si>
  <si>
    <t>M1336</t>
  </si>
  <si>
    <t>M1337</t>
  </si>
  <si>
    <t>M1338</t>
  </si>
  <si>
    <t>M1339</t>
  </si>
  <si>
    <t>M1340</t>
  </si>
  <si>
    <t>M1341</t>
  </si>
  <si>
    <t>M1342</t>
  </si>
  <si>
    <t>M1343</t>
  </si>
  <si>
    <t>M1344</t>
  </si>
  <si>
    <t>M1345</t>
  </si>
  <si>
    <t>M1346</t>
  </si>
  <si>
    <t>M1347</t>
  </si>
  <si>
    <t>M1348</t>
  </si>
  <si>
    <t>M1349</t>
  </si>
  <si>
    <t>M1350</t>
  </si>
  <si>
    <t>M1351</t>
  </si>
  <si>
    <t>M1352</t>
  </si>
  <si>
    <t>M1353</t>
  </si>
  <si>
    <t>M1354</t>
  </si>
  <si>
    <t>M1355</t>
  </si>
  <si>
    <t>M1356</t>
  </si>
  <si>
    <t>M1357</t>
  </si>
  <si>
    <t>M1358</t>
  </si>
  <si>
    <t>M1359</t>
  </si>
  <si>
    <t>M1360</t>
  </si>
  <si>
    <t>M1361</t>
  </si>
  <si>
    <t>M1362</t>
  </si>
  <si>
    <t>M1363</t>
  </si>
  <si>
    <t>M1364</t>
  </si>
  <si>
    <t>M1365</t>
  </si>
  <si>
    <t>M1366</t>
  </si>
  <si>
    <t>M1367</t>
  </si>
  <si>
    <t>M1368</t>
  </si>
  <si>
    <t>M1369</t>
  </si>
  <si>
    <t>M1370</t>
  </si>
  <si>
    <t>M1371</t>
  </si>
  <si>
    <t>M1372</t>
  </si>
  <si>
    <t>M1373</t>
  </si>
  <si>
    <t>M1374</t>
  </si>
  <si>
    <t>M1375</t>
  </si>
  <si>
    <t>M1376</t>
  </si>
  <si>
    <t>M1377</t>
  </si>
  <si>
    <t>M1378</t>
  </si>
  <si>
    <t>M1379</t>
  </si>
  <si>
    <t>M1380</t>
  </si>
  <si>
    <t>M1381</t>
  </si>
  <si>
    <t>M1382</t>
  </si>
  <si>
    <t>M1383</t>
  </si>
  <si>
    <t>M1384</t>
  </si>
  <si>
    <t>M1385</t>
  </si>
  <si>
    <t>M1386</t>
  </si>
  <si>
    <t>M1387</t>
  </si>
  <si>
    <t>M1388</t>
  </si>
  <si>
    <t>M1389</t>
  </si>
  <si>
    <t>M1390</t>
  </si>
  <si>
    <t>M1391</t>
  </si>
  <si>
    <t>M1392</t>
  </si>
  <si>
    <t>M1393</t>
  </si>
  <si>
    <t>M1394</t>
  </si>
  <si>
    <t>M1395</t>
  </si>
  <si>
    <t>M1396</t>
  </si>
  <si>
    <t>M1397</t>
  </si>
  <si>
    <t>M1398</t>
  </si>
  <si>
    <t>M1399</t>
  </si>
  <si>
    <t>M1400</t>
  </si>
  <si>
    <t>M1401</t>
  </si>
  <si>
    <t>M1402</t>
  </si>
  <si>
    <t>M1403</t>
  </si>
  <si>
    <t>M1404</t>
  </si>
  <si>
    <t>M1405</t>
  </si>
  <si>
    <t>M1406</t>
  </si>
  <si>
    <t>M1407</t>
  </si>
  <si>
    <t>M1408</t>
  </si>
  <si>
    <t>M1409</t>
  </si>
  <si>
    <t>M1410</t>
  </si>
  <si>
    <t>M1411</t>
  </si>
  <si>
    <t>M1412</t>
  </si>
  <si>
    <t>M1413</t>
  </si>
  <si>
    <t>M1414</t>
  </si>
  <si>
    <t>M1415</t>
  </si>
  <si>
    <t>M1416</t>
  </si>
  <si>
    <t>M1417</t>
  </si>
  <si>
    <t>M1418</t>
  </si>
  <si>
    <t>M1419</t>
  </si>
  <si>
    <t>M1420</t>
  </si>
  <si>
    <t>M1421</t>
  </si>
  <si>
    <t>M1422</t>
  </si>
  <si>
    <t>M1423</t>
  </si>
  <si>
    <t>M1424</t>
  </si>
  <si>
    <t>M1425</t>
  </si>
  <si>
    <t>M1426</t>
  </si>
  <si>
    <t>M1427</t>
  </si>
  <si>
    <t>M1428</t>
  </si>
  <si>
    <t>M1429</t>
  </si>
  <si>
    <t>M1430</t>
  </si>
  <si>
    <t>M1431</t>
  </si>
  <si>
    <t>M1432</t>
  </si>
  <si>
    <t>M1433</t>
  </si>
  <si>
    <t>M1434</t>
  </si>
  <si>
    <t>M1435</t>
  </si>
  <si>
    <t>M1436</t>
  </si>
  <si>
    <t>M1437</t>
  </si>
  <si>
    <t>M1438</t>
  </si>
  <si>
    <t>M1439</t>
  </si>
  <si>
    <t>M1440</t>
  </si>
  <si>
    <t>M1441</t>
  </si>
  <si>
    <t>M1442</t>
  </si>
  <si>
    <t>M1443</t>
  </si>
  <si>
    <t>M1444</t>
  </si>
  <si>
    <t>M1445</t>
  </si>
  <si>
    <t>M1446</t>
  </si>
  <si>
    <t>M1447</t>
  </si>
  <si>
    <t>M1448</t>
  </si>
  <si>
    <t>M1449</t>
  </si>
  <si>
    <t>M1450</t>
  </si>
  <si>
    <t>M1451</t>
  </si>
  <si>
    <t>M1452</t>
  </si>
  <si>
    <t>M1453</t>
  </si>
  <si>
    <t>M1454</t>
  </si>
  <si>
    <t>M1455</t>
  </si>
  <si>
    <t>M1456</t>
  </si>
  <si>
    <t>M1457</t>
  </si>
  <si>
    <t>M1458</t>
  </si>
  <si>
    <t>M1459</t>
  </si>
  <si>
    <t>M1460</t>
  </si>
  <si>
    <t>M1461</t>
  </si>
  <si>
    <t>M1462</t>
  </si>
  <si>
    <t>M1463</t>
  </si>
  <si>
    <t>M1464</t>
  </si>
  <si>
    <t>M1465</t>
  </si>
  <si>
    <t>M1466</t>
  </si>
  <si>
    <t>M1467</t>
  </si>
  <si>
    <t>M1468</t>
  </si>
  <si>
    <t>M1469</t>
  </si>
  <si>
    <t>M1470</t>
  </si>
  <si>
    <t>M1471</t>
  </si>
  <si>
    <t>M1472</t>
  </si>
  <si>
    <t>M1473</t>
  </si>
  <si>
    <t>M1474</t>
  </si>
  <si>
    <t>M1475</t>
  </si>
  <si>
    <t>M1476</t>
  </si>
  <si>
    <t>M1477</t>
  </si>
  <si>
    <t>M1478</t>
  </si>
  <si>
    <t>M1479</t>
  </si>
  <si>
    <t>M1480</t>
  </si>
  <si>
    <t>M1481</t>
  </si>
  <si>
    <t>M1482</t>
  </si>
  <si>
    <t>M1483</t>
  </si>
  <si>
    <t>M1484</t>
  </si>
  <si>
    <t>M1485</t>
  </si>
  <si>
    <t>M1486</t>
  </si>
  <si>
    <t>M1487</t>
  </si>
  <si>
    <t>M1488</t>
  </si>
  <si>
    <t>M1489</t>
  </si>
  <si>
    <t>M1490</t>
  </si>
  <si>
    <t>M1491</t>
  </si>
  <si>
    <t>M1492</t>
  </si>
  <si>
    <t>M1493</t>
  </si>
  <si>
    <t>M1494</t>
  </si>
  <si>
    <t>M1495</t>
  </si>
  <si>
    <t>M1496</t>
  </si>
  <si>
    <t>M1497</t>
  </si>
  <si>
    <t>M1498</t>
  </si>
  <si>
    <t>M1499</t>
  </si>
  <si>
    <t>M1500</t>
  </si>
  <si>
    <t>M1501</t>
  </si>
  <si>
    <t>M1502</t>
  </si>
  <si>
    <t>M1503</t>
  </si>
  <si>
    <t>M1504</t>
  </si>
  <si>
    <t>M1505</t>
  </si>
  <si>
    <t>M1506</t>
  </si>
  <si>
    <t>M1507</t>
  </si>
  <si>
    <t>M1508</t>
  </si>
  <si>
    <t>M1509</t>
  </si>
  <si>
    <t>M1510</t>
  </si>
  <si>
    <t>M1511</t>
  </si>
  <si>
    <t>M1512</t>
  </si>
  <si>
    <t>M1513</t>
  </si>
  <si>
    <t>M1514</t>
  </si>
  <si>
    <t>M1515</t>
  </si>
  <si>
    <t>M1516</t>
  </si>
  <si>
    <t>M1517</t>
  </si>
  <si>
    <t>M1518</t>
  </si>
  <si>
    <t>M1519</t>
  </si>
  <si>
    <t>M1520</t>
  </si>
  <si>
    <t>M1521</t>
  </si>
  <si>
    <t>M1522</t>
  </si>
  <si>
    <t>M1523</t>
  </si>
  <si>
    <t>M1524</t>
  </si>
  <si>
    <t>M1525</t>
  </si>
  <si>
    <t>M1526</t>
  </si>
  <si>
    <t>M1527</t>
  </si>
  <si>
    <t>M1528</t>
  </si>
  <si>
    <t>M1529</t>
  </si>
  <si>
    <t>M1530</t>
  </si>
  <si>
    <t>M1531</t>
  </si>
  <si>
    <t>M1532</t>
  </si>
  <si>
    <t>M1533</t>
  </si>
  <si>
    <t>M1534</t>
  </si>
  <si>
    <t>M1535</t>
  </si>
  <si>
    <t>M1536</t>
  </si>
  <si>
    <t>M1537</t>
  </si>
  <si>
    <t>M1538</t>
  </si>
  <si>
    <t>M1539</t>
  </si>
  <si>
    <t>M1540</t>
  </si>
  <si>
    <t>M1541</t>
  </si>
  <si>
    <t>M1542</t>
  </si>
  <si>
    <t>M1543</t>
  </si>
  <si>
    <t>M1544</t>
  </si>
  <si>
    <t>M1545</t>
  </si>
  <si>
    <t>M1546</t>
  </si>
  <si>
    <t>M1547</t>
  </si>
  <si>
    <t>M1548</t>
  </si>
  <si>
    <t>M1549</t>
  </si>
  <si>
    <t>M1550</t>
  </si>
  <si>
    <t>M1551</t>
  </si>
  <si>
    <t>M1552</t>
  </si>
  <si>
    <t>M1553</t>
  </si>
  <si>
    <t>M1554</t>
  </si>
  <si>
    <t>M1555</t>
  </si>
  <si>
    <t>M1556</t>
  </si>
  <si>
    <t>M1557</t>
  </si>
  <si>
    <t>M1558</t>
  </si>
  <si>
    <t>M1559</t>
  </si>
  <si>
    <t>M1560</t>
  </si>
  <si>
    <t>M1561</t>
  </si>
  <si>
    <t>M1562</t>
  </si>
  <si>
    <t>M1563</t>
  </si>
  <si>
    <t>M1564</t>
  </si>
  <si>
    <t>M1565</t>
  </si>
  <si>
    <t>M1566</t>
  </si>
  <si>
    <t>M1567</t>
  </si>
  <si>
    <t>M1568</t>
  </si>
  <si>
    <t>M1569</t>
  </si>
  <si>
    <t>M1570</t>
  </si>
  <si>
    <t>M1571</t>
  </si>
  <si>
    <t>M1572</t>
  </si>
  <si>
    <t>M1573</t>
  </si>
  <si>
    <t>M1574</t>
  </si>
  <si>
    <t>M1575</t>
  </si>
  <si>
    <t>M1576</t>
  </si>
  <si>
    <t>M1577</t>
  </si>
  <si>
    <t>M1578</t>
  </si>
  <si>
    <t>M1579</t>
  </si>
  <si>
    <t>M1580</t>
  </si>
  <si>
    <t>M1581</t>
  </si>
  <si>
    <t>M1582</t>
  </si>
  <si>
    <t>M1583</t>
  </si>
  <si>
    <t>M1584</t>
  </si>
  <si>
    <t>M1585</t>
  </si>
  <si>
    <t>M1586</t>
  </si>
  <si>
    <t>M1587</t>
  </si>
  <si>
    <t>M1588</t>
  </si>
  <si>
    <t>M1589</t>
  </si>
  <si>
    <t>M1590</t>
  </si>
  <si>
    <t>M1591</t>
  </si>
  <si>
    <t>M1592</t>
  </si>
  <si>
    <t>M1593</t>
  </si>
  <si>
    <t>M1594</t>
  </si>
  <si>
    <t>M1595</t>
  </si>
  <si>
    <t>M1596</t>
  </si>
  <si>
    <t>M1597</t>
  </si>
  <si>
    <t>M1598</t>
  </si>
  <si>
    <t>M1599</t>
  </si>
  <si>
    <t>M1600</t>
  </si>
  <si>
    <t>M1601</t>
  </si>
  <si>
    <t>M1602</t>
  </si>
  <si>
    <t>M1603</t>
  </si>
  <si>
    <t>M1604</t>
  </si>
  <si>
    <t>M1605</t>
  </si>
  <si>
    <t>M1606</t>
  </si>
  <si>
    <t>M1607</t>
  </si>
  <si>
    <t>M1608</t>
  </si>
  <si>
    <t>M1609</t>
  </si>
  <si>
    <t>M1610</t>
  </si>
  <si>
    <t>M1611</t>
  </si>
  <si>
    <t>M1612</t>
  </si>
  <si>
    <t>M1613</t>
  </si>
  <si>
    <t>M1614</t>
  </si>
  <si>
    <t>M1615</t>
  </si>
  <si>
    <t>M1616</t>
  </si>
  <si>
    <t>M1617</t>
  </si>
  <si>
    <t>M1618</t>
  </si>
  <si>
    <t>M1619</t>
  </si>
  <si>
    <t>M1620</t>
  </si>
  <si>
    <t>M1621</t>
  </si>
  <si>
    <t>M1622</t>
  </si>
  <si>
    <t>M1623</t>
  </si>
  <si>
    <t>M1624</t>
  </si>
  <si>
    <t>M1625</t>
  </si>
  <si>
    <t>M1626</t>
  </si>
  <si>
    <t>M1627</t>
  </si>
  <si>
    <t>M1628</t>
  </si>
  <si>
    <t>M1629</t>
  </si>
  <si>
    <t>M1630</t>
  </si>
  <si>
    <t>M1631</t>
  </si>
  <si>
    <t>M1632</t>
  </si>
  <si>
    <t>M1633</t>
  </si>
  <si>
    <t>M1634</t>
  </si>
  <si>
    <t>M1635</t>
  </si>
  <si>
    <t>M1636</t>
  </si>
  <si>
    <t>M1637</t>
  </si>
  <si>
    <t>M1638</t>
  </si>
  <si>
    <t>M1639</t>
  </si>
  <si>
    <t>M1640</t>
  </si>
  <si>
    <t>M1641</t>
  </si>
  <si>
    <t>M1642</t>
  </si>
  <si>
    <t>M1643</t>
  </si>
  <si>
    <t>M1644</t>
  </si>
  <si>
    <t>M1645</t>
  </si>
  <si>
    <t>M1646</t>
  </si>
  <si>
    <t>M1647</t>
  </si>
  <si>
    <t>M1648</t>
  </si>
  <si>
    <t>M1649</t>
  </si>
  <si>
    <t>M1650</t>
  </si>
  <si>
    <t>M1651</t>
  </si>
  <si>
    <t>M1652</t>
  </si>
  <si>
    <t>M1653</t>
  </si>
  <si>
    <t>M1654</t>
  </si>
  <si>
    <t>M1655</t>
  </si>
  <si>
    <t>M1656</t>
  </si>
  <si>
    <t>M1657</t>
  </si>
  <si>
    <t>M1658</t>
  </si>
  <si>
    <t>M1659</t>
  </si>
  <si>
    <t>M1660</t>
  </si>
  <si>
    <t>M1661</t>
  </si>
  <si>
    <t>M1662</t>
  </si>
  <si>
    <t>M1663</t>
  </si>
  <si>
    <t>M1664</t>
  </si>
  <si>
    <t>M1665</t>
  </si>
  <si>
    <t>M1666</t>
  </si>
  <si>
    <t>M1667</t>
  </si>
  <si>
    <t>M1668</t>
  </si>
  <si>
    <t>M1669</t>
  </si>
  <si>
    <t>M1670</t>
  </si>
  <si>
    <t>M1671</t>
  </si>
  <si>
    <t>M1672</t>
  </si>
  <si>
    <t>M1673</t>
  </si>
  <si>
    <t>M1674</t>
  </si>
  <si>
    <t>M1675</t>
  </si>
  <si>
    <t>M1676</t>
  </si>
  <si>
    <t>M1677</t>
  </si>
  <si>
    <t>M1678</t>
  </si>
  <si>
    <t>M1679</t>
  </si>
  <si>
    <t>M1680</t>
  </si>
  <si>
    <t>M1681</t>
  </si>
  <si>
    <t>M1682</t>
  </si>
  <si>
    <t>M1683</t>
  </si>
  <si>
    <t>M1684</t>
  </si>
  <si>
    <t>M1685</t>
  </si>
  <si>
    <t>M1686</t>
  </si>
  <si>
    <t>M1687</t>
  </si>
  <si>
    <t>M1688</t>
  </si>
  <si>
    <t>M1689</t>
  </si>
  <si>
    <t>M1690</t>
  </si>
  <si>
    <t>M1691</t>
  </si>
  <si>
    <t>M1692</t>
  </si>
  <si>
    <t>M1693</t>
  </si>
  <si>
    <t>M1694</t>
  </si>
  <si>
    <t>M1695</t>
  </si>
  <si>
    <t>M1696</t>
  </si>
  <si>
    <t>M1697</t>
  </si>
  <si>
    <t>M1698</t>
  </si>
  <si>
    <t>M1699</t>
  </si>
  <si>
    <t>M1700</t>
  </si>
  <si>
    <t>M1701</t>
  </si>
  <si>
    <t>M1702</t>
  </si>
  <si>
    <t>M1703</t>
  </si>
  <si>
    <t>M1704</t>
  </si>
  <si>
    <t>M1705</t>
  </si>
  <si>
    <t>M1706</t>
  </si>
  <si>
    <t>M1707</t>
  </si>
  <si>
    <t>M1708</t>
  </si>
  <si>
    <t>M1709</t>
  </si>
  <si>
    <t>M1710</t>
  </si>
  <si>
    <t>M1711</t>
  </si>
  <si>
    <t>M1712</t>
  </si>
  <si>
    <t>M1713</t>
  </si>
  <si>
    <t>M1714</t>
  </si>
  <si>
    <t>M1715</t>
  </si>
  <si>
    <t>M1716</t>
  </si>
  <si>
    <t>M1717</t>
  </si>
  <si>
    <t>M1718</t>
  </si>
  <si>
    <t>M1719</t>
  </si>
  <si>
    <t>M1720</t>
  </si>
  <si>
    <t>M1721</t>
  </si>
  <si>
    <t>M1722</t>
  </si>
  <si>
    <t>M1723</t>
  </si>
  <si>
    <t>M1724</t>
  </si>
  <si>
    <t>M1725</t>
  </si>
  <si>
    <t>M1726</t>
  </si>
  <si>
    <t>M1727</t>
  </si>
  <si>
    <t>M1728</t>
  </si>
  <si>
    <t>M1729</t>
  </si>
  <si>
    <t>M1730</t>
  </si>
  <si>
    <t>M1731</t>
  </si>
  <si>
    <t>M1732</t>
  </si>
  <si>
    <t>M1733</t>
  </si>
  <si>
    <t>M1734</t>
  </si>
  <si>
    <t>M1735</t>
  </si>
  <si>
    <t>M1736</t>
  </si>
  <si>
    <t>M1737</t>
  </si>
  <si>
    <t>M1738</t>
  </si>
  <si>
    <t>M1739</t>
  </si>
  <si>
    <t>M1740</t>
  </si>
  <si>
    <t>M1741</t>
  </si>
  <si>
    <t>M1742</t>
  </si>
  <si>
    <t>M1743</t>
  </si>
  <si>
    <t>M1744</t>
  </si>
  <si>
    <t>M1745</t>
  </si>
  <si>
    <t>M1746</t>
  </si>
  <si>
    <t>M1747</t>
  </si>
  <si>
    <t>M1748</t>
  </si>
  <si>
    <t>M1749</t>
  </si>
  <si>
    <t>M1750</t>
  </si>
  <si>
    <t>M1751</t>
  </si>
  <si>
    <t>M1752</t>
  </si>
  <si>
    <t>M1753</t>
  </si>
  <si>
    <t>M1754</t>
  </si>
  <si>
    <t>M1755</t>
  </si>
  <si>
    <t>M1756</t>
  </si>
  <si>
    <t>M1757</t>
  </si>
  <si>
    <t>M1758</t>
  </si>
  <si>
    <t>M1759</t>
  </si>
  <si>
    <t>M1760</t>
  </si>
  <si>
    <t>M1761</t>
  </si>
  <si>
    <t>M1762</t>
  </si>
  <si>
    <t>M1763</t>
  </si>
  <si>
    <t>M1764</t>
  </si>
  <si>
    <t>M1765</t>
  </si>
  <si>
    <t>M1766</t>
  </si>
  <si>
    <t>M1767</t>
  </si>
  <si>
    <t>M1768</t>
  </si>
  <si>
    <t>M1769</t>
  </si>
  <si>
    <t>M1770</t>
  </si>
  <si>
    <t>M1771</t>
  </si>
  <si>
    <t>M1772</t>
  </si>
  <si>
    <t>M1773</t>
  </si>
  <si>
    <t>M1774</t>
  </si>
  <si>
    <t>M1775</t>
  </si>
  <si>
    <t>M1776</t>
  </si>
  <si>
    <t>M1777</t>
  </si>
  <si>
    <t>M1778</t>
  </si>
  <si>
    <t>M1779</t>
  </si>
  <si>
    <t>M1780</t>
  </si>
  <si>
    <t>M1781</t>
  </si>
  <si>
    <t>M1782</t>
  </si>
  <si>
    <t>M1783</t>
  </si>
  <si>
    <t>M1784</t>
  </si>
  <si>
    <t>M1785</t>
  </si>
  <si>
    <t>M1786</t>
  </si>
  <si>
    <t>M1787</t>
  </si>
  <si>
    <t>M1788</t>
  </si>
  <si>
    <t>M1789</t>
  </si>
  <si>
    <t>M1790</t>
  </si>
  <si>
    <t>M1791</t>
  </si>
  <si>
    <t>M1792</t>
  </si>
  <si>
    <t>M1793</t>
  </si>
  <si>
    <t>M1794</t>
  </si>
  <si>
    <t>M1795</t>
  </si>
  <si>
    <t>M1796</t>
  </si>
  <si>
    <t>M1797</t>
  </si>
  <si>
    <t>M1798</t>
  </si>
  <si>
    <t>M1799</t>
  </si>
  <si>
    <t>M1800</t>
  </si>
  <si>
    <t>M1801</t>
  </si>
  <si>
    <t>M1802</t>
  </si>
  <si>
    <t>M1803</t>
  </si>
  <si>
    <t>M1804</t>
  </si>
  <si>
    <t>M1805</t>
  </si>
  <si>
    <t>M1806</t>
  </si>
  <si>
    <t>M1807</t>
  </si>
  <si>
    <t>M1808</t>
  </si>
  <si>
    <t>M1809</t>
  </si>
  <si>
    <t>M1810</t>
  </si>
  <si>
    <t>M1811</t>
  </si>
  <si>
    <t>M1812</t>
  </si>
  <si>
    <t>M1813</t>
  </si>
  <si>
    <t>M1814</t>
  </si>
  <si>
    <t>M1815</t>
  </si>
  <si>
    <t>M1816</t>
  </si>
  <si>
    <t>M1817</t>
  </si>
  <si>
    <t>M1818</t>
  </si>
  <si>
    <t>M1819</t>
  </si>
  <si>
    <t>M1820</t>
  </si>
  <si>
    <t>M1821</t>
  </si>
  <si>
    <t>M1822</t>
  </si>
  <si>
    <t>M1823</t>
  </si>
  <si>
    <t>M1824</t>
  </si>
  <si>
    <t>M1825</t>
  </si>
  <si>
    <t>M1826</t>
  </si>
  <si>
    <t>M1827</t>
  </si>
  <si>
    <t>M1828</t>
  </si>
  <si>
    <t>M1829</t>
  </si>
  <si>
    <t>M1830</t>
  </si>
  <si>
    <t>M1831</t>
  </si>
  <si>
    <t>M1832</t>
  </si>
  <si>
    <t>M1833</t>
  </si>
  <si>
    <t>M1834</t>
  </si>
  <si>
    <t>M1835</t>
  </si>
  <si>
    <t>M1836</t>
  </si>
  <si>
    <t>M1837</t>
  </si>
  <si>
    <t>M1838</t>
  </si>
  <si>
    <t>M1839</t>
  </si>
  <si>
    <t>M1840</t>
  </si>
  <si>
    <t>M1841</t>
  </si>
  <si>
    <t>M1842</t>
  </si>
  <si>
    <t>M1843</t>
  </si>
  <si>
    <t>M1844</t>
  </si>
  <si>
    <t>M1845</t>
  </si>
  <si>
    <t>M1846</t>
  </si>
  <si>
    <t>M1847</t>
  </si>
  <si>
    <t>M1848</t>
  </si>
  <si>
    <t>M1849</t>
  </si>
  <si>
    <t>M1850</t>
  </si>
  <si>
    <t>M1851</t>
  </si>
  <si>
    <t>M1852</t>
  </si>
  <si>
    <t>M1853</t>
  </si>
  <si>
    <t>M1854</t>
  </si>
  <si>
    <t>M1855</t>
  </si>
  <si>
    <t>M1856</t>
  </si>
  <si>
    <t>M1857</t>
  </si>
  <si>
    <t>M1858</t>
  </si>
  <si>
    <t>M1859</t>
  </si>
  <si>
    <t>M1860</t>
  </si>
  <si>
    <t>M1861</t>
  </si>
  <si>
    <t>M1862</t>
  </si>
  <si>
    <t>M1863</t>
  </si>
  <si>
    <t>M1864</t>
  </si>
  <si>
    <t>M1865</t>
  </si>
  <si>
    <t>M1866</t>
  </si>
  <si>
    <t>M1867</t>
  </si>
  <si>
    <t>M1868</t>
  </si>
  <si>
    <t>M1869</t>
  </si>
  <si>
    <t>M1870</t>
  </si>
  <si>
    <t>M1871</t>
  </si>
  <si>
    <t>M1872</t>
  </si>
  <si>
    <t>M1873</t>
  </si>
  <si>
    <t>M1874</t>
  </si>
  <si>
    <t>M1875</t>
  </si>
  <si>
    <t>M1876</t>
  </si>
  <si>
    <t>M1877</t>
  </si>
  <si>
    <t>M1878</t>
  </si>
  <si>
    <t>M1879</t>
  </si>
  <si>
    <t>M1880</t>
  </si>
  <si>
    <t>M1881</t>
  </si>
  <si>
    <t>M1882</t>
  </si>
  <si>
    <t>M1883</t>
  </si>
  <si>
    <t>M1884</t>
  </si>
  <si>
    <t>M1885</t>
  </si>
  <si>
    <t>M1886</t>
  </si>
  <si>
    <t>M1887</t>
  </si>
  <si>
    <t>M1888</t>
  </si>
  <si>
    <t>M1889</t>
  </si>
  <si>
    <t>M1890</t>
  </si>
  <si>
    <t>M1891</t>
  </si>
  <si>
    <t>M1892</t>
  </si>
  <si>
    <t>M1893</t>
  </si>
  <si>
    <t>M1894</t>
  </si>
  <si>
    <t>M1895</t>
  </si>
  <si>
    <t>M1896</t>
  </si>
  <si>
    <t>M1897</t>
  </si>
  <si>
    <t>M1898</t>
  </si>
  <si>
    <t>M1899</t>
  </si>
  <si>
    <t>Month</t>
  </si>
  <si>
    <t>Year</t>
  </si>
  <si>
    <t>Cost</t>
  </si>
  <si>
    <t>Day Type</t>
  </si>
  <si>
    <t>Total Energy</t>
  </si>
  <si>
    <t>Average energy</t>
  </si>
  <si>
    <t>Total Revenue</t>
  </si>
  <si>
    <t>Total Outage</t>
  </si>
  <si>
    <t>Pivot 1: Energy by Zone</t>
  </si>
  <si>
    <t>Row Labels</t>
  </si>
  <si>
    <t>Grand Total</t>
  </si>
  <si>
    <t>Sum of EnergyConsumed_kWh</t>
  </si>
  <si>
    <t>Pivot 2: Monthly Trend</t>
  </si>
  <si>
    <t>Jan</t>
  </si>
  <si>
    <t>Feb</t>
  </si>
  <si>
    <t>Mar</t>
  </si>
  <si>
    <t>Apr</t>
  </si>
  <si>
    <t>May</t>
  </si>
  <si>
    <t>Count of MeterStatus</t>
  </si>
  <si>
    <t>Pivot 3: Meter Status Distribution</t>
  </si>
  <si>
    <t>Pivot 4: Outage Analysis</t>
  </si>
  <si>
    <t>Sum of OutageMinutes</t>
  </si>
  <si>
    <t>Column Labels</t>
  </si>
  <si>
    <t>DASHBOARD</t>
  </si>
  <si>
    <t>Pivot 5</t>
  </si>
  <si>
    <t>Sum of Cost</t>
  </si>
  <si>
    <t>Total Energy Consumption</t>
  </si>
  <si>
    <t>Average Energy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</si>
</sst>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4"/>
      <name val="Calibri"/>
      <family val="2"/>
      <scheme val="minor"/>
    </font>
    <font>
      <sz val="22"/>
      <color theme="0"/>
      <name val="Calibri"/>
      <family val="2"/>
      <scheme val="minor"/>
    </font>
    <font>
      <sz val="1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2"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33" borderId="0" xfId="0" applyFill="1"/>
    <xf numFmtId="0" fontId="18" fillId="33" borderId="0" xfId="0" applyFont="1" applyFill="1" applyAlignment="1">
      <alignment horizontal="center"/>
    </xf>
    <xf numFmtId="0" fontId="19" fillId="34" borderId="10" xfId="0" applyFont="1" applyFill="1" applyBorder="1" applyAlignment="1">
      <alignment horizontal="center" vertical="center" wrapText="1"/>
    </xf>
    <xf numFmtId="0" fontId="17" fillId="34" borderId="10" xfId="0" applyFont="1" applyFill="1" applyBorder="1" applyAlignment="1">
      <alignment horizontal="center" vertical="center" wrapText="1"/>
    </xf>
    <xf numFmtId="0" fontId="20" fillId="34" borderId="10" xfId="0" applyFont="1" applyFill="1" applyBorder="1" applyAlignment="1">
      <alignment horizontal="center" vertical="center"/>
    </xf>
    <xf numFmtId="0" fontId="19" fillId="34" borderId="10" xfId="0" applyFont="1" applyFill="1" applyBorder="1" applyAlignment="1">
      <alignment horizontal="center" vertical="center"/>
    </xf>
    <xf numFmtId="0" fontId="0" fillId="34" borderId="10"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Sheet1!$F$2:$F$5</c:f>
              <c:strCache>
                <c:ptCount val="3"/>
                <c:pt idx="0">
                  <c:v>Central</c:v>
                </c:pt>
                <c:pt idx="1">
                  <c:v>North</c:v>
                </c:pt>
                <c:pt idx="2">
                  <c:v>South</c:v>
                </c:pt>
              </c:strCache>
            </c:strRef>
          </c:cat>
          <c:val>
            <c:numRef>
              <c:f>Sheet1!$G$2:$G$5</c:f>
              <c:numCache>
                <c:formatCode>General</c:formatCode>
                <c:ptCount val="3"/>
                <c:pt idx="0">
                  <c:v>14146.320000000003</c:v>
                </c:pt>
                <c:pt idx="1">
                  <c:v>17878.289999999997</c:v>
                </c:pt>
                <c:pt idx="2">
                  <c:v>16565.150000000001</c:v>
                </c:pt>
              </c:numCache>
            </c:numRef>
          </c:val>
          <c:extLst>
            <c:ext xmlns:c16="http://schemas.microsoft.com/office/drawing/2014/chart" uri="{C3380CC4-5D6E-409C-BE32-E72D297353CC}">
              <c16:uniqueId val="{00000000-B60F-439F-9B58-BBAEAB6C0B3A}"/>
            </c:ext>
          </c:extLst>
        </c:ser>
        <c:dLbls>
          <c:showLegendKey val="0"/>
          <c:showVal val="0"/>
          <c:showCatName val="0"/>
          <c:showSerName val="0"/>
          <c:showPercent val="0"/>
          <c:showBubbleSize val="0"/>
        </c:dLbls>
        <c:gapWidth val="315"/>
        <c:overlap val="-40"/>
        <c:axId val="1363975311"/>
        <c:axId val="1363976271"/>
      </c:barChart>
      <c:catAx>
        <c:axId val="1363975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3976271"/>
        <c:crosses val="autoZero"/>
        <c:auto val="1"/>
        <c:lblAlgn val="ctr"/>
        <c:lblOffset val="100"/>
        <c:noMultiLvlLbl val="0"/>
      </c:catAx>
      <c:valAx>
        <c:axId val="1363976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397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Sheet1!$F$20:$F$25</c:f>
              <c:strCache>
                <c:ptCount val="5"/>
                <c:pt idx="0">
                  <c:v>Jan</c:v>
                </c:pt>
                <c:pt idx="1">
                  <c:v>Feb</c:v>
                </c:pt>
                <c:pt idx="2">
                  <c:v>Mar</c:v>
                </c:pt>
                <c:pt idx="3">
                  <c:v>Apr</c:v>
                </c:pt>
                <c:pt idx="4">
                  <c:v>May</c:v>
                </c:pt>
              </c:strCache>
            </c:strRef>
          </c:cat>
          <c:val>
            <c:numRef>
              <c:f>Sheet1!$G$20:$G$25</c:f>
              <c:numCache>
                <c:formatCode>General</c:formatCode>
                <c:ptCount val="5"/>
                <c:pt idx="0">
                  <c:v>3673.2499999999995</c:v>
                </c:pt>
                <c:pt idx="1">
                  <c:v>3357.5800000000004</c:v>
                </c:pt>
                <c:pt idx="2">
                  <c:v>4517.3600000000006</c:v>
                </c:pt>
                <c:pt idx="3">
                  <c:v>3816.4199999999996</c:v>
                </c:pt>
                <c:pt idx="4">
                  <c:v>4819.6399999999985</c:v>
                </c:pt>
              </c:numCache>
            </c:numRef>
          </c:val>
          <c:smooth val="0"/>
          <c:extLst>
            <c:ext xmlns:c16="http://schemas.microsoft.com/office/drawing/2014/chart" uri="{C3380CC4-5D6E-409C-BE32-E72D297353CC}">
              <c16:uniqueId val="{00000000-6771-489B-AF52-36DF14CBC528}"/>
            </c:ext>
          </c:extLst>
        </c:ser>
        <c:dLbls>
          <c:showLegendKey val="0"/>
          <c:showVal val="0"/>
          <c:showCatName val="0"/>
          <c:showSerName val="0"/>
          <c:showPercent val="0"/>
          <c:showBubbleSize val="0"/>
        </c:dLbls>
        <c:marker val="1"/>
        <c:smooth val="0"/>
        <c:axId val="2109084351"/>
        <c:axId val="2109083391"/>
      </c:lineChart>
      <c:catAx>
        <c:axId val="21090843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083391"/>
        <c:crosses val="autoZero"/>
        <c:auto val="1"/>
        <c:lblAlgn val="ctr"/>
        <c:lblOffset val="100"/>
        <c:noMultiLvlLbl val="0"/>
      </c:catAx>
      <c:valAx>
        <c:axId val="2109083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08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Sheet1!$G$35:$G$36</c:f>
              <c:strCache>
                <c:ptCount val="1"/>
                <c:pt idx="0">
                  <c:v>Central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29F-4EF3-8FC7-3727173E401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329F-4EF3-8FC7-3727173E401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Sheet1!$F$37:$F$39</c:f>
              <c:strCache>
                <c:ptCount val="2"/>
                <c:pt idx="0">
                  <c:v>Active</c:v>
                </c:pt>
                <c:pt idx="1">
                  <c:v>Faulty</c:v>
                </c:pt>
              </c:strCache>
            </c:strRef>
          </c:cat>
          <c:val>
            <c:numRef>
              <c:f>Sheet1!$G$37:$G$39</c:f>
              <c:numCache>
                <c:formatCode>General</c:formatCode>
                <c:ptCount val="2"/>
                <c:pt idx="0">
                  <c:v>133</c:v>
                </c:pt>
                <c:pt idx="1">
                  <c:v>136</c:v>
                </c:pt>
              </c:numCache>
            </c:numRef>
          </c:val>
          <c:extLst>
            <c:ext xmlns:c16="http://schemas.microsoft.com/office/drawing/2014/chart" uri="{C3380CC4-5D6E-409C-BE32-E72D297353CC}">
              <c16:uniqueId val="{00000000-329F-4EF3-8FC7-3727173E4011}"/>
            </c:ext>
          </c:extLst>
        </c:ser>
        <c:ser>
          <c:idx val="1"/>
          <c:order val="1"/>
          <c:tx>
            <c:strRef>
              <c:f>Sheet1!$H$35:$H$36</c:f>
              <c:strCache>
                <c:ptCount val="1"/>
                <c:pt idx="0">
                  <c:v>North</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Sheet1!$F$37:$F$39</c:f>
              <c:strCache>
                <c:ptCount val="2"/>
                <c:pt idx="0">
                  <c:v>Active</c:v>
                </c:pt>
                <c:pt idx="1">
                  <c:v>Faulty</c:v>
                </c:pt>
              </c:strCache>
            </c:strRef>
          </c:cat>
          <c:val>
            <c:numRef>
              <c:f>Sheet1!$H$37:$H$39</c:f>
              <c:numCache>
                <c:formatCode>General</c:formatCode>
                <c:ptCount val="2"/>
                <c:pt idx="0">
                  <c:v>158</c:v>
                </c:pt>
                <c:pt idx="1">
                  <c:v>165</c:v>
                </c:pt>
              </c:numCache>
            </c:numRef>
          </c:val>
          <c:extLst>
            <c:ext xmlns:c16="http://schemas.microsoft.com/office/drawing/2014/chart" uri="{C3380CC4-5D6E-409C-BE32-E72D297353CC}">
              <c16:uniqueId val="{0000000F-329F-4EF3-8FC7-3727173E4011}"/>
            </c:ext>
          </c:extLst>
        </c:ser>
        <c:ser>
          <c:idx val="2"/>
          <c:order val="2"/>
          <c:tx>
            <c:strRef>
              <c:f>Sheet1!$I$35:$I$36</c:f>
              <c:strCache>
                <c:ptCount val="1"/>
                <c:pt idx="0">
                  <c:v>South</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Sheet1!$F$37:$F$39</c:f>
              <c:strCache>
                <c:ptCount val="2"/>
                <c:pt idx="0">
                  <c:v>Active</c:v>
                </c:pt>
                <c:pt idx="1">
                  <c:v>Faulty</c:v>
                </c:pt>
              </c:strCache>
            </c:strRef>
          </c:cat>
          <c:val>
            <c:numRef>
              <c:f>Sheet1!$I$37:$I$39</c:f>
              <c:numCache>
                <c:formatCode>General</c:formatCode>
                <c:ptCount val="2"/>
                <c:pt idx="0">
                  <c:v>151</c:v>
                </c:pt>
                <c:pt idx="1">
                  <c:v>157</c:v>
                </c:pt>
              </c:numCache>
            </c:numRef>
          </c:val>
          <c:extLst>
            <c:ext xmlns:c16="http://schemas.microsoft.com/office/drawing/2014/chart" uri="{C3380CC4-5D6E-409C-BE32-E72D297353CC}">
              <c16:uniqueId val="{00000010-329F-4EF3-8FC7-3727173E401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Sheet1!$G$51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Sheet1!$F$52:$F$55</c:f>
              <c:strCache>
                <c:ptCount val="3"/>
                <c:pt idx="0">
                  <c:v>Central</c:v>
                </c:pt>
                <c:pt idx="1">
                  <c:v>North</c:v>
                </c:pt>
                <c:pt idx="2">
                  <c:v>South</c:v>
                </c:pt>
              </c:strCache>
            </c:strRef>
          </c:cat>
          <c:val>
            <c:numRef>
              <c:f>Sheet1!$G$52:$G$55</c:f>
              <c:numCache>
                <c:formatCode>General</c:formatCode>
                <c:ptCount val="3"/>
                <c:pt idx="0">
                  <c:v>15926</c:v>
                </c:pt>
                <c:pt idx="1">
                  <c:v>18917</c:v>
                </c:pt>
                <c:pt idx="2">
                  <c:v>18845</c:v>
                </c:pt>
              </c:numCache>
            </c:numRef>
          </c:val>
          <c:extLst>
            <c:ext xmlns:c16="http://schemas.microsoft.com/office/drawing/2014/chart" uri="{C3380CC4-5D6E-409C-BE32-E72D297353CC}">
              <c16:uniqueId val="{00000000-8F91-4FAE-BF65-222AA0A7DE4F}"/>
            </c:ext>
          </c:extLst>
        </c:ser>
        <c:dLbls>
          <c:showLegendKey val="0"/>
          <c:showVal val="0"/>
          <c:showCatName val="0"/>
          <c:showSerName val="0"/>
          <c:showPercent val="0"/>
          <c:showBubbleSize val="0"/>
        </c:dLbls>
        <c:gapWidth val="315"/>
        <c:overlap val="-40"/>
        <c:axId val="1363978191"/>
        <c:axId val="2109627327"/>
      </c:barChart>
      <c:catAx>
        <c:axId val="1363978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627327"/>
        <c:crosses val="autoZero"/>
        <c:auto val="1"/>
        <c:lblAlgn val="ctr"/>
        <c:lblOffset val="100"/>
        <c:noMultiLvlLbl val="0"/>
      </c:catAx>
      <c:valAx>
        <c:axId val="2109627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397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Sheet1!$G$66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Sheet1!$F$67:$F$72</c:f>
              <c:strCache>
                <c:ptCount val="5"/>
                <c:pt idx="0">
                  <c:v>Jan</c:v>
                </c:pt>
                <c:pt idx="1">
                  <c:v>Feb</c:v>
                </c:pt>
                <c:pt idx="2">
                  <c:v>Mar</c:v>
                </c:pt>
                <c:pt idx="3">
                  <c:v>Apr</c:v>
                </c:pt>
                <c:pt idx="4">
                  <c:v>May</c:v>
                </c:pt>
              </c:strCache>
            </c:strRef>
          </c:cat>
          <c:val>
            <c:numRef>
              <c:f>Sheet1!$G$67:$G$72</c:f>
              <c:numCache>
                <c:formatCode>General</c:formatCode>
                <c:ptCount val="5"/>
                <c:pt idx="0">
                  <c:v>24143.978200000001</c:v>
                </c:pt>
                <c:pt idx="1">
                  <c:v>21072.548699999996</c:v>
                </c:pt>
                <c:pt idx="2">
                  <c:v>30506.530900000009</c:v>
                </c:pt>
                <c:pt idx="3">
                  <c:v>26462.810000000009</c:v>
                </c:pt>
                <c:pt idx="4">
                  <c:v>33897.387699999992</c:v>
                </c:pt>
              </c:numCache>
            </c:numRef>
          </c:val>
          <c:smooth val="0"/>
          <c:extLst>
            <c:ext xmlns:c16="http://schemas.microsoft.com/office/drawing/2014/chart" uri="{C3380CC4-5D6E-409C-BE32-E72D297353CC}">
              <c16:uniqueId val="{00000000-F454-4CF6-8DB2-BED9ED4A66CA}"/>
            </c:ext>
          </c:extLst>
        </c:ser>
        <c:dLbls>
          <c:showLegendKey val="0"/>
          <c:showVal val="0"/>
          <c:showCatName val="0"/>
          <c:showSerName val="0"/>
          <c:showPercent val="0"/>
          <c:showBubbleSize val="0"/>
        </c:dLbls>
        <c:marker val="1"/>
        <c:smooth val="0"/>
        <c:axId val="71888047"/>
        <c:axId val="71887567"/>
      </c:lineChart>
      <c:catAx>
        <c:axId val="71888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87567"/>
        <c:crosses val="autoZero"/>
        <c:auto val="1"/>
        <c:lblAlgn val="ctr"/>
        <c:lblOffset val="100"/>
        <c:noMultiLvlLbl val="0"/>
      </c:catAx>
      <c:valAx>
        <c:axId val="71887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8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Sheet1!$F$2:$F$5</c:f>
              <c:strCache>
                <c:ptCount val="3"/>
                <c:pt idx="0">
                  <c:v>Central</c:v>
                </c:pt>
                <c:pt idx="1">
                  <c:v>North</c:v>
                </c:pt>
                <c:pt idx="2">
                  <c:v>South</c:v>
                </c:pt>
              </c:strCache>
            </c:strRef>
          </c:cat>
          <c:val>
            <c:numRef>
              <c:f>Sheet1!$G$2:$G$5</c:f>
              <c:numCache>
                <c:formatCode>General</c:formatCode>
                <c:ptCount val="3"/>
                <c:pt idx="0">
                  <c:v>14146.320000000003</c:v>
                </c:pt>
                <c:pt idx="1">
                  <c:v>17878.289999999997</c:v>
                </c:pt>
                <c:pt idx="2">
                  <c:v>16565.150000000001</c:v>
                </c:pt>
              </c:numCache>
            </c:numRef>
          </c:val>
          <c:extLst>
            <c:ext xmlns:c16="http://schemas.microsoft.com/office/drawing/2014/chart" uri="{C3380CC4-5D6E-409C-BE32-E72D297353CC}">
              <c16:uniqueId val="{00000000-0E4C-4E96-98B7-5525EBD4D6A9}"/>
            </c:ext>
          </c:extLst>
        </c:ser>
        <c:dLbls>
          <c:showLegendKey val="0"/>
          <c:showVal val="0"/>
          <c:showCatName val="0"/>
          <c:showSerName val="0"/>
          <c:showPercent val="0"/>
          <c:showBubbleSize val="0"/>
        </c:dLbls>
        <c:gapWidth val="315"/>
        <c:overlap val="-40"/>
        <c:axId val="1363975311"/>
        <c:axId val="1363976271"/>
      </c:barChart>
      <c:catAx>
        <c:axId val="1363975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3976271"/>
        <c:crosses val="autoZero"/>
        <c:auto val="1"/>
        <c:lblAlgn val="ctr"/>
        <c:lblOffset val="100"/>
        <c:noMultiLvlLbl val="0"/>
      </c:catAx>
      <c:valAx>
        <c:axId val="1363976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397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Sheet1!$G$51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Sheet1!$F$52:$F$55</c:f>
              <c:strCache>
                <c:ptCount val="3"/>
                <c:pt idx="0">
                  <c:v>Central</c:v>
                </c:pt>
                <c:pt idx="1">
                  <c:v>North</c:v>
                </c:pt>
                <c:pt idx="2">
                  <c:v>South</c:v>
                </c:pt>
              </c:strCache>
            </c:strRef>
          </c:cat>
          <c:val>
            <c:numRef>
              <c:f>Sheet1!$G$52:$G$55</c:f>
              <c:numCache>
                <c:formatCode>General</c:formatCode>
                <c:ptCount val="3"/>
                <c:pt idx="0">
                  <c:v>15926</c:v>
                </c:pt>
                <c:pt idx="1">
                  <c:v>18917</c:v>
                </c:pt>
                <c:pt idx="2">
                  <c:v>18845</c:v>
                </c:pt>
              </c:numCache>
            </c:numRef>
          </c:val>
          <c:extLst>
            <c:ext xmlns:c16="http://schemas.microsoft.com/office/drawing/2014/chart" uri="{C3380CC4-5D6E-409C-BE32-E72D297353CC}">
              <c16:uniqueId val="{00000000-E190-4291-866F-3ECFCDBF2C4C}"/>
            </c:ext>
          </c:extLst>
        </c:ser>
        <c:dLbls>
          <c:showLegendKey val="0"/>
          <c:showVal val="0"/>
          <c:showCatName val="0"/>
          <c:showSerName val="0"/>
          <c:showPercent val="0"/>
          <c:showBubbleSize val="0"/>
        </c:dLbls>
        <c:gapWidth val="315"/>
        <c:overlap val="-40"/>
        <c:axId val="1363978191"/>
        <c:axId val="2109627327"/>
      </c:barChart>
      <c:catAx>
        <c:axId val="1363978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627327"/>
        <c:crosses val="autoZero"/>
        <c:auto val="1"/>
        <c:lblAlgn val="ctr"/>
        <c:lblOffset val="100"/>
        <c:noMultiLvlLbl val="0"/>
      </c:catAx>
      <c:valAx>
        <c:axId val="2109627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397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Sheet1!$G$35:$G$36</c:f>
              <c:strCache>
                <c:ptCount val="1"/>
                <c:pt idx="0">
                  <c:v>Central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30-41A7-89BD-11170EB23C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30-41A7-89BD-11170EB23C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Sheet1!$F$37:$F$39</c:f>
              <c:strCache>
                <c:ptCount val="2"/>
                <c:pt idx="0">
                  <c:v>Active</c:v>
                </c:pt>
                <c:pt idx="1">
                  <c:v>Faulty</c:v>
                </c:pt>
              </c:strCache>
            </c:strRef>
          </c:cat>
          <c:val>
            <c:numRef>
              <c:f>Sheet1!$G$37:$G$39</c:f>
              <c:numCache>
                <c:formatCode>General</c:formatCode>
                <c:ptCount val="2"/>
                <c:pt idx="0">
                  <c:v>133</c:v>
                </c:pt>
                <c:pt idx="1">
                  <c:v>136</c:v>
                </c:pt>
              </c:numCache>
            </c:numRef>
          </c:val>
          <c:extLst>
            <c:ext xmlns:c16="http://schemas.microsoft.com/office/drawing/2014/chart" uri="{C3380CC4-5D6E-409C-BE32-E72D297353CC}">
              <c16:uniqueId val="{00000004-9430-41A7-89BD-11170EB23C2E}"/>
            </c:ext>
          </c:extLst>
        </c:ser>
        <c:ser>
          <c:idx val="1"/>
          <c:order val="1"/>
          <c:tx>
            <c:strRef>
              <c:f>Sheet1!$H$35:$H$36</c:f>
              <c:strCache>
                <c:ptCount val="1"/>
                <c:pt idx="0">
                  <c:v>North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Sheet1!$F$37:$F$39</c:f>
              <c:strCache>
                <c:ptCount val="2"/>
                <c:pt idx="0">
                  <c:v>Active</c:v>
                </c:pt>
                <c:pt idx="1">
                  <c:v>Faulty</c:v>
                </c:pt>
              </c:strCache>
            </c:strRef>
          </c:cat>
          <c:val>
            <c:numRef>
              <c:f>Sheet1!$H$37:$H$39</c:f>
              <c:numCache>
                <c:formatCode>General</c:formatCode>
                <c:ptCount val="2"/>
                <c:pt idx="0">
                  <c:v>158</c:v>
                </c:pt>
                <c:pt idx="1">
                  <c:v>165</c:v>
                </c:pt>
              </c:numCache>
            </c:numRef>
          </c:val>
          <c:extLst>
            <c:ext xmlns:c16="http://schemas.microsoft.com/office/drawing/2014/chart" uri="{C3380CC4-5D6E-409C-BE32-E72D297353CC}">
              <c16:uniqueId val="{00000010-9430-41A7-89BD-11170EB23C2E}"/>
            </c:ext>
          </c:extLst>
        </c:ser>
        <c:ser>
          <c:idx val="2"/>
          <c:order val="2"/>
          <c:tx>
            <c:strRef>
              <c:f>Sheet1!$I$35:$I$36</c:f>
              <c:strCache>
                <c:ptCount val="1"/>
                <c:pt idx="0">
                  <c:v>South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Sheet1!$F$37:$F$39</c:f>
              <c:strCache>
                <c:ptCount val="2"/>
                <c:pt idx="0">
                  <c:v>Active</c:v>
                </c:pt>
                <c:pt idx="1">
                  <c:v>Faulty</c:v>
                </c:pt>
              </c:strCache>
            </c:strRef>
          </c:cat>
          <c:val>
            <c:numRef>
              <c:f>Sheet1!$I$37:$I$39</c:f>
              <c:numCache>
                <c:formatCode>General</c:formatCode>
                <c:ptCount val="2"/>
                <c:pt idx="0">
                  <c:v>151</c:v>
                </c:pt>
                <c:pt idx="1">
                  <c:v>157</c:v>
                </c:pt>
              </c:numCache>
            </c:numRef>
          </c:val>
          <c:extLst>
            <c:ext xmlns:c16="http://schemas.microsoft.com/office/drawing/2014/chart" uri="{C3380CC4-5D6E-409C-BE32-E72D297353CC}">
              <c16:uniqueId val="{00000011-9430-41A7-89BD-11170EB23C2E}"/>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Sheet1!$F$20:$F$25</c:f>
              <c:strCache>
                <c:ptCount val="5"/>
                <c:pt idx="0">
                  <c:v>Jan</c:v>
                </c:pt>
                <c:pt idx="1">
                  <c:v>Feb</c:v>
                </c:pt>
                <c:pt idx="2">
                  <c:v>Mar</c:v>
                </c:pt>
                <c:pt idx="3">
                  <c:v>Apr</c:v>
                </c:pt>
                <c:pt idx="4">
                  <c:v>May</c:v>
                </c:pt>
              </c:strCache>
            </c:strRef>
          </c:cat>
          <c:val>
            <c:numRef>
              <c:f>Sheet1!$G$20:$G$25</c:f>
              <c:numCache>
                <c:formatCode>General</c:formatCode>
                <c:ptCount val="5"/>
                <c:pt idx="0">
                  <c:v>3673.2499999999995</c:v>
                </c:pt>
                <c:pt idx="1">
                  <c:v>3357.5800000000004</c:v>
                </c:pt>
                <c:pt idx="2">
                  <c:v>4517.3600000000006</c:v>
                </c:pt>
                <c:pt idx="3">
                  <c:v>3816.4199999999996</c:v>
                </c:pt>
                <c:pt idx="4">
                  <c:v>4819.6399999999985</c:v>
                </c:pt>
              </c:numCache>
            </c:numRef>
          </c:val>
          <c:smooth val="0"/>
          <c:extLst>
            <c:ext xmlns:c16="http://schemas.microsoft.com/office/drawing/2014/chart" uri="{C3380CC4-5D6E-409C-BE32-E72D297353CC}">
              <c16:uniqueId val="{00000000-E5CB-414F-8F70-D6EB0586445F}"/>
            </c:ext>
          </c:extLst>
        </c:ser>
        <c:dLbls>
          <c:showLegendKey val="0"/>
          <c:showVal val="0"/>
          <c:showCatName val="0"/>
          <c:showSerName val="0"/>
          <c:showPercent val="0"/>
          <c:showBubbleSize val="0"/>
        </c:dLbls>
        <c:marker val="1"/>
        <c:smooth val="0"/>
        <c:axId val="2109084351"/>
        <c:axId val="2109083391"/>
      </c:lineChart>
      <c:catAx>
        <c:axId val="21090843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083391"/>
        <c:crosses val="autoZero"/>
        <c:auto val="1"/>
        <c:lblAlgn val="ctr"/>
        <c:lblOffset val="100"/>
        <c:noMultiLvlLbl val="0"/>
      </c:catAx>
      <c:valAx>
        <c:axId val="2109083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08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Sheet1!$G$66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Sheet1!$F$67:$F$72</c:f>
              <c:strCache>
                <c:ptCount val="5"/>
                <c:pt idx="0">
                  <c:v>Jan</c:v>
                </c:pt>
                <c:pt idx="1">
                  <c:v>Feb</c:v>
                </c:pt>
                <c:pt idx="2">
                  <c:v>Mar</c:v>
                </c:pt>
                <c:pt idx="3">
                  <c:v>Apr</c:v>
                </c:pt>
                <c:pt idx="4">
                  <c:v>May</c:v>
                </c:pt>
              </c:strCache>
            </c:strRef>
          </c:cat>
          <c:val>
            <c:numRef>
              <c:f>Sheet1!$G$67:$G$72</c:f>
              <c:numCache>
                <c:formatCode>General</c:formatCode>
                <c:ptCount val="5"/>
                <c:pt idx="0">
                  <c:v>24143.978200000001</c:v>
                </c:pt>
                <c:pt idx="1">
                  <c:v>21072.548699999996</c:v>
                </c:pt>
                <c:pt idx="2">
                  <c:v>30506.530900000009</c:v>
                </c:pt>
                <c:pt idx="3">
                  <c:v>26462.810000000009</c:v>
                </c:pt>
                <c:pt idx="4">
                  <c:v>33897.387699999992</c:v>
                </c:pt>
              </c:numCache>
            </c:numRef>
          </c:val>
          <c:smooth val="0"/>
          <c:extLst>
            <c:ext xmlns:c16="http://schemas.microsoft.com/office/drawing/2014/chart" uri="{C3380CC4-5D6E-409C-BE32-E72D297353CC}">
              <c16:uniqueId val="{00000000-A598-4BD5-A042-A4E7392369AF}"/>
            </c:ext>
          </c:extLst>
        </c:ser>
        <c:dLbls>
          <c:showLegendKey val="0"/>
          <c:showVal val="0"/>
          <c:showCatName val="0"/>
          <c:showSerName val="0"/>
          <c:showPercent val="0"/>
          <c:showBubbleSize val="0"/>
        </c:dLbls>
        <c:marker val="1"/>
        <c:smooth val="0"/>
        <c:axId val="71888047"/>
        <c:axId val="71887567"/>
      </c:lineChart>
      <c:catAx>
        <c:axId val="71888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87567"/>
        <c:crosses val="autoZero"/>
        <c:auto val="1"/>
        <c:lblAlgn val="ctr"/>
        <c:lblOffset val="100"/>
        <c:noMultiLvlLbl val="0"/>
      </c:catAx>
      <c:valAx>
        <c:axId val="71887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8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123825</xdr:colOff>
      <xdr:row>0</xdr:row>
      <xdr:rowOff>63500</xdr:rowOff>
    </xdr:from>
    <xdr:to>
      <xdr:col>14</xdr:col>
      <xdr:colOff>428625</xdr:colOff>
      <xdr:row>15</xdr:row>
      <xdr:rowOff>44450</xdr:rowOff>
    </xdr:to>
    <xdr:graphicFrame macro="">
      <xdr:nvGraphicFramePr>
        <xdr:cNvPr id="2" name="Chart 1">
          <a:extLst>
            <a:ext uri="{FF2B5EF4-FFF2-40B4-BE49-F238E27FC236}">
              <a16:creationId xmlns:a16="http://schemas.microsoft.com/office/drawing/2014/main" id="{98622955-BC97-785E-3C2B-B7D2404E6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141204</xdr:colOff>
      <xdr:row>17</xdr:row>
      <xdr:rowOff>40439</xdr:rowOff>
    </xdr:from>
    <xdr:to>
      <xdr:col>14</xdr:col>
      <xdr:colOff>443665</xdr:colOff>
      <xdr:row>32</xdr:row>
      <xdr:rowOff>26402</xdr:rowOff>
    </xdr:to>
    <xdr:graphicFrame macro="">
      <xdr:nvGraphicFramePr>
        <xdr:cNvPr id="3" name="Chart 2">
          <a:extLst>
            <a:ext uri="{FF2B5EF4-FFF2-40B4-BE49-F238E27FC236}">
              <a16:creationId xmlns:a16="http://schemas.microsoft.com/office/drawing/2014/main" id="{0DAB55EC-96F8-30E5-7A59-3F489AF94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224756</xdr:colOff>
      <xdr:row>33</xdr:row>
      <xdr:rowOff>107282</xdr:rowOff>
    </xdr:from>
    <xdr:to>
      <xdr:col>17</xdr:col>
      <xdr:colOff>268205</xdr:colOff>
      <xdr:row>47</xdr:row>
      <xdr:rowOff>93245</xdr:rowOff>
    </xdr:to>
    <xdr:graphicFrame macro="">
      <xdr:nvGraphicFramePr>
        <xdr:cNvPr id="4" name="Pie">
          <a:extLst>
            <a:ext uri="{FF2B5EF4-FFF2-40B4-BE49-F238E27FC236}">
              <a16:creationId xmlns:a16="http://schemas.microsoft.com/office/drawing/2014/main" id="{E1DB0B2D-1C09-6E8F-9E3B-DB6F35360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182981</xdr:colOff>
      <xdr:row>48</xdr:row>
      <xdr:rowOff>65505</xdr:rowOff>
    </xdr:from>
    <xdr:to>
      <xdr:col>14</xdr:col>
      <xdr:colOff>485442</xdr:colOff>
      <xdr:row>63</xdr:row>
      <xdr:rowOff>51468</xdr:rowOff>
    </xdr:to>
    <xdr:graphicFrame macro="">
      <xdr:nvGraphicFramePr>
        <xdr:cNvPr id="5" name="Chart 4">
          <a:extLst>
            <a:ext uri="{FF2B5EF4-FFF2-40B4-BE49-F238E27FC236}">
              <a16:creationId xmlns:a16="http://schemas.microsoft.com/office/drawing/2014/main" id="{90AFE0F7-2094-189B-A60D-5DFEED492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160755</xdr:colOff>
      <xdr:row>0</xdr:row>
      <xdr:rowOff>132681</xdr:rowOff>
    </xdr:from>
    <xdr:to>
      <xdr:col>18</xdr:col>
      <xdr:colOff>159753</xdr:colOff>
      <xdr:row>14</xdr:row>
      <xdr:rowOff>83385</xdr:rowOff>
    </xdr:to>
    <mc:AlternateContent xmlns:mc="http://schemas.openxmlformats.org/markup-compatibility/2006">
      <mc:Choice xmlns:a14="http://schemas.microsoft.com/office/drawing/2010/main" Requires="a14">
        <xdr:graphicFrame macro="">
          <xdr:nvGraphicFramePr>
            <xdr:cNvPr id="6" name="Zone">
              <a:extLst>
                <a:ext uri="{FF2B5EF4-FFF2-40B4-BE49-F238E27FC236}">
                  <a16:creationId xmlns:a16="http://schemas.microsoft.com/office/drawing/2014/main" id="{A20A39D7-11B0-724C-E385-9CC6B157EBD4}"/>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12284242" y="13268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606259</xdr:colOff>
      <xdr:row>18</xdr:row>
      <xdr:rowOff>160755</xdr:rowOff>
    </xdr:from>
    <xdr:to>
      <xdr:col>20</xdr:col>
      <xdr:colOff>280404</xdr:colOff>
      <xdr:row>26</xdr:row>
      <xdr:rowOff>61828</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F9E0599C-A54B-BDE4-9745-CD218CEAD4A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119812" y="3469439"/>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383507</xdr:colOff>
      <xdr:row>64</xdr:row>
      <xdr:rowOff>157413</xdr:rowOff>
    </xdr:from>
    <xdr:to>
      <xdr:col>15</xdr:col>
      <xdr:colOff>335046</xdr:colOff>
      <xdr:row>79</xdr:row>
      <xdr:rowOff>143376</xdr:rowOff>
    </xdr:to>
    <xdr:graphicFrame macro="">
      <xdr:nvGraphicFramePr>
        <xdr:cNvPr id="8" name="Chart 7">
          <a:extLst>
            <a:ext uri="{FF2B5EF4-FFF2-40B4-BE49-F238E27FC236}">
              <a16:creationId xmlns:a16="http://schemas.microsoft.com/office/drawing/2014/main" id="{90534060-A3A5-1595-AE94-C6A54A4ED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101601</xdr:colOff>
      <xdr:row>3</xdr:row>
      <xdr:rowOff>69850</xdr:rowOff>
    </xdr:from>
    <xdr:to>
      <xdr:col>7</xdr:col>
      <xdr:colOff>182471</xdr:colOff>
      <xdr:row>18</xdr:row>
      <xdr:rowOff>65689</xdr:rowOff>
    </xdr:to>
    <xdr:graphicFrame macro="">
      <xdr:nvGraphicFramePr>
        <xdr:cNvPr id="2" name="Chart 1">
          <a:extLst>
            <a:ext uri="{FF2B5EF4-FFF2-40B4-BE49-F238E27FC236}">
              <a16:creationId xmlns:a16="http://schemas.microsoft.com/office/drawing/2014/main" id="{2DCFA09C-5C37-42A2-B922-C4B8ECDF0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459828</xdr:colOff>
      <xdr:row>3</xdr:row>
      <xdr:rowOff>72989</xdr:rowOff>
    </xdr:from>
    <xdr:to>
      <xdr:col>21</xdr:col>
      <xdr:colOff>481092</xdr:colOff>
      <xdr:row>18</xdr:row>
      <xdr:rowOff>79120</xdr:rowOff>
    </xdr:to>
    <xdr:graphicFrame macro="">
      <xdr:nvGraphicFramePr>
        <xdr:cNvPr id="3" name="Chart 2">
          <a:extLst>
            <a:ext uri="{FF2B5EF4-FFF2-40B4-BE49-F238E27FC236}">
              <a16:creationId xmlns:a16="http://schemas.microsoft.com/office/drawing/2014/main" id="{FE638AB9-9680-431D-A6ED-D6D43372A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335747</xdr:colOff>
      <xdr:row>3</xdr:row>
      <xdr:rowOff>72988</xdr:rowOff>
    </xdr:from>
    <xdr:to>
      <xdr:col>14</xdr:col>
      <xdr:colOff>357011</xdr:colOff>
      <xdr:row>18</xdr:row>
      <xdr:rowOff>79119</xdr:rowOff>
    </xdr:to>
    <xdr:graphicFrame macro="">
      <xdr:nvGraphicFramePr>
        <xdr:cNvPr id="4" name="Pie">
          <a:extLst>
            <a:ext uri="{FF2B5EF4-FFF2-40B4-BE49-F238E27FC236}">
              <a16:creationId xmlns:a16="http://schemas.microsoft.com/office/drawing/2014/main" id="{3007CC32-F946-4250-9043-E02BFCCA2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132328</xdr:colOff>
      <xdr:row>19</xdr:row>
      <xdr:rowOff>0</xdr:rowOff>
    </xdr:from>
    <xdr:to>
      <xdr:col>16</xdr:col>
      <xdr:colOff>291954</xdr:colOff>
      <xdr:row>22</xdr:row>
      <xdr:rowOff>72989</xdr:rowOff>
    </xdr:to>
    <mc:AlternateContent xmlns:mc="http://schemas.openxmlformats.org/markup-compatibility/2006">
      <mc:Choice xmlns:a14="http://schemas.microsoft.com/office/drawing/2010/main" Requires="a14">
        <xdr:graphicFrame macro="">
          <xdr:nvGraphicFramePr>
            <xdr:cNvPr id="5" name="Zone 1">
              <a:extLst>
                <a:ext uri="{FF2B5EF4-FFF2-40B4-BE49-F238E27FC236}">
                  <a16:creationId xmlns:a16="http://schemas.microsoft.com/office/drawing/2014/main" id="{872DDC09-8307-473F-80B5-04B710CD1CA3}"/>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3197845" y="3466954"/>
              <a:ext cx="6903764" cy="620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138679</xdr:colOff>
      <xdr:row>23</xdr:row>
      <xdr:rowOff>0</xdr:rowOff>
    </xdr:from>
    <xdr:to>
      <xdr:col>16</xdr:col>
      <xdr:colOff>262759</xdr:colOff>
      <xdr:row>30</xdr:row>
      <xdr:rowOff>94301</xdr:rowOff>
    </xdr:to>
    <mc:AlternateContent xmlns:mc="http://schemas.openxmlformats.org/markup-compatibility/2006">
      <mc:Choice xmlns:tsle="http://schemas.microsoft.com/office/drawing/2012/timeslicer" Requires="tsle">
        <xdr:graphicFrame macro="">
          <xdr:nvGraphicFramePr>
            <xdr:cNvPr id="6" name="Date 1">
              <a:extLst>
                <a:ext uri="{FF2B5EF4-FFF2-40B4-BE49-F238E27FC236}">
                  <a16:creationId xmlns:a16="http://schemas.microsoft.com/office/drawing/2014/main" id="{1CEE7E41-D403-4C42-BAAA-7A86EFB6C864}"/>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204196" y="4196839"/>
              <a:ext cx="686821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182471</xdr:colOff>
      <xdr:row>31</xdr:row>
      <xdr:rowOff>102183</xdr:rowOff>
    </xdr:from>
    <xdr:to>
      <xdr:col>11</xdr:col>
      <xdr:colOff>21896</xdr:colOff>
      <xdr:row>46</xdr:row>
      <xdr:rowOff>108314</xdr:rowOff>
    </xdr:to>
    <xdr:graphicFrame macro="">
      <xdr:nvGraphicFramePr>
        <xdr:cNvPr id="7" name="Chart 6">
          <a:extLst>
            <a:ext uri="{FF2B5EF4-FFF2-40B4-BE49-F238E27FC236}">
              <a16:creationId xmlns:a16="http://schemas.microsoft.com/office/drawing/2014/main" id="{2F9AECD1-AA8E-4692-AD98-5918F6CCF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182470</xdr:colOff>
      <xdr:row>31</xdr:row>
      <xdr:rowOff>102184</xdr:rowOff>
    </xdr:from>
    <xdr:to>
      <xdr:col>21</xdr:col>
      <xdr:colOff>416035</xdr:colOff>
      <xdr:row>46</xdr:row>
      <xdr:rowOff>108315</xdr:rowOff>
    </xdr:to>
    <xdr:graphicFrame macro="">
      <xdr:nvGraphicFramePr>
        <xdr:cNvPr id="8" name="Chart 7">
          <a:extLst>
            <a:ext uri="{FF2B5EF4-FFF2-40B4-BE49-F238E27FC236}">
              <a16:creationId xmlns:a16="http://schemas.microsoft.com/office/drawing/2014/main" id="{640313FC-8EC5-4874-9C94-240F8DCD9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nati" refreshedDate="46140.392133564812" createdVersion="8" refreshedVersion="8" minRefreshableVersion="3" recordCount="900" xr:uid="{DFA9BB19-0AC4-48C1-A69D-D92CB3B2C7F0}">
  <cacheSource type="worksheet">
    <worksheetSource ref="A1:M901" sheet="smart_meter_dataset"/>
  </cacheSource>
  <cacheFields count="13">
    <cacheField name="MeterID" numFmtId="0">
      <sharedItems/>
    </cacheField>
    <cacheField name="Zone" numFmtId="0">
      <sharedItems count="3">
        <s v="Central"/>
        <s v="North"/>
        <s v="South"/>
      </sharedItems>
    </cacheField>
    <cacheField name="ConsumerType" numFmtId="0">
      <sharedItems/>
    </cacheField>
    <cacheField name="Date" numFmtId="14">
      <sharedItems containsSemiMixedTypes="0" containsNonDate="0" containsDate="1" containsString="0" minDate="2024-01-01T00:00:00" maxDate="2025-01-01T00:00:00" count="336">
        <d v="2024-04-05T00:00:00"/>
        <d v="2024-10-22T00:00:00"/>
        <d v="2024-04-20T00:00:00"/>
        <d v="2024-06-13T00:00:00"/>
        <d v="2024-02-12T00:00:00"/>
        <d v="2024-03-22T00:00:00"/>
        <d v="2024-07-14T00:00:00"/>
        <d v="2024-01-21T00:00:00"/>
        <d v="2024-12-11T00:00:00"/>
        <d v="2024-09-25T00:00:00"/>
        <d v="2024-12-29T00:00:00"/>
        <d v="2024-02-10T00:00:00"/>
        <d v="2024-12-19T00:00:00"/>
        <d v="2024-06-16T00:00:00"/>
        <d v="2024-10-08T00:00:00"/>
        <d v="2024-11-07T00:00:00"/>
        <d v="2024-11-28T00:00:00"/>
        <d v="2024-07-17T00:00:00"/>
        <d v="2024-08-29T00:00:00"/>
        <d v="2024-02-20T00:00:00"/>
        <d v="2024-03-15T00:00:00"/>
        <d v="2024-07-18T00:00:00"/>
        <d v="2024-04-15T00:00:00"/>
        <d v="2024-03-10T00:00:00"/>
        <d v="2024-01-13T00:00:00"/>
        <d v="2024-01-15T00:00:00"/>
        <d v="2024-12-22T00:00:00"/>
        <d v="2024-06-03T00:00:00"/>
        <d v="2024-06-12T00:00:00"/>
        <d v="2024-09-11T00:00:00"/>
        <d v="2024-04-11T00:00:00"/>
        <d v="2024-06-25T00:00:00"/>
        <d v="2024-05-18T00:00:00"/>
        <d v="2024-02-04T00:00:00"/>
        <d v="2024-01-20T00:00:00"/>
        <d v="2024-12-26T00:00:00"/>
        <d v="2024-06-20T00:00:00"/>
        <d v="2024-08-11T00:00:00"/>
        <d v="2024-04-29T00:00:00"/>
        <d v="2024-06-07T00:00:00"/>
        <d v="2024-08-18T00:00:00"/>
        <d v="2024-01-09T00:00:00"/>
        <d v="2024-10-12T00:00:00"/>
        <d v="2024-05-13T00:00:00"/>
        <d v="2024-09-07T00:00:00"/>
        <d v="2024-08-22T00:00:00"/>
        <d v="2024-06-28T00:00:00"/>
        <d v="2024-09-17T00:00:00"/>
        <d v="2024-09-27T00:00:00"/>
        <d v="2024-06-06T00:00:00"/>
        <d v="2024-12-27T00:00:00"/>
        <d v="2024-06-22T00:00:00"/>
        <d v="2024-07-29T00:00:00"/>
        <d v="2024-11-30T00:00:00"/>
        <d v="2024-08-27T00:00:00"/>
        <d v="2024-12-07T00:00:00"/>
        <d v="2024-11-04T00:00:00"/>
        <d v="2024-05-03T00:00:00"/>
        <d v="2024-07-09T00:00:00"/>
        <d v="2024-03-02T00:00:00"/>
        <d v="2024-04-30T00:00:00"/>
        <d v="2024-02-14T00:00:00"/>
        <d v="2024-07-01T00:00:00"/>
        <d v="2024-04-14T00:00:00"/>
        <d v="2024-10-15T00:00:00"/>
        <d v="2024-10-29T00:00:00"/>
        <d v="2024-03-20T00:00:00"/>
        <d v="2024-03-31T00:00:00"/>
        <d v="2024-09-01T00:00:00"/>
        <d v="2024-12-06T00:00:00"/>
        <d v="2024-03-09T00:00:00"/>
        <d v="2024-04-12T00:00:00"/>
        <d v="2024-11-16T00:00:00"/>
        <d v="2024-07-23T00:00:00"/>
        <d v="2024-10-26T00:00:00"/>
        <d v="2024-08-17T00:00:00"/>
        <d v="2024-12-01T00:00:00"/>
        <d v="2024-06-18T00:00:00"/>
        <d v="2024-02-21T00:00:00"/>
        <d v="2024-06-27T00:00:00"/>
        <d v="2024-02-03T00:00:00"/>
        <d v="2024-08-08T00:00:00"/>
        <d v="2024-01-27T00:00:00"/>
        <d v="2024-07-21T00:00:00"/>
        <d v="2024-06-29T00:00:00"/>
        <d v="2024-12-30T00:00:00"/>
        <d v="2024-12-12T00:00:00"/>
        <d v="2024-08-28T00:00:00"/>
        <d v="2024-04-10T00:00:00"/>
        <d v="2024-07-03T00:00:00"/>
        <d v="2024-03-11T00:00:00"/>
        <d v="2024-11-02T00:00:00"/>
        <d v="2024-04-03T00:00:00"/>
        <d v="2024-11-05T00:00:00"/>
        <d v="2024-08-14T00:00:00"/>
        <d v="2024-02-11T00:00:00"/>
        <d v="2024-01-19T00:00:00"/>
        <d v="2024-01-11T00:00:00"/>
        <d v="2024-10-27T00:00:00"/>
        <d v="2024-01-23T00:00:00"/>
        <d v="2024-05-19T00:00:00"/>
        <d v="2024-10-06T00:00:00"/>
        <d v="2024-11-18T00:00:00"/>
        <d v="2024-02-28T00:00:00"/>
        <d v="2024-05-10T00:00:00"/>
        <d v="2024-09-05T00:00:00"/>
        <d v="2024-02-22T00:00:00"/>
        <d v="2024-08-23T00:00:00"/>
        <d v="2024-09-13T00:00:00"/>
        <d v="2024-01-18T00:00:00"/>
        <d v="2024-05-24T00:00:00"/>
        <d v="2024-04-25T00:00:00"/>
        <d v="2024-11-09T00:00:00"/>
        <d v="2024-05-27T00:00:00"/>
        <d v="2024-05-07T00:00:00"/>
        <d v="2024-11-19T00:00:00"/>
        <d v="2024-12-31T00:00:00"/>
        <d v="2024-10-17T00:00:00"/>
        <d v="2024-08-26T00:00:00"/>
        <d v="2024-09-03T00:00:00"/>
        <d v="2024-02-01T00:00:00"/>
        <d v="2024-01-16T00:00:00"/>
        <d v="2024-03-05T00:00:00"/>
        <d v="2024-07-30T00:00:00"/>
        <d v="2024-09-09T00:00:00"/>
        <d v="2024-11-17T00:00:00"/>
        <d v="2024-08-24T00:00:00"/>
        <d v="2024-03-01T00:00:00"/>
        <d v="2024-05-20T00:00:00"/>
        <d v="2024-10-02T00:00:00"/>
        <d v="2024-02-08T00:00:00"/>
        <d v="2024-09-26T00:00:00"/>
        <d v="2024-12-24T00:00:00"/>
        <d v="2024-05-08T00:00:00"/>
        <d v="2024-12-28T00:00:00"/>
        <d v="2024-08-07T00:00:00"/>
        <d v="2024-05-04T00:00:00"/>
        <d v="2024-07-31T00:00:00"/>
        <d v="2024-12-08T00:00:00"/>
        <d v="2024-08-15T00:00:00"/>
        <d v="2024-07-27T00:00:00"/>
        <d v="2024-04-23T00:00:00"/>
        <d v="2024-03-06T00:00:00"/>
        <d v="2024-07-02T00:00:00"/>
        <d v="2024-12-25T00:00:00"/>
        <d v="2024-02-13T00:00:00"/>
        <d v="2024-02-06T00:00:00"/>
        <d v="2024-07-11T00:00:00"/>
        <d v="2024-07-19T00:00:00"/>
        <d v="2024-11-23T00:00:00"/>
        <d v="2024-09-18T00:00:00"/>
        <d v="2024-05-01T00:00:00"/>
        <d v="2024-06-30T00:00:00"/>
        <d v="2024-05-14T00:00:00"/>
        <d v="2024-11-06T00:00:00"/>
        <d v="2024-03-04T00:00:00"/>
        <d v="2024-02-19T00:00:00"/>
        <d v="2024-03-29T00:00:00"/>
        <d v="2024-05-21T00:00:00"/>
        <d v="2024-04-17T00:00:00"/>
        <d v="2024-07-15T00:00:00"/>
        <d v="2024-01-08T00:00:00"/>
        <d v="2024-12-10T00:00:00"/>
        <d v="2024-03-13T00:00:00"/>
        <d v="2024-06-02T00:00:00"/>
        <d v="2024-02-27T00:00:00"/>
        <d v="2024-06-17T00:00:00"/>
        <d v="2024-01-10T00:00:00"/>
        <d v="2024-09-10T00:00:00"/>
        <d v="2024-12-21T00:00:00"/>
        <d v="2024-09-14T00:00:00"/>
        <d v="2024-08-31T00:00:00"/>
        <d v="2024-11-11T00:00:00"/>
        <d v="2024-11-01T00:00:00"/>
        <d v="2024-07-25T00:00:00"/>
        <d v="2024-11-24T00:00:00"/>
        <d v="2024-05-31T00:00:00"/>
        <d v="2024-04-19T00:00:00"/>
        <d v="2024-04-28T00:00:00"/>
        <d v="2024-09-30T00:00:00"/>
        <d v="2024-06-19T00:00:00"/>
        <d v="2024-04-24T00:00:00"/>
        <d v="2024-11-13T00:00:00"/>
        <d v="2024-08-19T00:00:00"/>
        <d v="2024-03-18T00:00:00"/>
        <d v="2024-03-28T00:00:00"/>
        <d v="2024-02-07T00:00:00"/>
        <d v="2024-11-29T00:00:00"/>
        <d v="2024-01-06T00:00:00"/>
        <d v="2024-04-27T00:00:00"/>
        <d v="2024-08-30T00:00:00"/>
        <d v="2024-04-09T00:00:00"/>
        <d v="2024-04-21T00:00:00"/>
        <d v="2024-09-28T00:00:00"/>
        <d v="2024-05-29T00:00:00"/>
        <d v="2024-02-29T00:00:00"/>
        <d v="2024-12-04T00:00:00"/>
        <d v="2024-11-22T00:00:00"/>
        <d v="2024-08-05T00:00:00"/>
        <d v="2024-04-01T00:00:00"/>
        <d v="2024-05-22T00:00:00"/>
        <d v="2024-12-14T00:00:00"/>
        <d v="2024-05-16T00:00:00"/>
        <d v="2024-05-28T00:00:00"/>
        <d v="2024-06-21T00:00:00"/>
        <d v="2024-05-23T00:00:00"/>
        <d v="2024-07-06T00:00:00"/>
        <d v="2024-11-08T00:00:00"/>
        <d v="2024-09-24T00:00:00"/>
        <d v="2024-03-12T00:00:00"/>
        <d v="2024-11-26T00:00:00"/>
        <d v="2024-12-20T00:00:00"/>
        <d v="2024-09-16T00:00:00"/>
        <d v="2024-02-26T00:00:00"/>
        <d v="2024-10-24T00:00:00"/>
        <d v="2024-01-26T00:00:00"/>
        <d v="2024-12-18T00:00:00"/>
        <d v="2024-08-16T00:00:00"/>
        <d v="2024-04-06T00:00:00"/>
        <d v="2024-10-18T00:00:00"/>
        <d v="2024-11-10T00:00:00"/>
        <d v="2024-05-26T00:00:00"/>
        <d v="2024-10-05T00:00:00"/>
        <d v="2024-03-30T00:00:00"/>
        <d v="2024-06-09T00:00:00"/>
        <d v="2024-11-15T00:00:00"/>
        <d v="2024-09-02T00:00:00"/>
        <d v="2024-03-19T00:00:00"/>
        <d v="2024-09-04T00:00:00"/>
        <d v="2024-06-14T00:00:00"/>
        <d v="2024-01-03T00:00:00"/>
        <d v="2024-04-02T00:00:00"/>
        <d v="2024-10-25T00:00:00"/>
        <d v="2024-07-28T00:00:00"/>
        <d v="2024-03-14T00:00:00"/>
        <d v="2024-07-04T00:00:00"/>
        <d v="2024-10-01T00:00:00"/>
        <d v="2024-05-05T00:00:00"/>
        <d v="2024-10-03T00:00:00"/>
        <d v="2024-10-30T00:00:00"/>
        <d v="2024-01-22T00:00:00"/>
        <d v="2024-09-22T00:00:00"/>
        <d v="2024-06-10T00:00:00"/>
        <d v="2024-09-21T00:00:00"/>
        <d v="2024-03-07T00:00:00"/>
        <d v="2024-12-09T00:00:00"/>
        <d v="2024-10-10T00:00:00"/>
        <d v="2024-06-11T00:00:00"/>
        <d v="2024-09-08T00:00:00"/>
        <d v="2024-09-19T00:00:00"/>
        <d v="2024-08-13T00:00:00"/>
        <d v="2024-04-16T00:00:00"/>
        <d v="2024-02-02T00:00:00"/>
        <d v="2024-11-20T00:00:00"/>
        <d v="2024-06-01T00:00:00"/>
        <d v="2024-03-26T00:00:00"/>
        <d v="2024-07-10T00:00:00"/>
        <d v="2024-01-12T00:00:00"/>
        <d v="2024-06-15T00:00:00"/>
        <d v="2024-06-26T00:00:00"/>
        <d v="2024-01-07T00:00:00"/>
        <d v="2024-06-24T00:00:00"/>
        <d v="2024-05-06T00:00:00"/>
        <d v="2024-05-09T00:00:00"/>
        <d v="2024-09-29T00:00:00"/>
        <d v="2024-03-16T00:00:00"/>
        <d v="2024-03-17T00:00:00"/>
        <d v="2024-07-24T00:00:00"/>
        <d v="2024-10-21T00:00:00"/>
        <d v="2024-10-04T00:00:00"/>
        <d v="2024-07-13T00:00:00"/>
        <d v="2024-11-12T00:00:00"/>
        <d v="2024-02-24T00:00:00"/>
        <d v="2024-11-14T00:00:00"/>
        <d v="2024-10-09T00:00:00"/>
        <d v="2024-05-12T00:00:00"/>
        <d v="2024-01-02T00:00:00"/>
        <d v="2024-08-25T00:00:00"/>
        <d v="2024-01-30T00:00:00"/>
        <d v="2024-01-29T00:00:00"/>
        <d v="2024-07-22T00:00:00"/>
        <d v="2024-05-15T00:00:00"/>
        <d v="2024-08-21T00:00:00"/>
        <d v="2024-08-02T00:00:00"/>
        <d v="2024-01-28T00:00:00"/>
        <d v="2024-02-15T00:00:00"/>
        <d v="2024-02-23T00:00:00"/>
        <d v="2024-09-15T00:00:00"/>
        <d v="2024-12-23T00:00:00"/>
        <d v="2024-04-13T00:00:00"/>
        <d v="2024-08-06T00:00:00"/>
        <d v="2024-08-09T00:00:00"/>
        <d v="2024-11-21T00:00:00"/>
        <d v="2024-11-27T00:00:00"/>
        <d v="2024-02-05T00:00:00"/>
        <d v="2024-01-17T00:00:00"/>
        <d v="2024-07-26T00:00:00"/>
        <d v="2024-12-05T00:00:00"/>
        <d v="2024-10-11T00:00:00"/>
        <d v="2024-01-14T00:00:00"/>
        <d v="2024-05-25T00:00:00"/>
        <d v="2024-10-07T00:00:00"/>
        <d v="2024-01-05T00:00:00"/>
        <d v="2024-04-04T00:00:00"/>
        <d v="2024-10-23T00:00:00"/>
        <d v="2024-12-16T00:00:00"/>
        <d v="2024-10-20T00:00:00"/>
        <d v="2024-01-01T00:00:00"/>
        <d v="2024-09-06T00:00:00"/>
        <d v="2024-12-02T00:00:00"/>
        <d v="2024-01-31T00:00:00"/>
        <d v="2024-03-27T00:00:00"/>
        <d v="2024-10-31T00:00:00"/>
        <d v="2024-12-13T00:00:00"/>
        <d v="2024-10-13T00:00:00"/>
        <d v="2024-12-17T00:00:00"/>
        <d v="2024-11-25T00:00:00"/>
        <d v="2024-06-08T00:00:00"/>
        <d v="2024-08-01T00:00:00"/>
        <d v="2024-08-12T00:00:00"/>
        <d v="2024-10-14T00:00:00"/>
        <d v="2024-07-08T00:00:00"/>
        <d v="2024-01-25T00:00:00"/>
        <d v="2024-09-20T00:00:00"/>
        <d v="2024-12-15T00:00:00"/>
        <d v="2024-06-05T00:00:00"/>
        <d v="2024-07-20T00:00:00"/>
        <d v="2024-10-16T00:00:00"/>
        <d v="2024-01-04T00:00:00"/>
        <d v="2024-03-21T00:00:00"/>
        <d v="2024-02-16T00:00:00"/>
        <d v="2024-08-20T00:00:00"/>
        <d v="2024-06-23T00:00:00"/>
        <d v="2024-10-28T00:00:00"/>
        <d v="2024-07-16T00:00:00"/>
        <d v="2024-03-08T00:00:00"/>
      </sharedItems>
    </cacheField>
    <cacheField name="EnergyConsumed_kWh" numFmtId="0">
      <sharedItems containsSemiMixedTypes="0" containsString="0" containsNumber="1" minValue="5.15" maxValue="99.88"/>
    </cacheField>
    <cacheField name="PeakUsage_kWh" numFmtId="0">
      <sharedItems containsSemiMixedTypes="0" containsString="0" containsNumber="1" minValue="1.01" maxValue="10"/>
    </cacheField>
    <cacheField name="OutageMinutes" numFmtId="0">
      <sharedItems containsSemiMixedTypes="0" containsString="0" containsNumber="1" containsInteger="1" minValue="0" maxValue="120"/>
    </cacheField>
    <cacheField name="MeterStatus" numFmtId="0">
      <sharedItems count="2">
        <s v="Faulty"/>
        <s v="Active"/>
      </sharedItems>
    </cacheField>
    <cacheField name="TariffRate" numFmtId="0">
      <sharedItems containsSemiMixedTypes="0" containsString="0" containsNumber="1" minValue="3" maxValue="9.99"/>
    </cacheField>
    <cacheField name="Month" numFmtId="0">
      <sharedItems count="12">
        <s v="Apr"/>
        <s v="Oct"/>
        <s v="Jun"/>
        <s v="Feb"/>
        <s v="Mar"/>
        <s v="Jul"/>
        <s v="Jan"/>
        <s v="Dec"/>
        <s v="Sep"/>
        <s v="Nov"/>
        <s v="Aug"/>
        <s v="May"/>
      </sharedItems>
    </cacheField>
    <cacheField name="Year" numFmtId="0">
      <sharedItems containsSemiMixedTypes="0" containsString="0" containsNumber="1" containsInteger="1" minValue="2024" maxValue="2024"/>
    </cacheField>
    <cacheField name="Cost" numFmtId="0">
      <sharedItems containsSemiMixedTypes="0" containsString="0" containsNumber="1" minValue="21.148399999999999" maxValue="970.83360000000005"/>
    </cacheField>
    <cacheField name="Day Type" numFmtId="0">
      <sharedItems/>
    </cacheField>
  </cacheFields>
  <extLst>
    <ext xmlns:x14="http://schemas.microsoft.com/office/spreadsheetml/2009/9/main" uri="{725AE2AE-9491-48be-B2B4-4EB974FC3084}">
      <x14:pivotCacheDefinition pivotCacheId="599097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s v="M1000"/>
    <x v="0"/>
    <s v="Commercial"/>
    <x v="0"/>
    <n v="85.81"/>
    <n v="1.01"/>
    <n v="106"/>
    <x v="0"/>
    <n v="3.91"/>
    <x v="0"/>
    <n v="2024"/>
    <n v="335.51710000000003"/>
    <s v="Weekday"/>
  </r>
  <r>
    <s v="M1001"/>
    <x v="1"/>
    <s v="Residential"/>
    <x v="1"/>
    <n v="17.95"/>
    <n v="3.01"/>
    <n v="56"/>
    <x v="0"/>
    <n v="4.8099999999999996"/>
    <x v="1"/>
    <n v="2024"/>
    <n v="86.339499999999987"/>
    <s v="Weekday"/>
  </r>
  <r>
    <s v="M1002"/>
    <x v="2"/>
    <s v="Commercial"/>
    <x v="2"/>
    <n v="6.42"/>
    <n v="9.31"/>
    <n v="118"/>
    <x v="1"/>
    <n v="6.48"/>
    <x v="0"/>
    <n v="2024"/>
    <n v="41.601600000000005"/>
    <s v="Weekend"/>
  </r>
  <r>
    <s v="M1003"/>
    <x v="1"/>
    <s v="Residential"/>
    <x v="3"/>
    <n v="97.88"/>
    <n v="5.69"/>
    <n v="37"/>
    <x v="0"/>
    <n v="5.76"/>
    <x v="2"/>
    <n v="2024"/>
    <n v="563.78879999999992"/>
    <s v="Weekday"/>
  </r>
  <r>
    <s v="M1004"/>
    <x v="1"/>
    <s v="Commercial"/>
    <x v="4"/>
    <n v="29.49"/>
    <n v="3.11"/>
    <n v="12"/>
    <x v="0"/>
    <n v="5.97"/>
    <x v="3"/>
    <n v="2024"/>
    <n v="176.05529999999999"/>
    <s v="Weekday"/>
  </r>
  <r>
    <s v="M1005"/>
    <x v="0"/>
    <s v="Commercial"/>
    <x v="5"/>
    <n v="95.67"/>
    <n v="6.34"/>
    <n v="105"/>
    <x v="0"/>
    <n v="8.94"/>
    <x v="4"/>
    <n v="2024"/>
    <n v="855.28980000000001"/>
    <s v="Weekday"/>
  </r>
  <r>
    <s v="M1006"/>
    <x v="1"/>
    <s v="Commercial"/>
    <x v="6"/>
    <n v="13.87"/>
    <n v="2.59"/>
    <n v="56"/>
    <x v="1"/>
    <n v="4.53"/>
    <x v="5"/>
    <n v="2024"/>
    <n v="62.831099999999999"/>
    <s v="Weekend"/>
  </r>
  <r>
    <s v="M1007"/>
    <x v="0"/>
    <s v="Industrial"/>
    <x v="7"/>
    <n v="45.04"/>
    <n v="2.57"/>
    <n v="40"/>
    <x v="0"/>
    <n v="6.43"/>
    <x v="6"/>
    <n v="2024"/>
    <n v="289.60719999999998"/>
    <s v="Weekend"/>
  </r>
  <r>
    <s v="M1008"/>
    <x v="1"/>
    <s v="Residential"/>
    <x v="8"/>
    <n v="84.13"/>
    <n v="7.69"/>
    <n v="91"/>
    <x v="1"/>
    <n v="4.24"/>
    <x v="7"/>
    <n v="2024"/>
    <n v="356.71120000000002"/>
    <s v="Weekday"/>
  </r>
  <r>
    <s v="M1009"/>
    <x v="1"/>
    <s v="Industrial"/>
    <x v="9"/>
    <n v="18.36"/>
    <n v="2.21"/>
    <n v="56"/>
    <x v="1"/>
    <n v="9.43"/>
    <x v="8"/>
    <n v="2024"/>
    <n v="173.13479999999998"/>
    <s v="Weekday"/>
  </r>
  <r>
    <s v="M1010"/>
    <x v="0"/>
    <s v="Commercial"/>
    <x v="10"/>
    <n v="75.88"/>
    <n v="7.09"/>
    <n v="44"/>
    <x v="0"/>
    <n v="9.3800000000000008"/>
    <x v="7"/>
    <n v="2024"/>
    <n v="711.75440000000003"/>
    <s v="Weekend"/>
  </r>
  <r>
    <s v="M1011"/>
    <x v="2"/>
    <s v="Industrial"/>
    <x v="11"/>
    <n v="80.77"/>
    <n v="8.67"/>
    <n v="33"/>
    <x v="0"/>
    <n v="7.24"/>
    <x v="3"/>
    <n v="2024"/>
    <n v="584.77480000000003"/>
    <s v="Weekend"/>
  </r>
  <r>
    <s v="M1012"/>
    <x v="2"/>
    <s v="Commercial"/>
    <x v="12"/>
    <n v="41.03"/>
    <n v="4.0599999999999996"/>
    <n v="76"/>
    <x v="1"/>
    <n v="5.31"/>
    <x v="7"/>
    <n v="2024"/>
    <n v="217.86929999999998"/>
    <s v="Weekday"/>
  </r>
  <r>
    <s v="M1013"/>
    <x v="1"/>
    <s v="Industrial"/>
    <x v="13"/>
    <n v="36.54"/>
    <n v="8.73"/>
    <n v="106"/>
    <x v="1"/>
    <n v="6.64"/>
    <x v="2"/>
    <n v="2024"/>
    <n v="242.62559999999999"/>
    <s v="Weekend"/>
  </r>
  <r>
    <s v="M1014"/>
    <x v="1"/>
    <s v="Industrial"/>
    <x v="14"/>
    <n v="72.209999999999994"/>
    <n v="8.67"/>
    <n v="58"/>
    <x v="0"/>
    <n v="8.85"/>
    <x v="1"/>
    <n v="2024"/>
    <n v="639.05849999999987"/>
    <s v="Weekday"/>
  </r>
  <r>
    <s v="M1015"/>
    <x v="2"/>
    <s v="Commercial"/>
    <x v="7"/>
    <n v="95.98"/>
    <n v="9"/>
    <n v="98"/>
    <x v="1"/>
    <n v="7.78"/>
    <x v="6"/>
    <n v="2024"/>
    <n v="746.72440000000006"/>
    <s v="Weekend"/>
  </r>
  <r>
    <s v="M1016"/>
    <x v="0"/>
    <s v="Residential"/>
    <x v="15"/>
    <n v="9.7899999999999991"/>
    <n v="7.06"/>
    <n v="38"/>
    <x v="0"/>
    <n v="6.54"/>
    <x v="9"/>
    <n v="2024"/>
    <n v="64.026599999999988"/>
    <s v="Weekday"/>
  </r>
  <r>
    <s v="M1017"/>
    <x v="2"/>
    <s v="Residential"/>
    <x v="16"/>
    <n v="19.62"/>
    <n v="5.14"/>
    <n v="62"/>
    <x v="0"/>
    <n v="5.08"/>
    <x v="9"/>
    <n v="2024"/>
    <n v="99.669600000000003"/>
    <s v="Weekday"/>
  </r>
  <r>
    <s v="M1018"/>
    <x v="0"/>
    <s v="Commercial"/>
    <x v="17"/>
    <n v="64.55"/>
    <n v="3.78"/>
    <n v="5"/>
    <x v="1"/>
    <n v="6"/>
    <x v="5"/>
    <n v="2024"/>
    <n v="387.29999999999995"/>
    <s v="Weekday"/>
  </r>
  <r>
    <s v="M1019"/>
    <x v="0"/>
    <s v="Residential"/>
    <x v="18"/>
    <n v="68.89"/>
    <n v="5.93"/>
    <n v="16"/>
    <x v="0"/>
    <n v="8.44"/>
    <x v="10"/>
    <n v="2024"/>
    <n v="581.4316"/>
    <s v="Weekday"/>
  </r>
  <r>
    <s v="M1020"/>
    <x v="0"/>
    <s v="Industrial"/>
    <x v="19"/>
    <n v="17.3"/>
    <n v="3.53"/>
    <n v="29"/>
    <x v="1"/>
    <n v="5.04"/>
    <x v="3"/>
    <n v="2024"/>
    <n v="87.192000000000007"/>
    <s v="Weekday"/>
  </r>
  <r>
    <s v="M1021"/>
    <x v="0"/>
    <s v="Industrial"/>
    <x v="20"/>
    <n v="85.44"/>
    <n v="3.1"/>
    <n v="69"/>
    <x v="0"/>
    <n v="9.39"/>
    <x v="4"/>
    <n v="2024"/>
    <n v="802.28160000000003"/>
    <s v="Weekday"/>
  </r>
  <r>
    <s v="M1022"/>
    <x v="2"/>
    <s v="Residential"/>
    <x v="21"/>
    <n v="6.66"/>
    <n v="9.11"/>
    <n v="87"/>
    <x v="0"/>
    <n v="3.66"/>
    <x v="5"/>
    <n v="2024"/>
    <n v="24.375600000000002"/>
    <s v="Weekday"/>
  </r>
  <r>
    <s v="M1023"/>
    <x v="2"/>
    <s v="Residential"/>
    <x v="22"/>
    <n v="44.61"/>
    <n v="1.42"/>
    <n v="66"/>
    <x v="0"/>
    <n v="8.83"/>
    <x v="0"/>
    <n v="2024"/>
    <n v="393.90629999999999"/>
    <s v="Weekday"/>
  </r>
  <r>
    <s v="M1024"/>
    <x v="0"/>
    <s v="Commercial"/>
    <x v="23"/>
    <n v="68.349999999999994"/>
    <n v="8.75"/>
    <n v="30"/>
    <x v="0"/>
    <n v="6.3"/>
    <x v="4"/>
    <n v="2024"/>
    <n v="430.60499999999996"/>
    <s v="Weekend"/>
  </r>
  <r>
    <s v="M1025"/>
    <x v="2"/>
    <s v="Commercial"/>
    <x v="24"/>
    <n v="93.18"/>
    <n v="2.1800000000000002"/>
    <n v="13"/>
    <x v="0"/>
    <n v="4.3099999999999996"/>
    <x v="6"/>
    <n v="2024"/>
    <n v="401.60579999999999"/>
    <s v="Weekend"/>
  </r>
  <r>
    <s v="M1026"/>
    <x v="1"/>
    <s v="Residential"/>
    <x v="25"/>
    <n v="43.81"/>
    <n v="9.9499999999999993"/>
    <n v="79"/>
    <x v="1"/>
    <n v="9.64"/>
    <x v="6"/>
    <n v="2024"/>
    <n v="422.32840000000004"/>
    <s v="Weekday"/>
  </r>
  <r>
    <s v="M1027"/>
    <x v="2"/>
    <s v="Industrial"/>
    <x v="26"/>
    <n v="48.89"/>
    <n v="2.0499999999999998"/>
    <n v="72"/>
    <x v="0"/>
    <n v="4.95"/>
    <x v="7"/>
    <n v="2024"/>
    <n v="242.00550000000001"/>
    <s v="Weekend"/>
  </r>
  <r>
    <s v="M1028"/>
    <x v="1"/>
    <s v="Residential"/>
    <x v="27"/>
    <n v="75.56"/>
    <n v="1.81"/>
    <n v="76"/>
    <x v="1"/>
    <n v="4.33"/>
    <x v="2"/>
    <n v="2024"/>
    <n v="327.1748"/>
    <s v="Weekday"/>
  </r>
  <r>
    <s v="M1029"/>
    <x v="1"/>
    <s v="Industrial"/>
    <x v="28"/>
    <n v="94.28"/>
    <n v="3.91"/>
    <n v="17"/>
    <x v="1"/>
    <n v="7.11"/>
    <x v="2"/>
    <n v="2024"/>
    <n v="670.33080000000007"/>
    <s v="Weekday"/>
  </r>
  <r>
    <s v="M1030"/>
    <x v="2"/>
    <s v="Industrial"/>
    <x v="29"/>
    <n v="32.46"/>
    <n v="3.56"/>
    <n v="40"/>
    <x v="0"/>
    <n v="7.03"/>
    <x v="8"/>
    <n v="2024"/>
    <n v="228.19380000000001"/>
    <s v="Weekday"/>
  </r>
  <r>
    <s v="M1031"/>
    <x v="0"/>
    <s v="Industrial"/>
    <x v="30"/>
    <n v="65.38"/>
    <n v="6.38"/>
    <n v="18"/>
    <x v="1"/>
    <n v="3.73"/>
    <x v="0"/>
    <n v="2024"/>
    <n v="243.86739999999998"/>
    <s v="Weekday"/>
  </r>
  <r>
    <s v="M1032"/>
    <x v="1"/>
    <s v="Commercial"/>
    <x v="31"/>
    <n v="12.81"/>
    <n v="4.8899999999999997"/>
    <n v="46"/>
    <x v="0"/>
    <n v="5.0999999999999996"/>
    <x v="2"/>
    <n v="2024"/>
    <n v="65.331000000000003"/>
    <s v="Weekday"/>
  </r>
  <r>
    <s v="M1033"/>
    <x v="2"/>
    <s v="Residential"/>
    <x v="2"/>
    <n v="86.26"/>
    <n v="2.4700000000000002"/>
    <n v="13"/>
    <x v="0"/>
    <n v="8.3000000000000007"/>
    <x v="0"/>
    <n v="2024"/>
    <n v="715.95800000000008"/>
    <s v="Weekend"/>
  </r>
  <r>
    <s v="M1034"/>
    <x v="2"/>
    <s v="Residential"/>
    <x v="32"/>
    <n v="21.29"/>
    <n v="1.91"/>
    <n v="110"/>
    <x v="0"/>
    <n v="6.32"/>
    <x v="11"/>
    <n v="2024"/>
    <n v="134.55279999999999"/>
    <s v="Weekend"/>
  </r>
  <r>
    <s v="M1035"/>
    <x v="1"/>
    <s v="Commercial"/>
    <x v="33"/>
    <n v="92.76"/>
    <n v="1.96"/>
    <n v="99"/>
    <x v="1"/>
    <n v="9.0500000000000007"/>
    <x v="3"/>
    <n v="2024"/>
    <n v="839.47800000000007"/>
    <s v="Weekend"/>
  </r>
  <r>
    <s v="M1036"/>
    <x v="1"/>
    <s v="Residential"/>
    <x v="34"/>
    <n v="89.38"/>
    <n v="4.3"/>
    <n v="54"/>
    <x v="0"/>
    <n v="9.5299999999999994"/>
    <x v="6"/>
    <n v="2024"/>
    <n v="851.79139999999995"/>
    <s v="Weekend"/>
  </r>
  <r>
    <s v="M1037"/>
    <x v="1"/>
    <s v="Residential"/>
    <x v="35"/>
    <n v="97.59"/>
    <n v="3.76"/>
    <n v="62"/>
    <x v="0"/>
    <n v="5.17"/>
    <x v="7"/>
    <n v="2024"/>
    <n v="504.5403"/>
    <s v="Weekday"/>
  </r>
  <r>
    <s v="M1038"/>
    <x v="0"/>
    <s v="Residential"/>
    <x v="36"/>
    <n v="49.69"/>
    <n v="2.46"/>
    <n v="39"/>
    <x v="0"/>
    <n v="9.44"/>
    <x v="2"/>
    <n v="2024"/>
    <n v="469.07359999999994"/>
    <s v="Weekday"/>
  </r>
  <r>
    <s v="M1039"/>
    <x v="2"/>
    <s v="Commercial"/>
    <x v="37"/>
    <n v="70.06"/>
    <n v="5.15"/>
    <n v="77"/>
    <x v="1"/>
    <n v="7.86"/>
    <x v="10"/>
    <n v="2024"/>
    <n v="550.67160000000001"/>
    <s v="Weekend"/>
  </r>
  <r>
    <s v="M1040"/>
    <x v="2"/>
    <s v="Commercial"/>
    <x v="38"/>
    <n v="16.11"/>
    <n v="2.09"/>
    <n v="67"/>
    <x v="0"/>
    <n v="9.49"/>
    <x v="0"/>
    <n v="2024"/>
    <n v="152.88390000000001"/>
    <s v="Weekday"/>
  </r>
  <r>
    <s v="M1041"/>
    <x v="2"/>
    <s v="Industrial"/>
    <x v="39"/>
    <n v="52.97"/>
    <n v="7.77"/>
    <n v="27"/>
    <x v="1"/>
    <n v="4.03"/>
    <x v="2"/>
    <n v="2024"/>
    <n v="213.4691"/>
    <s v="Weekday"/>
  </r>
  <r>
    <s v="M1042"/>
    <x v="1"/>
    <s v="Commercial"/>
    <x v="40"/>
    <n v="50.65"/>
    <n v="5.93"/>
    <n v="93"/>
    <x v="1"/>
    <n v="6.79"/>
    <x v="10"/>
    <n v="2024"/>
    <n v="343.9135"/>
    <s v="Weekend"/>
  </r>
  <r>
    <s v="M1043"/>
    <x v="2"/>
    <s v="Industrial"/>
    <x v="41"/>
    <n v="65.150000000000006"/>
    <n v="8.51"/>
    <n v="119"/>
    <x v="1"/>
    <n v="4.0999999999999996"/>
    <x v="6"/>
    <n v="2024"/>
    <n v="267.11500000000001"/>
    <s v="Weekday"/>
  </r>
  <r>
    <s v="M1044"/>
    <x v="1"/>
    <s v="Commercial"/>
    <x v="42"/>
    <n v="87.55"/>
    <n v="2.79"/>
    <n v="44"/>
    <x v="1"/>
    <n v="3.52"/>
    <x v="1"/>
    <n v="2024"/>
    <n v="308.17599999999999"/>
    <s v="Weekend"/>
  </r>
  <r>
    <s v="M1045"/>
    <x v="2"/>
    <s v="Industrial"/>
    <x v="39"/>
    <n v="30.59"/>
    <n v="1.99"/>
    <n v="12"/>
    <x v="1"/>
    <n v="3.59"/>
    <x v="2"/>
    <n v="2024"/>
    <n v="109.8181"/>
    <s v="Weekday"/>
  </r>
  <r>
    <s v="M1046"/>
    <x v="0"/>
    <s v="Industrial"/>
    <x v="43"/>
    <n v="88.43"/>
    <n v="8.6"/>
    <n v="38"/>
    <x v="1"/>
    <n v="9.5299999999999994"/>
    <x v="11"/>
    <n v="2024"/>
    <n v="842.73789999999997"/>
    <s v="Weekday"/>
  </r>
  <r>
    <s v="M1047"/>
    <x v="2"/>
    <s v="Industrial"/>
    <x v="44"/>
    <n v="34.020000000000003"/>
    <n v="2.2200000000000002"/>
    <n v="29"/>
    <x v="0"/>
    <n v="7.34"/>
    <x v="8"/>
    <n v="2024"/>
    <n v="249.70680000000002"/>
    <s v="Weekend"/>
  </r>
  <r>
    <s v="M1048"/>
    <x v="2"/>
    <s v="Residential"/>
    <x v="45"/>
    <n v="20.58"/>
    <n v="5.74"/>
    <n v="36"/>
    <x v="0"/>
    <n v="7.51"/>
    <x v="10"/>
    <n v="2024"/>
    <n v="154.55579999999998"/>
    <s v="Weekday"/>
  </r>
  <r>
    <s v="M1049"/>
    <x v="1"/>
    <s v="Commercial"/>
    <x v="46"/>
    <n v="83.78"/>
    <n v="3.37"/>
    <n v="101"/>
    <x v="1"/>
    <n v="8.93"/>
    <x v="2"/>
    <n v="2024"/>
    <n v="748.15539999999999"/>
    <s v="Weekday"/>
  </r>
  <r>
    <s v="M1050"/>
    <x v="1"/>
    <s v="Residential"/>
    <x v="47"/>
    <n v="94.66"/>
    <n v="4.3600000000000003"/>
    <n v="73"/>
    <x v="0"/>
    <n v="8.52"/>
    <x v="8"/>
    <n v="2024"/>
    <n v="806.50319999999988"/>
    <s v="Weekday"/>
  </r>
  <r>
    <s v="M1051"/>
    <x v="1"/>
    <s v="Commercial"/>
    <x v="2"/>
    <n v="40.89"/>
    <n v="2.1"/>
    <n v="69"/>
    <x v="1"/>
    <n v="7.67"/>
    <x v="0"/>
    <n v="2024"/>
    <n v="313.62630000000001"/>
    <s v="Weekend"/>
  </r>
  <r>
    <s v="M1052"/>
    <x v="1"/>
    <s v="Industrial"/>
    <x v="48"/>
    <n v="63.09"/>
    <n v="8.91"/>
    <n v="4"/>
    <x v="0"/>
    <n v="9.41"/>
    <x v="8"/>
    <n v="2024"/>
    <n v="593.67690000000005"/>
    <s v="Weekday"/>
  </r>
  <r>
    <s v="M1053"/>
    <x v="0"/>
    <s v="Commercial"/>
    <x v="49"/>
    <n v="36.47"/>
    <n v="4.37"/>
    <n v="41"/>
    <x v="1"/>
    <n v="3.38"/>
    <x v="2"/>
    <n v="2024"/>
    <n v="123.26859999999999"/>
    <s v="Weekday"/>
  </r>
  <r>
    <s v="M1054"/>
    <x v="0"/>
    <s v="Industrial"/>
    <x v="2"/>
    <n v="18.78"/>
    <n v="5.62"/>
    <n v="104"/>
    <x v="0"/>
    <n v="4.34"/>
    <x v="0"/>
    <n v="2024"/>
    <n v="81.505200000000002"/>
    <s v="Weekend"/>
  </r>
  <r>
    <s v="M1055"/>
    <x v="0"/>
    <s v="Residential"/>
    <x v="50"/>
    <n v="53.44"/>
    <n v="3.28"/>
    <n v="31"/>
    <x v="0"/>
    <n v="7.44"/>
    <x v="7"/>
    <n v="2024"/>
    <n v="397.59359999999998"/>
    <s v="Weekday"/>
  </r>
  <r>
    <s v="M1056"/>
    <x v="0"/>
    <s v="Commercial"/>
    <x v="51"/>
    <n v="19.61"/>
    <n v="7.91"/>
    <n v="13"/>
    <x v="0"/>
    <n v="6.98"/>
    <x v="2"/>
    <n v="2024"/>
    <n v="136.87780000000001"/>
    <s v="Weekend"/>
  </r>
  <r>
    <s v="M1057"/>
    <x v="0"/>
    <s v="Residential"/>
    <x v="30"/>
    <n v="17.420000000000002"/>
    <n v="3.86"/>
    <n v="41"/>
    <x v="1"/>
    <n v="9.3800000000000008"/>
    <x v="0"/>
    <n v="2024"/>
    <n v="163.39960000000002"/>
    <s v="Weekday"/>
  </r>
  <r>
    <s v="M1058"/>
    <x v="0"/>
    <s v="Commercial"/>
    <x v="52"/>
    <n v="13.65"/>
    <n v="1.95"/>
    <n v="119"/>
    <x v="1"/>
    <n v="6.5"/>
    <x v="5"/>
    <n v="2024"/>
    <n v="88.725000000000009"/>
    <s v="Weekday"/>
  </r>
  <r>
    <s v="M1059"/>
    <x v="0"/>
    <s v="Commercial"/>
    <x v="53"/>
    <n v="32.799999999999997"/>
    <n v="8.5500000000000007"/>
    <n v="66"/>
    <x v="0"/>
    <n v="7.32"/>
    <x v="9"/>
    <n v="2024"/>
    <n v="240.09599999999998"/>
    <s v="Weekend"/>
  </r>
  <r>
    <s v="M1060"/>
    <x v="1"/>
    <s v="Industrial"/>
    <x v="54"/>
    <n v="7.99"/>
    <n v="3.69"/>
    <n v="48"/>
    <x v="1"/>
    <n v="8.16"/>
    <x v="10"/>
    <n v="2024"/>
    <n v="65.198400000000007"/>
    <s v="Weekday"/>
  </r>
  <r>
    <s v="M1061"/>
    <x v="2"/>
    <s v="Commercial"/>
    <x v="55"/>
    <n v="23.1"/>
    <n v="2.73"/>
    <n v="106"/>
    <x v="0"/>
    <n v="5.48"/>
    <x v="7"/>
    <n v="2024"/>
    <n v="126.58800000000002"/>
    <s v="Weekend"/>
  </r>
  <r>
    <s v="M1062"/>
    <x v="2"/>
    <s v="Industrial"/>
    <x v="56"/>
    <n v="22.62"/>
    <n v="6.94"/>
    <n v="74"/>
    <x v="1"/>
    <n v="3.44"/>
    <x v="9"/>
    <n v="2024"/>
    <n v="77.812799999999996"/>
    <s v="Weekday"/>
  </r>
  <r>
    <s v="M1063"/>
    <x v="2"/>
    <s v="Commercial"/>
    <x v="57"/>
    <n v="21.87"/>
    <n v="6.81"/>
    <n v="20"/>
    <x v="0"/>
    <n v="8.59"/>
    <x v="11"/>
    <n v="2024"/>
    <n v="187.86330000000001"/>
    <s v="Weekday"/>
  </r>
  <r>
    <s v="M1064"/>
    <x v="1"/>
    <s v="Industrial"/>
    <x v="20"/>
    <n v="23.56"/>
    <n v="5.16"/>
    <n v="59"/>
    <x v="1"/>
    <n v="5.16"/>
    <x v="4"/>
    <n v="2024"/>
    <n v="121.56959999999999"/>
    <s v="Weekday"/>
  </r>
  <r>
    <s v="M1065"/>
    <x v="2"/>
    <s v="Residential"/>
    <x v="58"/>
    <n v="28.54"/>
    <n v="6.08"/>
    <n v="17"/>
    <x v="0"/>
    <n v="7.35"/>
    <x v="5"/>
    <n v="2024"/>
    <n v="209.76899999999998"/>
    <s v="Weekday"/>
  </r>
  <r>
    <s v="M1066"/>
    <x v="1"/>
    <s v="Commercial"/>
    <x v="59"/>
    <n v="96.12"/>
    <n v="6.83"/>
    <n v="114"/>
    <x v="0"/>
    <n v="9.11"/>
    <x v="4"/>
    <n v="2024"/>
    <n v="875.65319999999997"/>
    <s v="Weekend"/>
  </r>
  <r>
    <s v="M1067"/>
    <x v="1"/>
    <s v="Industrial"/>
    <x v="60"/>
    <n v="70.040000000000006"/>
    <n v="7.92"/>
    <n v="39"/>
    <x v="0"/>
    <n v="6.49"/>
    <x v="0"/>
    <n v="2024"/>
    <n v="454.55960000000005"/>
    <s v="Weekday"/>
  </r>
  <r>
    <s v="M1068"/>
    <x v="0"/>
    <s v="Industrial"/>
    <x v="24"/>
    <n v="16"/>
    <n v="5.73"/>
    <n v="13"/>
    <x v="0"/>
    <n v="6.48"/>
    <x v="6"/>
    <n v="2024"/>
    <n v="103.68"/>
    <s v="Weekend"/>
  </r>
  <r>
    <s v="M1069"/>
    <x v="1"/>
    <s v="Commercial"/>
    <x v="61"/>
    <n v="32.6"/>
    <n v="7.33"/>
    <n v="41"/>
    <x v="1"/>
    <n v="7.31"/>
    <x v="3"/>
    <n v="2024"/>
    <n v="238.30600000000001"/>
    <s v="Weekday"/>
  </r>
  <r>
    <s v="M1070"/>
    <x v="1"/>
    <s v="Residential"/>
    <x v="62"/>
    <n v="86.88"/>
    <n v="9.18"/>
    <n v="81"/>
    <x v="0"/>
    <n v="9.43"/>
    <x v="5"/>
    <n v="2024"/>
    <n v="819.27839999999992"/>
    <s v="Weekday"/>
  </r>
  <r>
    <s v="M1071"/>
    <x v="1"/>
    <s v="Commercial"/>
    <x v="53"/>
    <n v="99.37"/>
    <n v="4.84"/>
    <n v="23"/>
    <x v="0"/>
    <n v="4.63"/>
    <x v="9"/>
    <n v="2024"/>
    <n v="460.0831"/>
    <s v="Weekend"/>
  </r>
  <r>
    <s v="M1072"/>
    <x v="0"/>
    <s v="Residential"/>
    <x v="63"/>
    <n v="73.25"/>
    <n v="6.7"/>
    <n v="95"/>
    <x v="0"/>
    <n v="6.77"/>
    <x v="0"/>
    <n v="2024"/>
    <n v="495.90249999999997"/>
    <s v="Weekend"/>
  </r>
  <r>
    <s v="M1073"/>
    <x v="0"/>
    <s v="Commercial"/>
    <x v="64"/>
    <n v="51.77"/>
    <n v="3.08"/>
    <n v="117"/>
    <x v="1"/>
    <n v="5.04"/>
    <x v="1"/>
    <n v="2024"/>
    <n v="260.92080000000004"/>
    <s v="Weekday"/>
  </r>
  <r>
    <s v="M1074"/>
    <x v="0"/>
    <s v="Residential"/>
    <x v="65"/>
    <n v="65.150000000000006"/>
    <n v="7.91"/>
    <n v="3"/>
    <x v="1"/>
    <n v="6.08"/>
    <x v="1"/>
    <n v="2024"/>
    <n v="396.11200000000002"/>
    <s v="Weekday"/>
  </r>
  <r>
    <s v="M1075"/>
    <x v="0"/>
    <s v="Industrial"/>
    <x v="66"/>
    <n v="24.8"/>
    <n v="6.78"/>
    <n v="50"/>
    <x v="0"/>
    <n v="9.99"/>
    <x v="4"/>
    <n v="2024"/>
    <n v="247.75200000000001"/>
    <s v="Weekday"/>
  </r>
  <r>
    <s v="M1076"/>
    <x v="0"/>
    <s v="Industrial"/>
    <x v="67"/>
    <n v="43.54"/>
    <n v="7.84"/>
    <n v="59"/>
    <x v="1"/>
    <n v="7.43"/>
    <x v="4"/>
    <n v="2024"/>
    <n v="323.50219999999996"/>
    <s v="Weekend"/>
  </r>
  <r>
    <s v="M1077"/>
    <x v="1"/>
    <s v="Industrial"/>
    <x v="68"/>
    <n v="79.42"/>
    <n v="8.3800000000000008"/>
    <n v="55"/>
    <x v="1"/>
    <n v="4.7"/>
    <x v="8"/>
    <n v="2024"/>
    <n v="373.274"/>
    <s v="Weekend"/>
  </r>
  <r>
    <s v="M1078"/>
    <x v="1"/>
    <s v="Residential"/>
    <x v="69"/>
    <n v="51.64"/>
    <n v="4.4000000000000004"/>
    <n v="88"/>
    <x v="0"/>
    <n v="9.2200000000000006"/>
    <x v="7"/>
    <n v="2024"/>
    <n v="476.12080000000003"/>
    <s v="Weekday"/>
  </r>
  <r>
    <s v="M1079"/>
    <x v="0"/>
    <s v="Commercial"/>
    <x v="70"/>
    <n v="86.19"/>
    <n v="9.0299999999999994"/>
    <n v="1"/>
    <x v="0"/>
    <n v="7.96"/>
    <x v="4"/>
    <n v="2024"/>
    <n v="686.07240000000002"/>
    <s v="Weekend"/>
  </r>
  <r>
    <s v="M1080"/>
    <x v="2"/>
    <s v="Industrial"/>
    <x v="71"/>
    <n v="76.48"/>
    <n v="4.51"/>
    <n v="83"/>
    <x v="0"/>
    <n v="3.94"/>
    <x v="0"/>
    <n v="2024"/>
    <n v="301.33120000000002"/>
    <s v="Weekday"/>
  </r>
  <r>
    <s v="M1081"/>
    <x v="0"/>
    <s v="Industrial"/>
    <x v="72"/>
    <n v="20.98"/>
    <n v="4.25"/>
    <n v="21"/>
    <x v="1"/>
    <n v="7.06"/>
    <x v="9"/>
    <n v="2024"/>
    <n v="148.11879999999999"/>
    <s v="Weekend"/>
  </r>
  <r>
    <s v="M1082"/>
    <x v="2"/>
    <s v="Industrial"/>
    <x v="73"/>
    <n v="57.77"/>
    <n v="4.8"/>
    <n v="113"/>
    <x v="1"/>
    <n v="7.41"/>
    <x v="5"/>
    <n v="2024"/>
    <n v="428.07570000000004"/>
    <s v="Weekday"/>
  </r>
  <r>
    <s v="M1083"/>
    <x v="2"/>
    <s v="Commercial"/>
    <x v="74"/>
    <n v="12.84"/>
    <n v="4.25"/>
    <n v="36"/>
    <x v="1"/>
    <n v="9.92"/>
    <x v="1"/>
    <n v="2024"/>
    <n v="127.3728"/>
    <s v="Weekend"/>
  </r>
  <r>
    <s v="M1084"/>
    <x v="0"/>
    <s v="Commercial"/>
    <x v="75"/>
    <n v="31.48"/>
    <n v="4.8600000000000003"/>
    <n v="91"/>
    <x v="1"/>
    <n v="7.17"/>
    <x v="10"/>
    <n v="2024"/>
    <n v="225.7116"/>
    <s v="Weekend"/>
  </r>
  <r>
    <s v="M1085"/>
    <x v="2"/>
    <s v="Residential"/>
    <x v="76"/>
    <n v="97.27"/>
    <n v="5.29"/>
    <n v="18"/>
    <x v="0"/>
    <n v="9.2899999999999991"/>
    <x v="7"/>
    <n v="2024"/>
    <n v="903.63829999999984"/>
    <s v="Weekend"/>
  </r>
  <r>
    <s v="M1086"/>
    <x v="1"/>
    <s v="Commercial"/>
    <x v="77"/>
    <n v="84.77"/>
    <n v="3.72"/>
    <n v="39"/>
    <x v="0"/>
    <n v="5.97"/>
    <x v="2"/>
    <n v="2024"/>
    <n v="506.07689999999997"/>
    <s v="Weekday"/>
  </r>
  <r>
    <s v="M1087"/>
    <x v="1"/>
    <s v="Commercial"/>
    <x v="78"/>
    <n v="54.94"/>
    <n v="9.27"/>
    <n v="30"/>
    <x v="1"/>
    <n v="7.23"/>
    <x v="3"/>
    <n v="2024"/>
    <n v="397.21620000000001"/>
    <s v="Weekday"/>
  </r>
  <r>
    <s v="M1088"/>
    <x v="2"/>
    <s v="Commercial"/>
    <x v="79"/>
    <n v="78.95"/>
    <n v="2.4900000000000002"/>
    <n v="105"/>
    <x v="0"/>
    <n v="6.16"/>
    <x v="2"/>
    <n v="2024"/>
    <n v="486.33200000000005"/>
    <s v="Weekday"/>
  </r>
  <r>
    <s v="M1089"/>
    <x v="2"/>
    <s v="Commercial"/>
    <x v="80"/>
    <n v="61.54"/>
    <n v="6.06"/>
    <n v="15"/>
    <x v="0"/>
    <n v="5.45"/>
    <x v="3"/>
    <n v="2024"/>
    <n v="335.39300000000003"/>
    <s v="Weekend"/>
  </r>
  <r>
    <s v="M1090"/>
    <x v="1"/>
    <s v="Industrial"/>
    <x v="81"/>
    <n v="76.48"/>
    <n v="9.74"/>
    <n v="58"/>
    <x v="1"/>
    <n v="9.61"/>
    <x v="10"/>
    <n v="2024"/>
    <n v="734.97280000000001"/>
    <s v="Weekday"/>
  </r>
  <r>
    <s v="M1091"/>
    <x v="2"/>
    <s v="Residential"/>
    <x v="82"/>
    <n v="47.53"/>
    <n v="4.45"/>
    <n v="58"/>
    <x v="1"/>
    <n v="9.8800000000000008"/>
    <x v="6"/>
    <n v="2024"/>
    <n v="469.59640000000007"/>
    <s v="Weekend"/>
  </r>
  <r>
    <s v="M1092"/>
    <x v="0"/>
    <s v="Residential"/>
    <x v="79"/>
    <n v="6.27"/>
    <n v="1.1000000000000001"/>
    <n v="46"/>
    <x v="1"/>
    <n v="7.7"/>
    <x v="2"/>
    <n v="2024"/>
    <n v="48.278999999999996"/>
    <s v="Weekday"/>
  </r>
  <r>
    <s v="M1093"/>
    <x v="0"/>
    <s v="Industrial"/>
    <x v="83"/>
    <n v="78.430000000000007"/>
    <n v="8.7799999999999994"/>
    <n v="69"/>
    <x v="0"/>
    <n v="4.05"/>
    <x v="5"/>
    <n v="2024"/>
    <n v="317.64150000000001"/>
    <s v="Weekend"/>
  </r>
  <r>
    <s v="M1094"/>
    <x v="0"/>
    <s v="Industrial"/>
    <x v="84"/>
    <n v="23.7"/>
    <n v="4.25"/>
    <n v="60"/>
    <x v="0"/>
    <n v="7.27"/>
    <x v="2"/>
    <n v="2024"/>
    <n v="172.29899999999998"/>
    <s v="Weekend"/>
  </r>
  <r>
    <s v="M1095"/>
    <x v="2"/>
    <s v="Residential"/>
    <x v="85"/>
    <n v="42.39"/>
    <n v="3.74"/>
    <n v="103"/>
    <x v="1"/>
    <n v="7.41"/>
    <x v="7"/>
    <n v="2024"/>
    <n v="314.10989999999998"/>
    <s v="Weekday"/>
  </r>
  <r>
    <s v="M1096"/>
    <x v="1"/>
    <s v="Industrial"/>
    <x v="86"/>
    <n v="59.52"/>
    <n v="1.1100000000000001"/>
    <n v="99"/>
    <x v="1"/>
    <n v="3.86"/>
    <x v="7"/>
    <n v="2024"/>
    <n v="229.74719999999999"/>
    <s v="Weekday"/>
  </r>
  <r>
    <s v="M1097"/>
    <x v="1"/>
    <s v="Commercial"/>
    <x v="87"/>
    <n v="68.22"/>
    <n v="1.0900000000000001"/>
    <n v="110"/>
    <x v="0"/>
    <n v="6.04"/>
    <x v="10"/>
    <n v="2024"/>
    <n v="412.04879999999997"/>
    <s v="Weekday"/>
  </r>
  <r>
    <s v="M1098"/>
    <x v="0"/>
    <s v="Industrial"/>
    <x v="55"/>
    <n v="66.3"/>
    <n v="7.43"/>
    <n v="38"/>
    <x v="1"/>
    <n v="8.18"/>
    <x v="7"/>
    <n v="2024"/>
    <n v="542.33399999999995"/>
    <s v="Weekend"/>
  </r>
  <r>
    <s v="M1099"/>
    <x v="0"/>
    <s v="Commercial"/>
    <x v="88"/>
    <n v="93.89"/>
    <n v="10"/>
    <n v="33"/>
    <x v="0"/>
    <n v="9.81"/>
    <x v="0"/>
    <n v="2024"/>
    <n v="921.06090000000006"/>
    <s v="Weekday"/>
  </r>
  <r>
    <s v="M1100"/>
    <x v="2"/>
    <s v="Industrial"/>
    <x v="89"/>
    <n v="48.46"/>
    <n v="2.48"/>
    <n v="48"/>
    <x v="0"/>
    <n v="4.08"/>
    <x v="5"/>
    <n v="2024"/>
    <n v="197.71680000000001"/>
    <s v="Weekday"/>
  </r>
  <r>
    <s v="M1101"/>
    <x v="0"/>
    <s v="Industrial"/>
    <x v="90"/>
    <n v="52.85"/>
    <n v="4.04"/>
    <n v="47"/>
    <x v="0"/>
    <n v="3.29"/>
    <x v="4"/>
    <n v="2024"/>
    <n v="173.87649999999999"/>
    <s v="Weekday"/>
  </r>
  <r>
    <s v="M1102"/>
    <x v="2"/>
    <s v="Residential"/>
    <x v="91"/>
    <n v="76.819999999999993"/>
    <n v="6.66"/>
    <n v="52"/>
    <x v="0"/>
    <n v="7.89"/>
    <x v="9"/>
    <n v="2024"/>
    <n v="606.10979999999995"/>
    <s v="Weekend"/>
  </r>
  <r>
    <s v="M1103"/>
    <x v="2"/>
    <s v="Commercial"/>
    <x v="92"/>
    <n v="16.98"/>
    <n v="7.23"/>
    <n v="58"/>
    <x v="0"/>
    <n v="7.56"/>
    <x v="0"/>
    <n v="2024"/>
    <n v="128.36879999999999"/>
    <s v="Weekday"/>
  </r>
  <r>
    <s v="M1104"/>
    <x v="1"/>
    <s v="Industrial"/>
    <x v="93"/>
    <n v="42.27"/>
    <n v="5.22"/>
    <n v="82"/>
    <x v="0"/>
    <n v="8.2799999999999994"/>
    <x v="9"/>
    <n v="2024"/>
    <n v="349.99560000000002"/>
    <s v="Weekday"/>
  </r>
  <r>
    <s v="M1105"/>
    <x v="1"/>
    <s v="Commercial"/>
    <x v="94"/>
    <n v="72.959999999999994"/>
    <n v="2.9"/>
    <n v="58"/>
    <x v="1"/>
    <n v="4.4800000000000004"/>
    <x v="10"/>
    <n v="2024"/>
    <n v="326.86079999999998"/>
    <s v="Weekday"/>
  </r>
  <r>
    <s v="M1106"/>
    <x v="2"/>
    <s v="Residential"/>
    <x v="95"/>
    <n v="55.14"/>
    <n v="1.33"/>
    <n v="101"/>
    <x v="1"/>
    <n v="4.25"/>
    <x v="3"/>
    <n v="2024"/>
    <n v="234.345"/>
    <s v="Weekend"/>
  </r>
  <r>
    <s v="M1107"/>
    <x v="2"/>
    <s v="Industrial"/>
    <x v="96"/>
    <n v="18.239999999999998"/>
    <n v="8.6199999999999992"/>
    <n v="24"/>
    <x v="1"/>
    <n v="6.54"/>
    <x v="6"/>
    <n v="2024"/>
    <n v="119.28959999999999"/>
    <s v="Weekday"/>
  </r>
  <r>
    <s v="M1108"/>
    <x v="2"/>
    <s v="Industrial"/>
    <x v="97"/>
    <n v="32.479999999999997"/>
    <n v="5.53"/>
    <n v="22"/>
    <x v="1"/>
    <n v="7.97"/>
    <x v="6"/>
    <n v="2024"/>
    <n v="258.86559999999997"/>
    <s v="Weekday"/>
  </r>
  <r>
    <s v="M1109"/>
    <x v="2"/>
    <s v="Residential"/>
    <x v="98"/>
    <n v="67.05"/>
    <n v="7.47"/>
    <n v="27"/>
    <x v="1"/>
    <n v="8.08"/>
    <x v="1"/>
    <n v="2024"/>
    <n v="541.76400000000001"/>
    <s v="Weekend"/>
  </r>
  <r>
    <s v="M1110"/>
    <x v="2"/>
    <s v="Residential"/>
    <x v="99"/>
    <n v="81.41"/>
    <n v="3.52"/>
    <n v="72"/>
    <x v="1"/>
    <n v="7.33"/>
    <x v="6"/>
    <n v="2024"/>
    <n v="596.73529999999994"/>
    <s v="Weekday"/>
  </r>
  <r>
    <s v="M1111"/>
    <x v="1"/>
    <s v="Industrial"/>
    <x v="49"/>
    <n v="46.07"/>
    <n v="2.69"/>
    <n v="14"/>
    <x v="1"/>
    <n v="4.0599999999999996"/>
    <x v="2"/>
    <n v="2024"/>
    <n v="187.04419999999999"/>
    <s v="Weekday"/>
  </r>
  <r>
    <s v="M1112"/>
    <x v="2"/>
    <s v="Commercial"/>
    <x v="100"/>
    <n v="85.39"/>
    <n v="8.58"/>
    <n v="84"/>
    <x v="0"/>
    <n v="4.63"/>
    <x v="11"/>
    <n v="2024"/>
    <n v="395.35570000000001"/>
    <s v="Weekend"/>
  </r>
  <r>
    <s v="M1113"/>
    <x v="1"/>
    <s v="Residential"/>
    <x v="101"/>
    <n v="68.88"/>
    <n v="8.91"/>
    <n v="97"/>
    <x v="0"/>
    <n v="3.39"/>
    <x v="1"/>
    <n v="2024"/>
    <n v="233.50319999999999"/>
    <s v="Weekend"/>
  </r>
  <r>
    <s v="M1114"/>
    <x v="0"/>
    <s v="Commercial"/>
    <x v="102"/>
    <n v="30.88"/>
    <n v="3.28"/>
    <n v="101"/>
    <x v="0"/>
    <n v="8.44"/>
    <x v="9"/>
    <n v="2024"/>
    <n v="260.62719999999996"/>
    <s v="Weekday"/>
  </r>
  <r>
    <s v="M1115"/>
    <x v="0"/>
    <s v="Commercial"/>
    <x v="103"/>
    <n v="34.700000000000003"/>
    <n v="6.7"/>
    <n v="24"/>
    <x v="0"/>
    <n v="6.08"/>
    <x v="3"/>
    <n v="2024"/>
    <n v="210.97600000000003"/>
    <s v="Weekday"/>
  </r>
  <r>
    <s v="M1116"/>
    <x v="1"/>
    <s v="Residential"/>
    <x v="23"/>
    <n v="62.2"/>
    <n v="5.14"/>
    <n v="83"/>
    <x v="0"/>
    <n v="8.7799999999999994"/>
    <x v="4"/>
    <n v="2024"/>
    <n v="546.11599999999999"/>
    <s v="Weekend"/>
  </r>
  <r>
    <s v="M1117"/>
    <x v="1"/>
    <s v="Commercial"/>
    <x v="104"/>
    <n v="90.23"/>
    <n v="5.61"/>
    <n v="13"/>
    <x v="0"/>
    <n v="6.96"/>
    <x v="11"/>
    <n v="2024"/>
    <n v="628.00080000000003"/>
    <s v="Weekday"/>
  </r>
  <r>
    <s v="M1118"/>
    <x v="1"/>
    <s v="Commercial"/>
    <x v="105"/>
    <n v="38.68"/>
    <n v="5.89"/>
    <n v="10"/>
    <x v="1"/>
    <n v="7.3"/>
    <x v="8"/>
    <n v="2024"/>
    <n v="282.36399999999998"/>
    <s v="Weekday"/>
  </r>
  <r>
    <s v="M1119"/>
    <x v="1"/>
    <s v="Commercial"/>
    <x v="50"/>
    <n v="37.340000000000003"/>
    <n v="1.62"/>
    <n v="78"/>
    <x v="0"/>
    <n v="8.76"/>
    <x v="7"/>
    <n v="2024"/>
    <n v="327.09840000000003"/>
    <s v="Weekday"/>
  </r>
  <r>
    <s v="M1120"/>
    <x v="0"/>
    <s v="Residential"/>
    <x v="106"/>
    <n v="21.52"/>
    <n v="6.63"/>
    <n v="100"/>
    <x v="1"/>
    <n v="4"/>
    <x v="3"/>
    <n v="2024"/>
    <n v="86.08"/>
    <s v="Weekday"/>
  </r>
  <r>
    <s v="M1121"/>
    <x v="1"/>
    <s v="Commercial"/>
    <x v="13"/>
    <n v="44.67"/>
    <n v="5.42"/>
    <n v="43"/>
    <x v="0"/>
    <n v="8.75"/>
    <x v="2"/>
    <n v="2024"/>
    <n v="390.86250000000001"/>
    <s v="Weekend"/>
  </r>
  <r>
    <s v="M1122"/>
    <x v="1"/>
    <s v="Residential"/>
    <x v="107"/>
    <n v="13.62"/>
    <n v="2.93"/>
    <n v="36"/>
    <x v="0"/>
    <n v="8.5299999999999994"/>
    <x v="10"/>
    <n v="2024"/>
    <n v="116.17859999999999"/>
    <s v="Weekday"/>
  </r>
  <r>
    <s v="M1123"/>
    <x v="2"/>
    <s v="Residential"/>
    <x v="80"/>
    <n v="50.66"/>
    <n v="2.33"/>
    <n v="94"/>
    <x v="1"/>
    <n v="6.81"/>
    <x v="3"/>
    <n v="2024"/>
    <n v="344.99459999999993"/>
    <s v="Weekend"/>
  </r>
  <r>
    <s v="M1124"/>
    <x v="2"/>
    <s v="Industrial"/>
    <x v="108"/>
    <n v="68.02"/>
    <n v="8.59"/>
    <n v="113"/>
    <x v="1"/>
    <n v="5.95"/>
    <x v="8"/>
    <n v="2024"/>
    <n v="404.71899999999999"/>
    <s v="Weekday"/>
  </r>
  <r>
    <s v="M1125"/>
    <x v="0"/>
    <s v="Commercial"/>
    <x v="109"/>
    <n v="18.02"/>
    <n v="8.48"/>
    <n v="67"/>
    <x v="0"/>
    <n v="8.66"/>
    <x v="6"/>
    <n v="2024"/>
    <n v="156.0532"/>
    <s v="Weekday"/>
  </r>
  <r>
    <s v="M1126"/>
    <x v="1"/>
    <s v="Industrial"/>
    <x v="110"/>
    <n v="26.93"/>
    <n v="9.67"/>
    <n v="32"/>
    <x v="1"/>
    <n v="3.38"/>
    <x v="11"/>
    <n v="2024"/>
    <n v="91.023399999999995"/>
    <s v="Weekday"/>
  </r>
  <r>
    <s v="M1127"/>
    <x v="2"/>
    <s v="Industrial"/>
    <x v="111"/>
    <n v="79.81"/>
    <n v="8.35"/>
    <n v="66"/>
    <x v="1"/>
    <n v="6.63"/>
    <x v="0"/>
    <n v="2024"/>
    <n v="529.14030000000002"/>
    <s v="Weekday"/>
  </r>
  <r>
    <s v="M1128"/>
    <x v="0"/>
    <s v="Commercial"/>
    <x v="1"/>
    <n v="75.430000000000007"/>
    <n v="5.6"/>
    <n v="80"/>
    <x v="1"/>
    <n v="5.75"/>
    <x v="1"/>
    <n v="2024"/>
    <n v="433.72250000000003"/>
    <s v="Weekday"/>
  </r>
  <r>
    <s v="M1129"/>
    <x v="1"/>
    <s v="Industrial"/>
    <x v="112"/>
    <n v="19.420000000000002"/>
    <n v="4.22"/>
    <n v="55"/>
    <x v="0"/>
    <n v="9.2100000000000009"/>
    <x v="9"/>
    <n v="2024"/>
    <n v="178.85820000000004"/>
    <s v="Weekend"/>
  </r>
  <r>
    <s v="M1130"/>
    <x v="2"/>
    <s v="Residential"/>
    <x v="113"/>
    <n v="89.46"/>
    <n v="2.09"/>
    <n v="77"/>
    <x v="0"/>
    <n v="9.9600000000000009"/>
    <x v="11"/>
    <n v="2024"/>
    <n v="891.02160000000003"/>
    <s v="Weekday"/>
  </r>
  <r>
    <s v="M1131"/>
    <x v="1"/>
    <s v="Residential"/>
    <x v="70"/>
    <n v="96.64"/>
    <n v="5.0199999999999996"/>
    <n v="85"/>
    <x v="1"/>
    <n v="4.33"/>
    <x v="4"/>
    <n v="2024"/>
    <n v="418.45120000000003"/>
    <s v="Weekend"/>
  </r>
  <r>
    <s v="M1132"/>
    <x v="1"/>
    <s v="Residential"/>
    <x v="27"/>
    <n v="47.69"/>
    <n v="6.71"/>
    <n v="76"/>
    <x v="0"/>
    <n v="3.74"/>
    <x v="2"/>
    <n v="2024"/>
    <n v="178.36060000000001"/>
    <s v="Weekday"/>
  </r>
  <r>
    <s v="M1133"/>
    <x v="2"/>
    <s v="Commercial"/>
    <x v="114"/>
    <n v="66.83"/>
    <n v="5.04"/>
    <n v="40"/>
    <x v="1"/>
    <n v="8.5"/>
    <x v="11"/>
    <n v="2024"/>
    <n v="568.05499999999995"/>
    <s v="Weekday"/>
  </r>
  <r>
    <s v="M1134"/>
    <x v="1"/>
    <s v="Industrial"/>
    <x v="115"/>
    <n v="11.59"/>
    <n v="1.96"/>
    <n v="44"/>
    <x v="1"/>
    <n v="6.15"/>
    <x v="9"/>
    <n v="2024"/>
    <n v="71.278500000000008"/>
    <s v="Weekday"/>
  </r>
  <r>
    <s v="M1135"/>
    <x v="0"/>
    <s v="Industrial"/>
    <x v="116"/>
    <n v="62.89"/>
    <n v="1.27"/>
    <n v="114"/>
    <x v="1"/>
    <n v="5.54"/>
    <x v="7"/>
    <n v="2024"/>
    <n v="348.41059999999999"/>
    <s v="Weekday"/>
  </r>
  <r>
    <s v="M1136"/>
    <x v="1"/>
    <s v="Commercial"/>
    <x v="24"/>
    <n v="68.69"/>
    <n v="3.36"/>
    <n v="63"/>
    <x v="1"/>
    <n v="5.04"/>
    <x v="6"/>
    <n v="2024"/>
    <n v="346.19759999999997"/>
    <s v="Weekend"/>
  </r>
  <r>
    <s v="M1137"/>
    <x v="1"/>
    <s v="Industrial"/>
    <x v="117"/>
    <n v="34.950000000000003"/>
    <n v="8.91"/>
    <n v="110"/>
    <x v="1"/>
    <n v="8.1"/>
    <x v="1"/>
    <n v="2024"/>
    <n v="283.09500000000003"/>
    <s v="Weekday"/>
  </r>
  <r>
    <s v="M1138"/>
    <x v="0"/>
    <s v="Residential"/>
    <x v="118"/>
    <n v="52.69"/>
    <n v="3.24"/>
    <n v="27"/>
    <x v="0"/>
    <n v="8.01"/>
    <x v="10"/>
    <n v="2024"/>
    <n v="422.04689999999999"/>
    <s v="Weekday"/>
  </r>
  <r>
    <s v="M1139"/>
    <x v="2"/>
    <s v="Residential"/>
    <x v="119"/>
    <n v="24.42"/>
    <n v="3.85"/>
    <n v="29"/>
    <x v="0"/>
    <n v="8.0299999999999994"/>
    <x v="8"/>
    <n v="2024"/>
    <n v="196.0926"/>
    <s v="Weekday"/>
  </r>
  <r>
    <s v="M1140"/>
    <x v="2"/>
    <s v="Industrial"/>
    <x v="53"/>
    <n v="91.44"/>
    <n v="3"/>
    <n v="82"/>
    <x v="1"/>
    <n v="5.96"/>
    <x v="9"/>
    <n v="2024"/>
    <n v="544.98239999999998"/>
    <s v="Weekend"/>
  </r>
  <r>
    <s v="M1141"/>
    <x v="2"/>
    <s v="Residential"/>
    <x v="120"/>
    <n v="63"/>
    <n v="8.4600000000000009"/>
    <n v="15"/>
    <x v="0"/>
    <n v="8.2100000000000009"/>
    <x v="3"/>
    <n v="2024"/>
    <n v="517.23"/>
    <s v="Weekday"/>
  </r>
  <r>
    <s v="M1142"/>
    <x v="1"/>
    <s v="Industrial"/>
    <x v="30"/>
    <n v="46.94"/>
    <n v="5.45"/>
    <n v="96"/>
    <x v="0"/>
    <n v="8.49"/>
    <x v="0"/>
    <n v="2024"/>
    <n v="398.5206"/>
    <s v="Weekday"/>
  </r>
  <r>
    <s v="M1143"/>
    <x v="1"/>
    <s v="Commercial"/>
    <x v="51"/>
    <n v="63.49"/>
    <n v="7.26"/>
    <n v="47"/>
    <x v="0"/>
    <n v="4.71"/>
    <x v="2"/>
    <n v="2024"/>
    <n v="299.03789999999998"/>
    <s v="Weekend"/>
  </r>
  <r>
    <s v="M1144"/>
    <x v="0"/>
    <s v="Commercial"/>
    <x v="121"/>
    <n v="58.94"/>
    <n v="5.21"/>
    <n v="29"/>
    <x v="1"/>
    <n v="6.09"/>
    <x v="6"/>
    <n v="2024"/>
    <n v="358.94459999999998"/>
    <s v="Weekday"/>
  </r>
  <r>
    <s v="M1145"/>
    <x v="1"/>
    <s v="Residential"/>
    <x v="2"/>
    <n v="71.11"/>
    <n v="2.95"/>
    <n v="75"/>
    <x v="0"/>
    <n v="8.4499999999999993"/>
    <x v="0"/>
    <n v="2024"/>
    <n v="600.87949999999989"/>
    <s v="Weekend"/>
  </r>
  <r>
    <s v="M1146"/>
    <x v="2"/>
    <s v="Commercial"/>
    <x v="122"/>
    <n v="86.36"/>
    <n v="1.74"/>
    <n v="94"/>
    <x v="0"/>
    <n v="8.52"/>
    <x v="4"/>
    <n v="2024"/>
    <n v="735.78719999999998"/>
    <s v="Weekday"/>
  </r>
  <r>
    <s v="M1147"/>
    <x v="2"/>
    <s v="Industrial"/>
    <x v="3"/>
    <n v="53.63"/>
    <n v="2.82"/>
    <n v="99"/>
    <x v="1"/>
    <n v="5.62"/>
    <x v="2"/>
    <n v="2024"/>
    <n v="301.4006"/>
    <s v="Weekday"/>
  </r>
  <r>
    <s v="M1148"/>
    <x v="1"/>
    <s v="Commercial"/>
    <x v="123"/>
    <n v="65.47"/>
    <n v="5.98"/>
    <n v="104"/>
    <x v="0"/>
    <n v="5.12"/>
    <x v="5"/>
    <n v="2024"/>
    <n v="335.20639999999997"/>
    <s v="Weekday"/>
  </r>
  <r>
    <s v="M1149"/>
    <x v="2"/>
    <s v="Industrial"/>
    <x v="78"/>
    <n v="43.5"/>
    <n v="6.42"/>
    <n v="92"/>
    <x v="1"/>
    <n v="5.03"/>
    <x v="3"/>
    <n v="2024"/>
    <n v="218.80500000000001"/>
    <s v="Weekday"/>
  </r>
  <r>
    <s v="M1150"/>
    <x v="1"/>
    <s v="Commercial"/>
    <x v="124"/>
    <n v="83.76"/>
    <n v="8.76"/>
    <n v="80"/>
    <x v="1"/>
    <n v="9.33"/>
    <x v="8"/>
    <n v="2024"/>
    <n v="781.48080000000004"/>
    <s v="Weekday"/>
  </r>
  <r>
    <s v="M1151"/>
    <x v="1"/>
    <s v="Industrial"/>
    <x v="78"/>
    <n v="35.71"/>
    <n v="5.74"/>
    <n v="91"/>
    <x v="1"/>
    <n v="5.17"/>
    <x v="3"/>
    <n v="2024"/>
    <n v="184.6207"/>
    <s v="Weekday"/>
  </r>
  <r>
    <s v="M1152"/>
    <x v="0"/>
    <s v="Residential"/>
    <x v="125"/>
    <n v="9.3000000000000007"/>
    <n v="5.78"/>
    <n v="103"/>
    <x v="1"/>
    <n v="5.29"/>
    <x v="9"/>
    <n v="2024"/>
    <n v="49.197000000000003"/>
    <s v="Weekend"/>
  </r>
  <r>
    <s v="M1153"/>
    <x v="0"/>
    <s v="Industrial"/>
    <x v="126"/>
    <n v="26.96"/>
    <n v="1.58"/>
    <n v="51"/>
    <x v="0"/>
    <n v="6.71"/>
    <x v="10"/>
    <n v="2024"/>
    <n v="180.9016"/>
    <s v="Weekend"/>
  </r>
  <r>
    <s v="M1154"/>
    <x v="0"/>
    <s v="Industrial"/>
    <x v="127"/>
    <n v="74.75"/>
    <n v="4"/>
    <n v="84"/>
    <x v="0"/>
    <n v="9.76"/>
    <x v="4"/>
    <n v="2024"/>
    <n v="729.56"/>
    <s v="Weekday"/>
  </r>
  <r>
    <s v="M1155"/>
    <x v="0"/>
    <s v="Industrial"/>
    <x v="43"/>
    <n v="10.25"/>
    <n v="5.78"/>
    <n v="5"/>
    <x v="0"/>
    <n v="8.1300000000000008"/>
    <x v="11"/>
    <n v="2024"/>
    <n v="83.33250000000001"/>
    <s v="Weekday"/>
  </r>
  <r>
    <s v="M1156"/>
    <x v="1"/>
    <s v="Residential"/>
    <x v="128"/>
    <n v="70.12"/>
    <n v="7.87"/>
    <n v="43"/>
    <x v="0"/>
    <n v="9.89"/>
    <x v="11"/>
    <n v="2024"/>
    <n v="693.48680000000013"/>
    <s v="Weekday"/>
  </r>
  <r>
    <s v="M1157"/>
    <x v="2"/>
    <s v="Industrial"/>
    <x v="129"/>
    <n v="93.47"/>
    <n v="4.8600000000000003"/>
    <n v="80"/>
    <x v="0"/>
    <n v="8.36"/>
    <x v="1"/>
    <n v="2024"/>
    <n v="781.40919999999994"/>
    <s v="Weekday"/>
  </r>
  <r>
    <s v="M1158"/>
    <x v="2"/>
    <s v="Commercial"/>
    <x v="130"/>
    <n v="50.37"/>
    <n v="5.57"/>
    <n v="109"/>
    <x v="0"/>
    <n v="8.81"/>
    <x v="3"/>
    <n v="2024"/>
    <n v="443.75970000000001"/>
    <s v="Weekday"/>
  </r>
  <r>
    <s v="M1159"/>
    <x v="1"/>
    <s v="Commercial"/>
    <x v="131"/>
    <n v="74.64"/>
    <n v="4.99"/>
    <n v="34"/>
    <x v="1"/>
    <n v="5.22"/>
    <x v="8"/>
    <n v="2024"/>
    <n v="389.62079999999997"/>
    <s v="Weekday"/>
  </r>
  <r>
    <s v="M1160"/>
    <x v="1"/>
    <s v="Residential"/>
    <x v="132"/>
    <n v="91.68"/>
    <n v="8.6999999999999993"/>
    <n v="59"/>
    <x v="0"/>
    <n v="7.39"/>
    <x v="7"/>
    <n v="2024"/>
    <n v="677.51520000000005"/>
    <s v="Weekday"/>
  </r>
  <r>
    <s v="M1161"/>
    <x v="2"/>
    <s v="Residential"/>
    <x v="17"/>
    <n v="96.29"/>
    <n v="2.52"/>
    <n v="108"/>
    <x v="1"/>
    <n v="7.44"/>
    <x v="5"/>
    <n v="2024"/>
    <n v="716.39760000000012"/>
    <s v="Weekday"/>
  </r>
  <r>
    <s v="M1162"/>
    <x v="2"/>
    <s v="Commercial"/>
    <x v="64"/>
    <n v="21.18"/>
    <n v="2.73"/>
    <n v="41"/>
    <x v="0"/>
    <n v="3.31"/>
    <x v="1"/>
    <n v="2024"/>
    <n v="70.105800000000002"/>
    <s v="Weekday"/>
  </r>
  <r>
    <s v="M1163"/>
    <x v="1"/>
    <s v="Industrial"/>
    <x v="133"/>
    <n v="57.2"/>
    <n v="8.61"/>
    <n v="33"/>
    <x v="0"/>
    <n v="8.33"/>
    <x v="11"/>
    <n v="2024"/>
    <n v="476.47600000000006"/>
    <s v="Weekday"/>
  </r>
  <r>
    <s v="M1164"/>
    <x v="2"/>
    <s v="Industrial"/>
    <x v="98"/>
    <n v="75.760000000000005"/>
    <n v="6.67"/>
    <n v="98"/>
    <x v="0"/>
    <n v="9.52"/>
    <x v="1"/>
    <n v="2024"/>
    <n v="721.23519999999996"/>
    <s v="Weekend"/>
  </r>
  <r>
    <s v="M1165"/>
    <x v="2"/>
    <s v="Residential"/>
    <x v="72"/>
    <n v="50.62"/>
    <n v="4.18"/>
    <n v="68"/>
    <x v="0"/>
    <n v="9.9"/>
    <x v="9"/>
    <n v="2024"/>
    <n v="501.13799999999998"/>
    <s v="Weekend"/>
  </r>
  <r>
    <s v="M1166"/>
    <x v="2"/>
    <s v="Industrial"/>
    <x v="134"/>
    <n v="19.05"/>
    <n v="3.19"/>
    <n v="26"/>
    <x v="0"/>
    <n v="7.17"/>
    <x v="7"/>
    <n v="2024"/>
    <n v="136.58850000000001"/>
    <s v="Weekend"/>
  </r>
  <r>
    <s v="M1167"/>
    <x v="0"/>
    <s v="Commercial"/>
    <x v="135"/>
    <n v="13.75"/>
    <n v="1.57"/>
    <n v="63"/>
    <x v="0"/>
    <n v="7.78"/>
    <x v="10"/>
    <n v="2024"/>
    <n v="106.97500000000001"/>
    <s v="Weekday"/>
  </r>
  <r>
    <s v="M1168"/>
    <x v="1"/>
    <s v="Residential"/>
    <x v="136"/>
    <n v="78.010000000000005"/>
    <n v="2.16"/>
    <n v="23"/>
    <x v="1"/>
    <n v="4.3600000000000003"/>
    <x v="11"/>
    <n v="2024"/>
    <n v="340.12360000000007"/>
    <s v="Weekend"/>
  </r>
  <r>
    <s v="M1169"/>
    <x v="0"/>
    <s v="Commercial"/>
    <x v="137"/>
    <n v="24.24"/>
    <n v="6.16"/>
    <n v="86"/>
    <x v="0"/>
    <n v="5.0599999999999996"/>
    <x v="5"/>
    <n v="2024"/>
    <n v="122.65439999999998"/>
    <s v="Weekday"/>
  </r>
  <r>
    <s v="M1170"/>
    <x v="2"/>
    <s v="Commercial"/>
    <x v="138"/>
    <n v="22.67"/>
    <n v="3.42"/>
    <n v="2"/>
    <x v="1"/>
    <n v="4.32"/>
    <x v="7"/>
    <n v="2024"/>
    <n v="97.934400000000011"/>
    <s v="Weekend"/>
  </r>
  <r>
    <s v="M1171"/>
    <x v="2"/>
    <s v="Residential"/>
    <x v="139"/>
    <n v="93.36"/>
    <n v="8.9600000000000009"/>
    <n v="108"/>
    <x v="0"/>
    <n v="7.18"/>
    <x v="10"/>
    <n v="2024"/>
    <n v="670.32479999999998"/>
    <s v="Weekday"/>
  </r>
  <r>
    <s v="M1172"/>
    <x v="0"/>
    <s v="Commercial"/>
    <x v="140"/>
    <n v="6.49"/>
    <n v="2.2200000000000002"/>
    <n v="112"/>
    <x v="1"/>
    <n v="5.28"/>
    <x v="5"/>
    <n v="2024"/>
    <n v="34.267200000000003"/>
    <s v="Weekend"/>
  </r>
  <r>
    <s v="M1173"/>
    <x v="0"/>
    <s v="Commercial"/>
    <x v="141"/>
    <n v="10.66"/>
    <n v="6.5"/>
    <n v="116"/>
    <x v="0"/>
    <n v="8.92"/>
    <x v="0"/>
    <n v="2024"/>
    <n v="95.087199999999996"/>
    <s v="Weekday"/>
  </r>
  <r>
    <s v="M1174"/>
    <x v="2"/>
    <s v="Residential"/>
    <x v="142"/>
    <n v="79.95"/>
    <n v="6.88"/>
    <n v="40"/>
    <x v="0"/>
    <n v="6.54"/>
    <x v="4"/>
    <n v="2024"/>
    <n v="522.87300000000005"/>
    <s v="Weekday"/>
  </r>
  <r>
    <s v="M1175"/>
    <x v="1"/>
    <s v="Residential"/>
    <x v="143"/>
    <n v="90.74"/>
    <n v="6.22"/>
    <n v="66"/>
    <x v="1"/>
    <n v="4.6100000000000003"/>
    <x v="5"/>
    <n v="2024"/>
    <n v="418.31139999999999"/>
    <s v="Weekday"/>
  </r>
  <r>
    <s v="M1176"/>
    <x v="0"/>
    <s v="Industrial"/>
    <x v="144"/>
    <n v="81.03"/>
    <n v="8.66"/>
    <n v="103"/>
    <x v="1"/>
    <n v="9.15"/>
    <x v="7"/>
    <n v="2024"/>
    <n v="741.42450000000008"/>
    <s v="Weekday"/>
  </r>
  <r>
    <s v="M1177"/>
    <x v="1"/>
    <s v="Residential"/>
    <x v="6"/>
    <n v="79.86"/>
    <n v="5.89"/>
    <n v="105"/>
    <x v="0"/>
    <n v="4.66"/>
    <x v="5"/>
    <n v="2024"/>
    <n v="372.14760000000001"/>
    <s v="Weekend"/>
  </r>
  <r>
    <s v="M1178"/>
    <x v="0"/>
    <s v="Commercial"/>
    <x v="145"/>
    <n v="38.64"/>
    <n v="2.74"/>
    <n v="85"/>
    <x v="1"/>
    <n v="9.4600000000000009"/>
    <x v="3"/>
    <n v="2024"/>
    <n v="365.53440000000006"/>
    <s v="Weekday"/>
  </r>
  <r>
    <s v="M1179"/>
    <x v="1"/>
    <s v="Commercial"/>
    <x v="142"/>
    <n v="73.8"/>
    <n v="6.39"/>
    <n v="66"/>
    <x v="0"/>
    <n v="6.8"/>
    <x v="4"/>
    <n v="2024"/>
    <n v="501.84"/>
    <s v="Weekday"/>
  </r>
  <r>
    <s v="M1180"/>
    <x v="2"/>
    <s v="Industrial"/>
    <x v="146"/>
    <n v="38.71"/>
    <n v="9.5399999999999991"/>
    <n v="49"/>
    <x v="0"/>
    <n v="8.7100000000000009"/>
    <x v="3"/>
    <n v="2024"/>
    <n v="337.16410000000002"/>
    <s v="Weekday"/>
  </r>
  <r>
    <s v="M1181"/>
    <x v="0"/>
    <s v="Industrial"/>
    <x v="52"/>
    <n v="79.849999999999994"/>
    <n v="9.35"/>
    <n v="83"/>
    <x v="0"/>
    <n v="8.18"/>
    <x v="5"/>
    <n v="2024"/>
    <n v="653.17299999999989"/>
    <s v="Weekday"/>
  </r>
  <r>
    <s v="M1182"/>
    <x v="1"/>
    <s v="Commercial"/>
    <x v="147"/>
    <n v="18.920000000000002"/>
    <n v="4.42"/>
    <n v="44"/>
    <x v="0"/>
    <n v="3.97"/>
    <x v="5"/>
    <n v="2024"/>
    <n v="75.112400000000008"/>
    <s v="Weekday"/>
  </r>
  <r>
    <s v="M1183"/>
    <x v="2"/>
    <s v="Industrial"/>
    <x v="148"/>
    <n v="16.12"/>
    <n v="9.5"/>
    <n v="111"/>
    <x v="0"/>
    <n v="9.99"/>
    <x v="5"/>
    <n v="2024"/>
    <n v="161.03880000000001"/>
    <s v="Weekday"/>
  </r>
  <r>
    <s v="M1184"/>
    <x v="0"/>
    <s v="Industrial"/>
    <x v="113"/>
    <n v="92.17"/>
    <n v="7.15"/>
    <n v="27"/>
    <x v="0"/>
    <n v="5.15"/>
    <x v="11"/>
    <n v="2024"/>
    <n v="474.67550000000006"/>
    <s v="Weekday"/>
  </r>
  <r>
    <s v="M1185"/>
    <x v="2"/>
    <s v="Industrial"/>
    <x v="62"/>
    <n v="91.95"/>
    <n v="8.89"/>
    <n v="112"/>
    <x v="0"/>
    <n v="4.74"/>
    <x v="5"/>
    <n v="2024"/>
    <n v="435.84300000000002"/>
    <s v="Weekday"/>
  </r>
  <r>
    <s v="M1186"/>
    <x v="1"/>
    <s v="Industrial"/>
    <x v="103"/>
    <n v="16.940000000000001"/>
    <n v="5.85"/>
    <n v="21"/>
    <x v="1"/>
    <n v="9.4600000000000009"/>
    <x v="3"/>
    <n v="2024"/>
    <n v="160.25240000000002"/>
    <s v="Weekday"/>
  </r>
  <r>
    <s v="M1187"/>
    <x v="2"/>
    <s v="Industrial"/>
    <x v="66"/>
    <n v="17.53"/>
    <n v="9.0500000000000007"/>
    <n v="120"/>
    <x v="0"/>
    <n v="6.36"/>
    <x v="4"/>
    <n v="2024"/>
    <n v="111.49080000000001"/>
    <s v="Weekday"/>
  </r>
  <r>
    <s v="M1188"/>
    <x v="1"/>
    <s v="Commercial"/>
    <x v="149"/>
    <n v="81.150000000000006"/>
    <n v="1.56"/>
    <n v="33"/>
    <x v="1"/>
    <n v="4.57"/>
    <x v="9"/>
    <n v="2024"/>
    <n v="370.85550000000006"/>
    <s v="Weekend"/>
  </r>
  <r>
    <s v="M1189"/>
    <x v="2"/>
    <s v="Commercial"/>
    <x v="150"/>
    <n v="40.14"/>
    <n v="2.2799999999999998"/>
    <n v="105"/>
    <x v="0"/>
    <n v="6.99"/>
    <x v="8"/>
    <n v="2024"/>
    <n v="280.57859999999999"/>
    <s v="Weekday"/>
  </r>
  <r>
    <s v="M1190"/>
    <x v="1"/>
    <s v="Residential"/>
    <x v="65"/>
    <n v="76.650000000000006"/>
    <n v="5.85"/>
    <n v="55"/>
    <x v="1"/>
    <n v="7.52"/>
    <x v="1"/>
    <n v="2024"/>
    <n v="576.40800000000002"/>
    <s v="Weekday"/>
  </r>
  <r>
    <s v="M1191"/>
    <x v="1"/>
    <s v="Residential"/>
    <x v="87"/>
    <n v="55.76"/>
    <n v="4.7"/>
    <n v="48"/>
    <x v="0"/>
    <n v="3.78"/>
    <x v="10"/>
    <n v="2024"/>
    <n v="210.77279999999999"/>
    <s v="Weekday"/>
  </r>
  <r>
    <s v="M1192"/>
    <x v="0"/>
    <s v="Industrial"/>
    <x v="151"/>
    <n v="79.209999999999994"/>
    <n v="9.5500000000000007"/>
    <n v="97"/>
    <x v="1"/>
    <n v="9.42"/>
    <x v="11"/>
    <n v="2024"/>
    <n v="746.15819999999997"/>
    <s v="Weekday"/>
  </r>
  <r>
    <s v="M1193"/>
    <x v="1"/>
    <s v="Commercial"/>
    <x v="21"/>
    <n v="91.01"/>
    <n v="7.25"/>
    <n v="108"/>
    <x v="0"/>
    <n v="5.07"/>
    <x v="5"/>
    <n v="2024"/>
    <n v="461.42070000000007"/>
    <s v="Weekday"/>
  </r>
  <r>
    <s v="M1194"/>
    <x v="2"/>
    <s v="Industrial"/>
    <x v="152"/>
    <n v="85.59"/>
    <n v="6.03"/>
    <n v="17"/>
    <x v="0"/>
    <n v="5.79"/>
    <x v="2"/>
    <n v="2024"/>
    <n v="495.56610000000001"/>
    <s v="Weekend"/>
  </r>
  <r>
    <s v="M1195"/>
    <x v="0"/>
    <s v="Residential"/>
    <x v="153"/>
    <n v="38.229999999999997"/>
    <n v="3.14"/>
    <n v="44"/>
    <x v="1"/>
    <n v="6.45"/>
    <x v="11"/>
    <n v="2024"/>
    <n v="246.58349999999999"/>
    <s v="Weekday"/>
  </r>
  <r>
    <s v="M1196"/>
    <x v="1"/>
    <s v="Commercial"/>
    <x v="154"/>
    <n v="64.709999999999994"/>
    <n v="6.27"/>
    <n v="6"/>
    <x v="1"/>
    <n v="5.77"/>
    <x v="9"/>
    <n v="2024"/>
    <n v="373.37669999999991"/>
    <s v="Weekday"/>
  </r>
  <r>
    <s v="M1197"/>
    <x v="0"/>
    <s v="Commercial"/>
    <x v="155"/>
    <n v="29.57"/>
    <n v="5.9"/>
    <n v="77"/>
    <x v="1"/>
    <n v="5.36"/>
    <x v="4"/>
    <n v="2024"/>
    <n v="158.49520000000001"/>
    <s v="Weekday"/>
  </r>
  <r>
    <s v="M1198"/>
    <x v="1"/>
    <s v="Commercial"/>
    <x v="156"/>
    <n v="46.1"/>
    <n v="8.09"/>
    <n v="87"/>
    <x v="0"/>
    <n v="6.09"/>
    <x v="3"/>
    <n v="2024"/>
    <n v="280.74900000000002"/>
    <s v="Weekday"/>
  </r>
  <r>
    <s v="M1199"/>
    <x v="2"/>
    <s v="Industrial"/>
    <x v="130"/>
    <n v="22.91"/>
    <n v="8.2799999999999994"/>
    <n v="111"/>
    <x v="1"/>
    <n v="3.76"/>
    <x v="3"/>
    <n v="2024"/>
    <n v="86.141599999999997"/>
    <s v="Weekday"/>
  </r>
  <r>
    <s v="M1200"/>
    <x v="2"/>
    <s v="Residential"/>
    <x v="157"/>
    <n v="88.27"/>
    <n v="7.65"/>
    <n v="80"/>
    <x v="1"/>
    <n v="4.8"/>
    <x v="4"/>
    <n v="2024"/>
    <n v="423.69599999999997"/>
    <s v="Weekday"/>
  </r>
  <r>
    <s v="M1201"/>
    <x v="1"/>
    <s v="Commercial"/>
    <x v="143"/>
    <n v="26.16"/>
    <n v="6.21"/>
    <n v="104"/>
    <x v="0"/>
    <n v="8.2200000000000006"/>
    <x v="5"/>
    <n v="2024"/>
    <n v="215.03520000000003"/>
    <s v="Weekday"/>
  </r>
  <r>
    <s v="M1202"/>
    <x v="2"/>
    <s v="Industrial"/>
    <x v="149"/>
    <n v="5.81"/>
    <n v="9.8699999999999992"/>
    <n v="44"/>
    <x v="0"/>
    <n v="3.64"/>
    <x v="9"/>
    <n v="2024"/>
    <n v="21.148399999999999"/>
    <s v="Weekend"/>
  </r>
  <r>
    <s v="M1203"/>
    <x v="2"/>
    <s v="Residential"/>
    <x v="95"/>
    <n v="65.81"/>
    <n v="7.75"/>
    <n v="47"/>
    <x v="1"/>
    <n v="8.11"/>
    <x v="3"/>
    <n v="2024"/>
    <n v="533.71910000000003"/>
    <s v="Weekend"/>
  </r>
  <r>
    <s v="M1204"/>
    <x v="1"/>
    <s v="Industrial"/>
    <x v="158"/>
    <n v="45.27"/>
    <n v="1.51"/>
    <n v="98"/>
    <x v="1"/>
    <n v="6.66"/>
    <x v="11"/>
    <n v="2024"/>
    <n v="301.49820000000005"/>
    <s v="Weekday"/>
  </r>
  <r>
    <s v="M1205"/>
    <x v="2"/>
    <s v="Industrial"/>
    <x v="122"/>
    <n v="7.38"/>
    <n v="7.22"/>
    <n v="40"/>
    <x v="1"/>
    <n v="8.81"/>
    <x v="4"/>
    <n v="2024"/>
    <n v="65.017800000000008"/>
    <s v="Weekday"/>
  </r>
  <r>
    <s v="M1206"/>
    <x v="0"/>
    <s v="Industrial"/>
    <x v="84"/>
    <n v="13.62"/>
    <n v="7.34"/>
    <n v="42"/>
    <x v="0"/>
    <n v="4.51"/>
    <x v="2"/>
    <n v="2024"/>
    <n v="61.426199999999994"/>
    <s v="Weekend"/>
  </r>
  <r>
    <s v="M1207"/>
    <x v="1"/>
    <s v="Residential"/>
    <x v="159"/>
    <n v="38.31"/>
    <n v="3.25"/>
    <n v="90"/>
    <x v="0"/>
    <n v="4.16"/>
    <x v="0"/>
    <n v="2024"/>
    <n v="159.36960000000002"/>
    <s v="Weekday"/>
  </r>
  <r>
    <s v="M1208"/>
    <x v="1"/>
    <s v="Residential"/>
    <x v="160"/>
    <n v="26.78"/>
    <n v="3.32"/>
    <n v="1"/>
    <x v="0"/>
    <n v="8.51"/>
    <x v="5"/>
    <n v="2024"/>
    <n v="227.89780000000002"/>
    <s v="Weekday"/>
  </r>
  <r>
    <s v="M1209"/>
    <x v="2"/>
    <s v="Commercial"/>
    <x v="161"/>
    <n v="86.1"/>
    <n v="3.67"/>
    <n v="21"/>
    <x v="0"/>
    <n v="7.58"/>
    <x v="6"/>
    <n v="2024"/>
    <n v="652.63799999999992"/>
    <s v="Weekday"/>
  </r>
  <r>
    <s v="M1210"/>
    <x v="1"/>
    <s v="Commercial"/>
    <x v="162"/>
    <n v="94.86"/>
    <n v="8.4"/>
    <n v="71"/>
    <x v="1"/>
    <n v="5.13"/>
    <x v="7"/>
    <n v="2024"/>
    <n v="486.6318"/>
    <s v="Weekday"/>
  </r>
  <r>
    <s v="M1211"/>
    <x v="0"/>
    <s v="Industrial"/>
    <x v="163"/>
    <n v="70.11"/>
    <n v="7.26"/>
    <n v="23"/>
    <x v="0"/>
    <n v="4.5999999999999996"/>
    <x v="4"/>
    <n v="2024"/>
    <n v="322.50599999999997"/>
    <s v="Weekday"/>
  </r>
  <r>
    <s v="M1212"/>
    <x v="1"/>
    <s v="Residential"/>
    <x v="151"/>
    <n v="15.81"/>
    <n v="5.19"/>
    <n v="35"/>
    <x v="0"/>
    <n v="3.85"/>
    <x v="11"/>
    <n v="2024"/>
    <n v="60.868500000000004"/>
    <s v="Weekday"/>
  </r>
  <r>
    <s v="M1213"/>
    <x v="1"/>
    <s v="Residential"/>
    <x v="164"/>
    <n v="26.51"/>
    <n v="9.23"/>
    <n v="39"/>
    <x v="0"/>
    <n v="9.19"/>
    <x v="2"/>
    <n v="2024"/>
    <n v="243.62690000000001"/>
    <s v="Weekend"/>
  </r>
  <r>
    <s v="M1214"/>
    <x v="1"/>
    <s v="Industrial"/>
    <x v="165"/>
    <n v="89.7"/>
    <n v="9.19"/>
    <n v="57"/>
    <x v="0"/>
    <n v="9.2200000000000006"/>
    <x v="3"/>
    <n v="2024"/>
    <n v="827.03400000000011"/>
    <s v="Weekday"/>
  </r>
  <r>
    <s v="M1215"/>
    <x v="2"/>
    <s v="Commercial"/>
    <x v="166"/>
    <n v="98.29"/>
    <n v="5.96"/>
    <n v="115"/>
    <x v="1"/>
    <n v="6.58"/>
    <x v="2"/>
    <n v="2024"/>
    <n v="646.7482"/>
    <s v="Weekday"/>
  </r>
  <r>
    <s v="M1216"/>
    <x v="1"/>
    <s v="Industrial"/>
    <x v="92"/>
    <n v="20.73"/>
    <n v="2.0699999999999998"/>
    <n v="46"/>
    <x v="0"/>
    <n v="8.93"/>
    <x v="0"/>
    <n v="2024"/>
    <n v="185.1189"/>
    <s v="Weekday"/>
  </r>
  <r>
    <s v="M1217"/>
    <x v="0"/>
    <s v="Industrial"/>
    <x v="132"/>
    <n v="28.99"/>
    <n v="9.1300000000000008"/>
    <n v="72"/>
    <x v="1"/>
    <n v="7.38"/>
    <x v="7"/>
    <n v="2024"/>
    <n v="213.94619999999998"/>
    <s v="Weekday"/>
  </r>
  <r>
    <s v="M1218"/>
    <x v="0"/>
    <s v="Commercial"/>
    <x v="167"/>
    <n v="29.56"/>
    <n v="9.08"/>
    <n v="43"/>
    <x v="1"/>
    <n v="7.47"/>
    <x v="6"/>
    <n v="2024"/>
    <n v="220.81319999999999"/>
    <s v="Weekday"/>
  </r>
  <r>
    <s v="M1219"/>
    <x v="1"/>
    <s v="Residential"/>
    <x v="113"/>
    <n v="84.72"/>
    <n v="8.7200000000000006"/>
    <n v="41"/>
    <x v="0"/>
    <n v="6.1"/>
    <x v="11"/>
    <n v="2024"/>
    <n v="516.79199999999992"/>
    <s v="Weekday"/>
  </r>
  <r>
    <s v="M1220"/>
    <x v="2"/>
    <s v="Industrial"/>
    <x v="168"/>
    <n v="21.96"/>
    <n v="2.88"/>
    <n v="45"/>
    <x v="1"/>
    <n v="9.19"/>
    <x v="8"/>
    <n v="2024"/>
    <n v="201.8124"/>
    <s v="Weekday"/>
  </r>
  <r>
    <s v="M1221"/>
    <x v="2"/>
    <s v="Industrial"/>
    <x v="112"/>
    <n v="65.81"/>
    <n v="8.4600000000000009"/>
    <n v="95"/>
    <x v="0"/>
    <n v="4.8899999999999997"/>
    <x v="9"/>
    <n v="2024"/>
    <n v="321.8109"/>
    <s v="Weekend"/>
  </r>
  <r>
    <s v="M1222"/>
    <x v="0"/>
    <s v="Residential"/>
    <x v="169"/>
    <n v="63.83"/>
    <n v="2.46"/>
    <n v="93"/>
    <x v="0"/>
    <n v="8.94"/>
    <x v="7"/>
    <n v="2024"/>
    <n v="570.64019999999994"/>
    <s v="Weekend"/>
  </r>
  <r>
    <s v="M1223"/>
    <x v="2"/>
    <s v="Residential"/>
    <x v="92"/>
    <n v="14.76"/>
    <n v="2.59"/>
    <n v="13"/>
    <x v="1"/>
    <n v="6.77"/>
    <x v="0"/>
    <n v="2024"/>
    <n v="99.92519999999999"/>
    <s v="Weekday"/>
  </r>
  <r>
    <s v="M1224"/>
    <x v="1"/>
    <s v="Industrial"/>
    <x v="170"/>
    <n v="62.09"/>
    <n v="5"/>
    <n v="60"/>
    <x v="1"/>
    <n v="4.91"/>
    <x v="8"/>
    <n v="2024"/>
    <n v="304.86190000000005"/>
    <s v="Weekend"/>
  </r>
  <r>
    <s v="M1225"/>
    <x v="1"/>
    <s v="Commercial"/>
    <x v="171"/>
    <n v="93.18"/>
    <n v="7.31"/>
    <n v="22"/>
    <x v="0"/>
    <n v="3.51"/>
    <x v="10"/>
    <n v="2024"/>
    <n v="327.06180000000001"/>
    <s v="Weekend"/>
  </r>
  <r>
    <s v="M1226"/>
    <x v="2"/>
    <s v="Residential"/>
    <x v="172"/>
    <n v="33.01"/>
    <n v="2.66"/>
    <n v="63"/>
    <x v="0"/>
    <n v="6.62"/>
    <x v="9"/>
    <n v="2024"/>
    <n v="218.52619999999999"/>
    <s v="Weekday"/>
  </r>
  <r>
    <s v="M1227"/>
    <x v="2"/>
    <s v="Residential"/>
    <x v="38"/>
    <n v="97.25"/>
    <n v="6.38"/>
    <n v="22"/>
    <x v="0"/>
    <n v="5.99"/>
    <x v="0"/>
    <n v="2024"/>
    <n v="582.52750000000003"/>
    <s v="Weekday"/>
  </r>
  <r>
    <s v="M1228"/>
    <x v="1"/>
    <s v="Residential"/>
    <x v="173"/>
    <n v="31.48"/>
    <n v="8.98"/>
    <n v="14"/>
    <x v="0"/>
    <n v="6.34"/>
    <x v="9"/>
    <n v="2024"/>
    <n v="199.58320000000001"/>
    <s v="Weekday"/>
  </r>
  <r>
    <s v="M1229"/>
    <x v="0"/>
    <s v="Commercial"/>
    <x v="174"/>
    <n v="24.32"/>
    <n v="2.5299999999999998"/>
    <n v="2"/>
    <x v="0"/>
    <n v="7.2"/>
    <x v="5"/>
    <n v="2024"/>
    <n v="175.10400000000001"/>
    <s v="Weekday"/>
  </r>
  <r>
    <s v="M1230"/>
    <x v="2"/>
    <s v="Commercial"/>
    <x v="175"/>
    <n v="67.67"/>
    <n v="4.17"/>
    <n v="65"/>
    <x v="0"/>
    <n v="3.7"/>
    <x v="9"/>
    <n v="2024"/>
    <n v="250.37900000000002"/>
    <s v="Weekend"/>
  </r>
  <r>
    <s v="M1231"/>
    <x v="2"/>
    <s v="Commercial"/>
    <x v="176"/>
    <n v="94.67"/>
    <n v="8.18"/>
    <n v="112"/>
    <x v="1"/>
    <n v="7.79"/>
    <x v="11"/>
    <n v="2024"/>
    <n v="737.47929999999997"/>
    <s v="Weekday"/>
  </r>
  <r>
    <s v="M1232"/>
    <x v="2"/>
    <s v="Commercial"/>
    <x v="177"/>
    <n v="18.46"/>
    <n v="8.11"/>
    <n v="87"/>
    <x v="0"/>
    <n v="5.61"/>
    <x v="0"/>
    <n v="2024"/>
    <n v="103.56060000000001"/>
    <s v="Weekday"/>
  </r>
  <r>
    <s v="M1233"/>
    <x v="1"/>
    <s v="Industrial"/>
    <x v="45"/>
    <n v="84.94"/>
    <n v="8.18"/>
    <n v="116"/>
    <x v="1"/>
    <n v="4.82"/>
    <x v="10"/>
    <n v="2024"/>
    <n v="409.41079999999999"/>
    <s v="Weekday"/>
  </r>
  <r>
    <s v="M1234"/>
    <x v="0"/>
    <s v="Commercial"/>
    <x v="178"/>
    <n v="8.06"/>
    <n v="9.15"/>
    <n v="90"/>
    <x v="1"/>
    <n v="5.75"/>
    <x v="0"/>
    <n v="2024"/>
    <n v="46.345000000000006"/>
    <s v="Weekend"/>
  </r>
  <r>
    <s v="M1235"/>
    <x v="0"/>
    <s v="Industrial"/>
    <x v="179"/>
    <n v="33.909999999999997"/>
    <n v="8.9499999999999993"/>
    <n v="51"/>
    <x v="1"/>
    <n v="7.48"/>
    <x v="8"/>
    <n v="2024"/>
    <n v="253.64679999999998"/>
    <s v="Weekday"/>
  </r>
  <r>
    <s v="M1236"/>
    <x v="1"/>
    <s v="Industrial"/>
    <x v="175"/>
    <n v="75.37"/>
    <n v="3.12"/>
    <n v="14"/>
    <x v="0"/>
    <n v="3.95"/>
    <x v="9"/>
    <n v="2024"/>
    <n v="297.71150000000006"/>
    <s v="Weekend"/>
  </r>
  <r>
    <s v="M1237"/>
    <x v="0"/>
    <s v="Residential"/>
    <x v="139"/>
    <n v="36.51"/>
    <n v="4.4400000000000004"/>
    <n v="21"/>
    <x v="0"/>
    <n v="3.64"/>
    <x v="10"/>
    <n v="2024"/>
    <n v="132.8964"/>
    <s v="Weekday"/>
  </r>
  <r>
    <s v="M1238"/>
    <x v="2"/>
    <s v="Residential"/>
    <x v="160"/>
    <n v="90.81"/>
    <n v="1.92"/>
    <n v="53"/>
    <x v="1"/>
    <n v="8.1"/>
    <x v="5"/>
    <n v="2024"/>
    <n v="735.56100000000004"/>
    <s v="Weekday"/>
  </r>
  <r>
    <s v="M1239"/>
    <x v="1"/>
    <s v="Residential"/>
    <x v="180"/>
    <n v="61.87"/>
    <n v="1.28"/>
    <n v="1"/>
    <x v="1"/>
    <n v="8.93"/>
    <x v="2"/>
    <n v="2024"/>
    <n v="552.4991"/>
    <s v="Weekday"/>
  </r>
  <r>
    <s v="M1240"/>
    <x v="2"/>
    <s v="Residential"/>
    <x v="62"/>
    <n v="86.91"/>
    <n v="2.65"/>
    <n v="35"/>
    <x v="1"/>
    <n v="5.95"/>
    <x v="5"/>
    <n v="2024"/>
    <n v="517.11450000000002"/>
    <s v="Weekday"/>
  </r>
  <r>
    <s v="M1241"/>
    <x v="1"/>
    <s v="Industrial"/>
    <x v="129"/>
    <n v="82.6"/>
    <n v="6.64"/>
    <n v="68"/>
    <x v="0"/>
    <n v="6.68"/>
    <x v="1"/>
    <n v="2024"/>
    <n v="551.76799999999992"/>
    <s v="Weekday"/>
  </r>
  <r>
    <s v="M1242"/>
    <x v="0"/>
    <s v="Residential"/>
    <x v="55"/>
    <n v="69.56"/>
    <n v="1.25"/>
    <n v="41"/>
    <x v="1"/>
    <n v="4.6100000000000003"/>
    <x v="7"/>
    <n v="2024"/>
    <n v="320.67160000000001"/>
    <s v="Weekend"/>
  </r>
  <r>
    <s v="M1243"/>
    <x v="0"/>
    <s v="Residential"/>
    <x v="69"/>
    <n v="15.49"/>
    <n v="3.92"/>
    <n v="15"/>
    <x v="0"/>
    <n v="7.6"/>
    <x v="7"/>
    <n v="2024"/>
    <n v="117.72399999999999"/>
    <s v="Weekday"/>
  </r>
  <r>
    <s v="M1244"/>
    <x v="2"/>
    <s v="Residential"/>
    <x v="153"/>
    <n v="15.7"/>
    <n v="2.17"/>
    <n v="33"/>
    <x v="1"/>
    <n v="6.36"/>
    <x v="11"/>
    <n v="2024"/>
    <n v="99.852000000000004"/>
    <s v="Weekday"/>
  </r>
  <r>
    <s v="M1245"/>
    <x v="2"/>
    <s v="Industrial"/>
    <x v="118"/>
    <n v="72.67"/>
    <n v="1.94"/>
    <n v="113"/>
    <x v="1"/>
    <n v="8.2100000000000009"/>
    <x v="10"/>
    <n v="2024"/>
    <n v="596.62070000000006"/>
    <s v="Weekday"/>
  </r>
  <r>
    <s v="M1246"/>
    <x v="1"/>
    <s v="Commercial"/>
    <x v="103"/>
    <n v="80.94"/>
    <n v="9.18"/>
    <n v="102"/>
    <x v="1"/>
    <n v="5.46"/>
    <x v="3"/>
    <n v="2024"/>
    <n v="441.93239999999997"/>
    <s v="Weekday"/>
  </r>
  <r>
    <s v="M1247"/>
    <x v="2"/>
    <s v="Industrial"/>
    <x v="54"/>
    <n v="19.2"/>
    <n v="3.32"/>
    <n v="112"/>
    <x v="1"/>
    <n v="9.25"/>
    <x v="10"/>
    <n v="2024"/>
    <n v="177.6"/>
    <s v="Weekday"/>
  </r>
  <r>
    <s v="M1248"/>
    <x v="0"/>
    <s v="Industrial"/>
    <x v="63"/>
    <n v="29.46"/>
    <n v="9.61"/>
    <n v="26"/>
    <x v="0"/>
    <n v="8.81"/>
    <x v="0"/>
    <n v="2024"/>
    <n v="259.54260000000005"/>
    <s v="Weekend"/>
  </r>
  <r>
    <s v="M1249"/>
    <x v="2"/>
    <s v="Residential"/>
    <x v="56"/>
    <n v="19.29"/>
    <n v="4.22"/>
    <n v="43"/>
    <x v="1"/>
    <n v="7.25"/>
    <x v="9"/>
    <n v="2024"/>
    <n v="139.85249999999999"/>
    <s v="Weekday"/>
  </r>
  <r>
    <s v="M1250"/>
    <x v="0"/>
    <s v="Residential"/>
    <x v="163"/>
    <n v="69.36"/>
    <n v="4.92"/>
    <n v="46"/>
    <x v="1"/>
    <n v="6.63"/>
    <x v="4"/>
    <n v="2024"/>
    <n v="459.85679999999996"/>
    <s v="Weekday"/>
  </r>
  <r>
    <s v="M1251"/>
    <x v="0"/>
    <s v="Residential"/>
    <x v="15"/>
    <n v="81.84"/>
    <n v="1.48"/>
    <n v="64"/>
    <x v="1"/>
    <n v="9.23"/>
    <x v="9"/>
    <n v="2024"/>
    <n v="755.3832000000001"/>
    <s v="Weekday"/>
  </r>
  <r>
    <s v="M1252"/>
    <x v="2"/>
    <s v="Industrial"/>
    <x v="33"/>
    <n v="50.32"/>
    <n v="6.37"/>
    <n v="58"/>
    <x v="1"/>
    <n v="7.38"/>
    <x v="3"/>
    <n v="2024"/>
    <n v="371.36160000000001"/>
    <s v="Weekend"/>
  </r>
  <r>
    <s v="M1253"/>
    <x v="2"/>
    <s v="Residential"/>
    <x v="79"/>
    <n v="11.29"/>
    <n v="1.4"/>
    <n v="77"/>
    <x v="1"/>
    <n v="3.52"/>
    <x v="2"/>
    <n v="2024"/>
    <n v="39.7408"/>
    <s v="Weekday"/>
  </r>
  <r>
    <s v="M1254"/>
    <x v="0"/>
    <s v="Industrial"/>
    <x v="94"/>
    <n v="12.73"/>
    <n v="9.8699999999999992"/>
    <n v="15"/>
    <x v="1"/>
    <n v="9.68"/>
    <x v="10"/>
    <n v="2024"/>
    <n v="123.2264"/>
    <s v="Weekday"/>
  </r>
  <r>
    <s v="M1255"/>
    <x v="2"/>
    <s v="Industrial"/>
    <x v="181"/>
    <n v="91.77"/>
    <n v="7.28"/>
    <n v="49"/>
    <x v="1"/>
    <n v="7.69"/>
    <x v="0"/>
    <n v="2024"/>
    <n v="705.71130000000005"/>
    <s v="Weekday"/>
  </r>
  <r>
    <s v="M1256"/>
    <x v="0"/>
    <s v="Industrial"/>
    <x v="82"/>
    <n v="79.290000000000006"/>
    <n v="8.56"/>
    <n v="68"/>
    <x v="0"/>
    <n v="7.31"/>
    <x v="6"/>
    <n v="2024"/>
    <n v="579.60990000000004"/>
    <s v="Weekend"/>
  </r>
  <r>
    <s v="M1257"/>
    <x v="1"/>
    <s v="Industrial"/>
    <x v="182"/>
    <n v="59.71"/>
    <n v="4.22"/>
    <n v="8"/>
    <x v="0"/>
    <n v="4.74"/>
    <x v="9"/>
    <n v="2024"/>
    <n v="283.02539999999999"/>
    <s v="Weekday"/>
  </r>
  <r>
    <s v="M1258"/>
    <x v="2"/>
    <s v="Residential"/>
    <x v="90"/>
    <n v="7.55"/>
    <n v="6.44"/>
    <n v="31"/>
    <x v="0"/>
    <n v="8.68"/>
    <x v="4"/>
    <n v="2024"/>
    <n v="65.533999999999992"/>
    <s v="Weekday"/>
  </r>
  <r>
    <s v="M1259"/>
    <x v="1"/>
    <s v="Residential"/>
    <x v="183"/>
    <n v="71.14"/>
    <n v="7.16"/>
    <n v="81"/>
    <x v="1"/>
    <n v="5.44"/>
    <x v="10"/>
    <n v="2024"/>
    <n v="387.00160000000005"/>
    <s v="Weekday"/>
  </r>
  <r>
    <s v="M1260"/>
    <x v="2"/>
    <s v="Commercial"/>
    <x v="184"/>
    <n v="99.52"/>
    <n v="2.21"/>
    <n v="109"/>
    <x v="0"/>
    <n v="9.4499999999999993"/>
    <x v="4"/>
    <n v="2024"/>
    <n v="940.46399999999994"/>
    <s v="Weekday"/>
  </r>
  <r>
    <s v="M1261"/>
    <x v="2"/>
    <s v="Industrial"/>
    <x v="185"/>
    <n v="70.81"/>
    <n v="3.81"/>
    <n v="43"/>
    <x v="1"/>
    <n v="3.11"/>
    <x v="4"/>
    <n v="2024"/>
    <n v="220.2191"/>
    <s v="Weekday"/>
  </r>
  <r>
    <s v="M1262"/>
    <x v="2"/>
    <s v="Industrial"/>
    <x v="152"/>
    <n v="95.52"/>
    <n v="6.18"/>
    <n v="22"/>
    <x v="0"/>
    <n v="6.94"/>
    <x v="2"/>
    <n v="2024"/>
    <n v="662.90880000000004"/>
    <s v="Weekend"/>
  </r>
  <r>
    <s v="M1263"/>
    <x v="1"/>
    <s v="Industrial"/>
    <x v="77"/>
    <n v="83.67"/>
    <n v="5.28"/>
    <n v="106"/>
    <x v="1"/>
    <n v="4.82"/>
    <x v="2"/>
    <n v="2024"/>
    <n v="403.28940000000006"/>
    <s v="Weekday"/>
  </r>
  <r>
    <s v="M1264"/>
    <x v="2"/>
    <s v="Commercial"/>
    <x v="51"/>
    <n v="42.23"/>
    <n v="5.04"/>
    <n v="31"/>
    <x v="0"/>
    <n v="5.41"/>
    <x v="2"/>
    <n v="2024"/>
    <n v="228.46429999999998"/>
    <s v="Weekend"/>
  </r>
  <r>
    <s v="M1265"/>
    <x v="2"/>
    <s v="Commercial"/>
    <x v="158"/>
    <n v="72.94"/>
    <n v="4"/>
    <n v="103"/>
    <x v="1"/>
    <n v="5.95"/>
    <x v="11"/>
    <n v="2024"/>
    <n v="433.99299999999999"/>
    <s v="Weekday"/>
  </r>
  <r>
    <s v="M1266"/>
    <x v="0"/>
    <s v="Commercial"/>
    <x v="186"/>
    <n v="26.09"/>
    <n v="5.54"/>
    <n v="77"/>
    <x v="1"/>
    <n v="4.51"/>
    <x v="3"/>
    <n v="2024"/>
    <n v="117.66589999999999"/>
    <s v="Weekday"/>
  </r>
  <r>
    <s v="M1267"/>
    <x v="1"/>
    <s v="Residential"/>
    <x v="187"/>
    <n v="12.84"/>
    <n v="3.49"/>
    <n v="101"/>
    <x v="1"/>
    <n v="8.3699999999999992"/>
    <x v="9"/>
    <n v="2024"/>
    <n v="107.47079999999998"/>
    <s v="Weekday"/>
  </r>
  <r>
    <s v="M1268"/>
    <x v="0"/>
    <s v="Industrial"/>
    <x v="188"/>
    <n v="37.5"/>
    <n v="8.81"/>
    <n v="77"/>
    <x v="0"/>
    <n v="9.6"/>
    <x v="6"/>
    <n v="2024"/>
    <n v="360"/>
    <s v="Weekend"/>
  </r>
  <r>
    <s v="M1269"/>
    <x v="2"/>
    <s v="Industrial"/>
    <x v="95"/>
    <n v="38.76"/>
    <n v="5.4"/>
    <n v="58"/>
    <x v="0"/>
    <n v="4.09"/>
    <x v="3"/>
    <n v="2024"/>
    <n v="158.52839999999998"/>
    <s v="Weekend"/>
  </r>
  <r>
    <s v="M1270"/>
    <x v="2"/>
    <s v="Industrial"/>
    <x v="189"/>
    <n v="8.06"/>
    <n v="7.41"/>
    <n v="36"/>
    <x v="1"/>
    <n v="6.77"/>
    <x v="0"/>
    <n v="2024"/>
    <n v="54.566200000000002"/>
    <s v="Weekend"/>
  </r>
  <r>
    <s v="M1271"/>
    <x v="0"/>
    <s v="Industrial"/>
    <x v="157"/>
    <n v="34.08"/>
    <n v="4.2"/>
    <n v="102"/>
    <x v="1"/>
    <n v="8.31"/>
    <x v="4"/>
    <n v="2024"/>
    <n v="283.20479999999998"/>
    <s v="Weekday"/>
  </r>
  <r>
    <s v="M1272"/>
    <x v="2"/>
    <s v="Residential"/>
    <x v="181"/>
    <n v="38.46"/>
    <n v="4.67"/>
    <n v="92"/>
    <x v="1"/>
    <n v="3.92"/>
    <x v="0"/>
    <n v="2024"/>
    <n v="150.76320000000001"/>
    <s v="Weekday"/>
  </r>
  <r>
    <s v="M1273"/>
    <x v="1"/>
    <s v="Commercial"/>
    <x v="190"/>
    <n v="28.27"/>
    <n v="6.28"/>
    <n v="54"/>
    <x v="0"/>
    <n v="6.39"/>
    <x v="10"/>
    <n v="2024"/>
    <n v="180.64529999999999"/>
    <s v="Weekday"/>
  </r>
  <r>
    <s v="M1274"/>
    <x v="1"/>
    <s v="Commercial"/>
    <x v="149"/>
    <n v="88.62"/>
    <n v="9.92"/>
    <n v="94"/>
    <x v="0"/>
    <n v="8.02"/>
    <x v="9"/>
    <n v="2024"/>
    <n v="710.73239999999998"/>
    <s v="Weekend"/>
  </r>
  <r>
    <s v="M1275"/>
    <x v="2"/>
    <s v="Industrial"/>
    <x v="179"/>
    <n v="95.8"/>
    <n v="6.43"/>
    <n v="116"/>
    <x v="0"/>
    <n v="5.85"/>
    <x v="8"/>
    <n v="2024"/>
    <n v="560.42999999999995"/>
    <s v="Weekday"/>
  </r>
  <r>
    <s v="M1276"/>
    <x v="0"/>
    <s v="Commercial"/>
    <x v="70"/>
    <n v="90.01"/>
    <n v="1.46"/>
    <n v="118"/>
    <x v="1"/>
    <n v="7.84"/>
    <x v="4"/>
    <n v="2024"/>
    <n v="705.67840000000001"/>
    <s v="Weekend"/>
  </r>
  <r>
    <s v="M1277"/>
    <x v="1"/>
    <s v="Commercial"/>
    <x v="30"/>
    <n v="8.33"/>
    <n v="2.77"/>
    <n v="24"/>
    <x v="1"/>
    <n v="3.26"/>
    <x v="0"/>
    <n v="2024"/>
    <n v="27.155799999999999"/>
    <s v="Weekday"/>
  </r>
  <r>
    <s v="M1278"/>
    <x v="0"/>
    <s v="Industrial"/>
    <x v="191"/>
    <n v="52.79"/>
    <n v="1.95"/>
    <n v="119"/>
    <x v="1"/>
    <n v="7.51"/>
    <x v="0"/>
    <n v="2024"/>
    <n v="396.4529"/>
    <s v="Weekday"/>
  </r>
  <r>
    <s v="M1279"/>
    <x v="2"/>
    <s v="Commercial"/>
    <x v="192"/>
    <n v="64.52"/>
    <n v="9.31"/>
    <n v="76"/>
    <x v="0"/>
    <n v="9.5299999999999994"/>
    <x v="0"/>
    <n v="2024"/>
    <n v="614.87559999999996"/>
    <s v="Weekend"/>
  </r>
  <r>
    <s v="M1280"/>
    <x v="2"/>
    <s v="Commercial"/>
    <x v="193"/>
    <n v="20.260000000000002"/>
    <n v="3.8"/>
    <n v="61"/>
    <x v="1"/>
    <n v="6.51"/>
    <x v="8"/>
    <n v="2024"/>
    <n v="131.89260000000002"/>
    <s v="Weekend"/>
  </r>
  <r>
    <s v="M1281"/>
    <x v="0"/>
    <s v="Residential"/>
    <x v="134"/>
    <n v="84.89"/>
    <n v="3.55"/>
    <n v="23"/>
    <x v="1"/>
    <n v="3.68"/>
    <x v="7"/>
    <n v="2024"/>
    <n v="312.39519999999999"/>
    <s v="Weekend"/>
  </r>
  <r>
    <s v="M1282"/>
    <x v="1"/>
    <s v="Residential"/>
    <x v="194"/>
    <n v="73.27"/>
    <n v="1.03"/>
    <n v="52"/>
    <x v="0"/>
    <n v="8.3000000000000007"/>
    <x v="11"/>
    <n v="2024"/>
    <n v="608.14099999999996"/>
    <s v="Weekday"/>
  </r>
  <r>
    <s v="M1283"/>
    <x v="1"/>
    <s v="Commercial"/>
    <x v="195"/>
    <n v="58.23"/>
    <n v="9.4700000000000006"/>
    <n v="102"/>
    <x v="0"/>
    <n v="5.79"/>
    <x v="3"/>
    <n v="2024"/>
    <n v="337.15170000000001"/>
    <s v="Weekday"/>
  </r>
  <r>
    <s v="M1284"/>
    <x v="2"/>
    <s v="Commercial"/>
    <x v="196"/>
    <n v="9.34"/>
    <n v="6.48"/>
    <n v="114"/>
    <x v="0"/>
    <n v="9.5500000000000007"/>
    <x v="7"/>
    <n v="2024"/>
    <n v="89.197000000000003"/>
    <s v="Weekday"/>
  </r>
  <r>
    <s v="M1285"/>
    <x v="2"/>
    <s v="Commercial"/>
    <x v="197"/>
    <n v="12.95"/>
    <n v="8.7799999999999994"/>
    <n v="65"/>
    <x v="0"/>
    <n v="9.23"/>
    <x v="9"/>
    <n v="2024"/>
    <n v="119.52849999999999"/>
    <s v="Weekday"/>
  </r>
  <r>
    <s v="M1286"/>
    <x v="1"/>
    <s v="Commercial"/>
    <x v="198"/>
    <n v="89.41"/>
    <n v="1.1299999999999999"/>
    <n v="78"/>
    <x v="1"/>
    <n v="3.16"/>
    <x v="10"/>
    <n v="2024"/>
    <n v="282.53559999999999"/>
    <s v="Weekday"/>
  </r>
  <r>
    <s v="M1287"/>
    <x v="2"/>
    <s v="Residential"/>
    <x v="199"/>
    <n v="21.94"/>
    <n v="9.64"/>
    <n v="87"/>
    <x v="1"/>
    <n v="4.07"/>
    <x v="0"/>
    <n v="2024"/>
    <n v="89.295800000000014"/>
    <s v="Weekday"/>
  </r>
  <r>
    <s v="M1288"/>
    <x v="2"/>
    <s v="Industrial"/>
    <x v="200"/>
    <n v="60.01"/>
    <n v="3.23"/>
    <n v="9"/>
    <x v="0"/>
    <n v="6.73"/>
    <x v="11"/>
    <n v="2024"/>
    <n v="403.8673"/>
    <s v="Weekday"/>
  </r>
  <r>
    <s v="M1289"/>
    <x v="1"/>
    <s v="Commercial"/>
    <x v="60"/>
    <n v="71.27"/>
    <n v="2.2599999999999998"/>
    <n v="76"/>
    <x v="0"/>
    <n v="8.99"/>
    <x v="0"/>
    <n v="2024"/>
    <n v="640.71730000000002"/>
    <s v="Weekday"/>
  </r>
  <r>
    <s v="M1290"/>
    <x v="1"/>
    <s v="Residential"/>
    <x v="201"/>
    <n v="24.94"/>
    <n v="9.3000000000000007"/>
    <n v="77"/>
    <x v="0"/>
    <n v="6.1"/>
    <x v="7"/>
    <n v="2024"/>
    <n v="152.13399999999999"/>
    <s v="Weekend"/>
  </r>
  <r>
    <s v="M1291"/>
    <x v="2"/>
    <s v="Industrial"/>
    <x v="202"/>
    <n v="23.38"/>
    <n v="6.92"/>
    <n v="93"/>
    <x v="1"/>
    <n v="8.8000000000000007"/>
    <x v="11"/>
    <n v="2024"/>
    <n v="205.744"/>
    <s v="Weekday"/>
  </r>
  <r>
    <s v="M1292"/>
    <x v="1"/>
    <s v="Commercial"/>
    <x v="148"/>
    <n v="44.79"/>
    <n v="9.58"/>
    <n v="89"/>
    <x v="0"/>
    <n v="4.2"/>
    <x v="5"/>
    <n v="2024"/>
    <n v="188.11799999999999"/>
    <s v="Weekday"/>
  </r>
  <r>
    <s v="M1293"/>
    <x v="2"/>
    <s v="Residential"/>
    <x v="102"/>
    <n v="65.3"/>
    <n v="3.03"/>
    <n v="23"/>
    <x v="0"/>
    <n v="5.0199999999999996"/>
    <x v="9"/>
    <n v="2024"/>
    <n v="327.80599999999998"/>
    <s v="Weekday"/>
  </r>
  <r>
    <s v="M1294"/>
    <x v="0"/>
    <s v="Commercial"/>
    <x v="111"/>
    <n v="99.3"/>
    <n v="8.99"/>
    <n v="85"/>
    <x v="1"/>
    <n v="9.25"/>
    <x v="0"/>
    <n v="2024"/>
    <n v="918.52499999999998"/>
    <s v="Weekday"/>
  </r>
  <r>
    <s v="M1295"/>
    <x v="1"/>
    <s v="Commercial"/>
    <x v="203"/>
    <n v="14.31"/>
    <n v="4.12"/>
    <n v="87"/>
    <x v="1"/>
    <n v="5.41"/>
    <x v="11"/>
    <n v="2024"/>
    <n v="77.417100000000005"/>
    <s v="Weekday"/>
  </r>
  <r>
    <s v="M1296"/>
    <x v="0"/>
    <s v="Residential"/>
    <x v="129"/>
    <n v="43.25"/>
    <n v="4.47"/>
    <n v="21"/>
    <x v="0"/>
    <n v="8.86"/>
    <x v="1"/>
    <n v="2024"/>
    <n v="383.19499999999999"/>
    <s v="Weekday"/>
  </r>
  <r>
    <s v="M1297"/>
    <x v="1"/>
    <s v="Industrial"/>
    <x v="204"/>
    <n v="36.97"/>
    <n v="5.19"/>
    <n v="86"/>
    <x v="1"/>
    <n v="9.31"/>
    <x v="2"/>
    <n v="2024"/>
    <n v="344.19069999999999"/>
    <s v="Weekday"/>
  </r>
  <r>
    <s v="M1298"/>
    <x v="2"/>
    <s v="Industrial"/>
    <x v="34"/>
    <n v="26.68"/>
    <n v="3.19"/>
    <n v="0"/>
    <x v="0"/>
    <n v="3.22"/>
    <x v="6"/>
    <n v="2024"/>
    <n v="85.909599999999998"/>
    <s v="Weekend"/>
  </r>
  <r>
    <s v="M1299"/>
    <x v="0"/>
    <s v="Commercial"/>
    <x v="205"/>
    <n v="56.8"/>
    <n v="2.09"/>
    <n v="82"/>
    <x v="0"/>
    <n v="6.27"/>
    <x v="11"/>
    <n v="2024"/>
    <n v="356.13599999999997"/>
    <s v="Weekday"/>
  </r>
  <r>
    <s v="M1300"/>
    <x v="1"/>
    <s v="Residential"/>
    <x v="206"/>
    <n v="34.659999999999997"/>
    <n v="9.25"/>
    <n v="9"/>
    <x v="1"/>
    <n v="3.67"/>
    <x v="5"/>
    <n v="2024"/>
    <n v="127.20219999999999"/>
    <s v="Weekend"/>
  </r>
  <r>
    <s v="M1301"/>
    <x v="1"/>
    <s v="Residential"/>
    <x v="85"/>
    <n v="50.55"/>
    <n v="7.34"/>
    <n v="17"/>
    <x v="1"/>
    <n v="6.13"/>
    <x v="7"/>
    <n v="2024"/>
    <n v="309.87149999999997"/>
    <s v="Weekday"/>
  </r>
  <r>
    <s v="M1302"/>
    <x v="2"/>
    <s v="Commercial"/>
    <x v="207"/>
    <n v="54.88"/>
    <n v="3.1"/>
    <n v="19"/>
    <x v="0"/>
    <n v="5.01"/>
    <x v="9"/>
    <n v="2024"/>
    <n v="274.94880000000001"/>
    <s v="Weekday"/>
  </r>
  <r>
    <s v="M1303"/>
    <x v="1"/>
    <s v="Residential"/>
    <x v="65"/>
    <n v="66.78"/>
    <n v="1.1100000000000001"/>
    <n v="37"/>
    <x v="0"/>
    <n v="7.06"/>
    <x v="1"/>
    <n v="2024"/>
    <n v="471.46679999999998"/>
    <s v="Weekday"/>
  </r>
  <r>
    <s v="M1304"/>
    <x v="0"/>
    <s v="Commercial"/>
    <x v="208"/>
    <n v="37.42"/>
    <n v="1.81"/>
    <n v="35"/>
    <x v="0"/>
    <n v="7.72"/>
    <x v="8"/>
    <n v="2024"/>
    <n v="288.88240000000002"/>
    <s v="Weekday"/>
  </r>
  <r>
    <s v="M1305"/>
    <x v="1"/>
    <s v="Industrial"/>
    <x v="209"/>
    <n v="53.33"/>
    <n v="3.36"/>
    <n v="72"/>
    <x v="1"/>
    <n v="9.59"/>
    <x v="4"/>
    <n v="2024"/>
    <n v="511.43469999999996"/>
    <s v="Weekday"/>
  </r>
  <r>
    <s v="M1306"/>
    <x v="2"/>
    <s v="Residential"/>
    <x v="7"/>
    <n v="90.96"/>
    <n v="8.02"/>
    <n v="114"/>
    <x v="1"/>
    <n v="7.56"/>
    <x v="6"/>
    <n v="2024"/>
    <n v="687.65759999999989"/>
    <s v="Weekend"/>
  </r>
  <r>
    <s v="M1307"/>
    <x v="2"/>
    <s v="Industrial"/>
    <x v="163"/>
    <n v="77.64"/>
    <n v="2.81"/>
    <n v="109"/>
    <x v="0"/>
    <n v="9.4600000000000009"/>
    <x v="4"/>
    <n v="2024"/>
    <n v="734.47440000000006"/>
    <s v="Weekday"/>
  </r>
  <r>
    <s v="M1308"/>
    <x v="1"/>
    <s v="Residential"/>
    <x v="210"/>
    <n v="13.53"/>
    <n v="7.75"/>
    <n v="77"/>
    <x v="1"/>
    <n v="9.25"/>
    <x v="9"/>
    <n v="2024"/>
    <n v="125.15249999999999"/>
    <s v="Weekday"/>
  </r>
  <r>
    <s v="M1309"/>
    <x v="2"/>
    <s v="Commercial"/>
    <x v="211"/>
    <n v="17.149999999999999"/>
    <n v="7.16"/>
    <n v="106"/>
    <x v="0"/>
    <n v="9.65"/>
    <x v="7"/>
    <n v="2024"/>
    <n v="165.4975"/>
    <s v="Weekday"/>
  </r>
  <r>
    <s v="M1310"/>
    <x v="0"/>
    <s v="Industrial"/>
    <x v="141"/>
    <n v="63.45"/>
    <n v="5.56"/>
    <n v="108"/>
    <x v="1"/>
    <n v="6.39"/>
    <x v="0"/>
    <n v="2024"/>
    <n v="405.44549999999998"/>
    <s v="Weekday"/>
  </r>
  <r>
    <s v="M1311"/>
    <x v="1"/>
    <s v="Commercial"/>
    <x v="212"/>
    <n v="65.260000000000005"/>
    <n v="9.68"/>
    <n v="13"/>
    <x v="0"/>
    <n v="4.1399999999999997"/>
    <x v="8"/>
    <n v="2024"/>
    <n v="270.1764"/>
    <s v="Weekday"/>
  </r>
  <r>
    <s v="M1312"/>
    <x v="1"/>
    <s v="Residential"/>
    <x v="120"/>
    <n v="83.49"/>
    <n v="7.96"/>
    <n v="50"/>
    <x v="0"/>
    <n v="3.8"/>
    <x v="3"/>
    <n v="2024"/>
    <n v="317.26199999999994"/>
    <s v="Weekday"/>
  </r>
  <r>
    <s v="M1313"/>
    <x v="2"/>
    <s v="Residential"/>
    <x v="213"/>
    <n v="47.88"/>
    <n v="6"/>
    <n v="37"/>
    <x v="1"/>
    <n v="4.6100000000000003"/>
    <x v="3"/>
    <n v="2024"/>
    <n v="220.72680000000003"/>
    <s v="Weekday"/>
  </r>
  <r>
    <s v="M1314"/>
    <x v="1"/>
    <s v="Residential"/>
    <x v="214"/>
    <n v="17.649999999999999"/>
    <n v="5.89"/>
    <n v="19"/>
    <x v="1"/>
    <n v="6.15"/>
    <x v="1"/>
    <n v="2024"/>
    <n v="108.5475"/>
    <s v="Weekday"/>
  </r>
  <r>
    <s v="M1315"/>
    <x v="2"/>
    <s v="Industrial"/>
    <x v="159"/>
    <n v="81.02"/>
    <n v="1.37"/>
    <n v="40"/>
    <x v="1"/>
    <n v="7.89"/>
    <x v="0"/>
    <n v="2024"/>
    <n v="639.24779999999998"/>
    <s v="Weekday"/>
  </r>
  <r>
    <s v="M1316"/>
    <x v="0"/>
    <s v="Commercial"/>
    <x v="127"/>
    <n v="88.84"/>
    <n v="1.7"/>
    <n v="119"/>
    <x v="1"/>
    <n v="5.2"/>
    <x v="4"/>
    <n v="2024"/>
    <n v="461.96800000000002"/>
    <s v="Weekday"/>
  </r>
  <r>
    <s v="M1317"/>
    <x v="1"/>
    <s v="Residential"/>
    <x v="215"/>
    <n v="89.44"/>
    <n v="4.21"/>
    <n v="105"/>
    <x v="1"/>
    <n v="6.51"/>
    <x v="6"/>
    <n v="2024"/>
    <n v="582.25439999999992"/>
    <s v="Weekday"/>
  </r>
  <r>
    <s v="M1318"/>
    <x v="1"/>
    <s v="Commercial"/>
    <x v="216"/>
    <n v="7"/>
    <n v="4.6100000000000003"/>
    <n v="53"/>
    <x v="0"/>
    <n v="9.94"/>
    <x v="7"/>
    <n v="2024"/>
    <n v="69.58"/>
    <s v="Weekday"/>
  </r>
  <r>
    <s v="M1319"/>
    <x v="0"/>
    <s v="Residential"/>
    <x v="176"/>
    <n v="65.03"/>
    <n v="9.4600000000000009"/>
    <n v="109"/>
    <x v="1"/>
    <n v="8.3699999999999992"/>
    <x v="11"/>
    <n v="2024"/>
    <n v="544.30109999999991"/>
    <s v="Weekday"/>
  </r>
  <r>
    <s v="M1320"/>
    <x v="0"/>
    <s v="Residential"/>
    <x v="107"/>
    <n v="93.99"/>
    <n v="4.07"/>
    <n v="73"/>
    <x v="0"/>
    <n v="3.79"/>
    <x v="10"/>
    <n v="2024"/>
    <n v="356.22210000000001"/>
    <s v="Weekday"/>
  </r>
  <r>
    <s v="M1321"/>
    <x v="0"/>
    <s v="Industrial"/>
    <x v="217"/>
    <n v="86.57"/>
    <n v="6.2"/>
    <n v="63"/>
    <x v="0"/>
    <n v="6.51"/>
    <x v="10"/>
    <n v="2024"/>
    <n v="563.57069999999999"/>
    <s v="Weekday"/>
  </r>
  <r>
    <s v="M1322"/>
    <x v="1"/>
    <s v="Commercial"/>
    <x v="124"/>
    <n v="99.78"/>
    <n v="9.5399999999999991"/>
    <n v="24"/>
    <x v="1"/>
    <n v="3.18"/>
    <x v="8"/>
    <n v="2024"/>
    <n v="317.30040000000002"/>
    <s v="Weekday"/>
  </r>
  <r>
    <s v="M1323"/>
    <x v="0"/>
    <s v="Commercial"/>
    <x v="208"/>
    <n v="42.45"/>
    <n v="5.78"/>
    <n v="9"/>
    <x v="0"/>
    <n v="4.4800000000000004"/>
    <x v="8"/>
    <n v="2024"/>
    <n v="190.17600000000004"/>
    <s v="Weekday"/>
  </r>
  <r>
    <s v="M1324"/>
    <x v="0"/>
    <s v="Residential"/>
    <x v="218"/>
    <n v="70.3"/>
    <n v="5.44"/>
    <n v="89"/>
    <x v="1"/>
    <n v="4.8499999999999996"/>
    <x v="0"/>
    <n v="2024"/>
    <n v="340.95499999999998"/>
    <s v="Weekend"/>
  </r>
  <r>
    <s v="M1325"/>
    <x v="1"/>
    <s v="Residential"/>
    <x v="130"/>
    <n v="33.020000000000003"/>
    <n v="3.09"/>
    <n v="45"/>
    <x v="0"/>
    <n v="7.71"/>
    <x v="3"/>
    <n v="2024"/>
    <n v="254.58420000000001"/>
    <s v="Weekday"/>
  </r>
  <r>
    <s v="M1326"/>
    <x v="2"/>
    <s v="Commercial"/>
    <x v="152"/>
    <n v="90.23"/>
    <n v="8.02"/>
    <n v="59"/>
    <x v="1"/>
    <n v="9.4600000000000009"/>
    <x v="2"/>
    <n v="2024"/>
    <n v="853.57580000000007"/>
    <s v="Weekend"/>
  </r>
  <r>
    <s v="M1327"/>
    <x v="1"/>
    <s v="Industrial"/>
    <x v="219"/>
    <n v="8.1300000000000008"/>
    <n v="5.68"/>
    <n v="38"/>
    <x v="0"/>
    <n v="7.84"/>
    <x v="1"/>
    <n v="2024"/>
    <n v="63.739200000000004"/>
    <s v="Weekday"/>
  </r>
  <r>
    <s v="M1328"/>
    <x v="1"/>
    <s v="Residential"/>
    <x v="84"/>
    <n v="24.38"/>
    <n v="3.09"/>
    <n v="16"/>
    <x v="1"/>
    <n v="6.09"/>
    <x v="2"/>
    <n v="2024"/>
    <n v="148.4742"/>
    <s v="Weekend"/>
  </r>
  <r>
    <s v="M1329"/>
    <x v="1"/>
    <s v="Industrial"/>
    <x v="55"/>
    <n v="73.34"/>
    <n v="6.59"/>
    <n v="66"/>
    <x v="0"/>
    <n v="4.26"/>
    <x v="7"/>
    <n v="2024"/>
    <n v="312.42840000000001"/>
    <s v="Weekend"/>
  </r>
  <r>
    <s v="M1330"/>
    <x v="0"/>
    <s v="Residential"/>
    <x v="220"/>
    <n v="48.3"/>
    <n v="9.64"/>
    <n v="14"/>
    <x v="0"/>
    <n v="3.32"/>
    <x v="9"/>
    <n v="2024"/>
    <n v="160.35599999999999"/>
    <s v="Weekend"/>
  </r>
  <r>
    <s v="M1331"/>
    <x v="1"/>
    <s v="Commercial"/>
    <x v="197"/>
    <n v="92.77"/>
    <n v="1.18"/>
    <n v="30"/>
    <x v="0"/>
    <n v="8.65"/>
    <x v="9"/>
    <n v="2024"/>
    <n v="802.46050000000002"/>
    <s v="Weekday"/>
  </r>
  <r>
    <s v="M1332"/>
    <x v="0"/>
    <s v="Residential"/>
    <x v="209"/>
    <n v="35.08"/>
    <n v="6.64"/>
    <n v="69"/>
    <x v="0"/>
    <n v="6.75"/>
    <x v="4"/>
    <n v="2024"/>
    <n v="236.79"/>
    <s v="Weekday"/>
  </r>
  <r>
    <s v="M1333"/>
    <x v="2"/>
    <s v="Residential"/>
    <x v="90"/>
    <n v="31.56"/>
    <n v="9.24"/>
    <n v="118"/>
    <x v="0"/>
    <n v="6.42"/>
    <x v="4"/>
    <n v="2024"/>
    <n v="202.61519999999999"/>
    <s v="Weekday"/>
  </r>
  <r>
    <s v="M1334"/>
    <x v="2"/>
    <s v="Residential"/>
    <x v="177"/>
    <n v="35.15"/>
    <n v="7.61"/>
    <n v="119"/>
    <x v="0"/>
    <n v="9.74"/>
    <x v="0"/>
    <n v="2024"/>
    <n v="342.36099999999999"/>
    <s v="Weekday"/>
  </r>
  <r>
    <s v="M1335"/>
    <x v="1"/>
    <s v="Commercial"/>
    <x v="221"/>
    <n v="30.92"/>
    <n v="8.33"/>
    <n v="54"/>
    <x v="0"/>
    <n v="5.57"/>
    <x v="11"/>
    <n v="2024"/>
    <n v="172.22440000000003"/>
    <s v="Weekend"/>
  </r>
  <r>
    <s v="M1336"/>
    <x v="0"/>
    <s v="Industrial"/>
    <x v="169"/>
    <n v="53.31"/>
    <n v="1.96"/>
    <n v="13"/>
    <x v="0"/>
    <n v="3.94"/>
    <x v="7"/>
    <n v="2024"/>
    <n v="210.04140000000001"/>
    <s v="Weekend"/>
  </r>
  <r>
    <s v="M1337"/>
    <x v="1"/>
    <s v="Industrial"/>
    <x v="222"/>
    <n v="86.21"/>
    <n v="2.6"/>
    <n v="32"/>
    <x v="0"/>
    <n v="8.9499999999999993"/>
    <x v="1"/>
    <n v="2024"/>
    <n v="771.57949999999994"/>
    <s v="Weekend"/>
  </r>
  <r>
    <s v="M1338"/>
    <x v="1"/>
    <s v="Commercial"/>
    <x v="163"/>
    <n v="67.989999999999995"/>
    <n v="9.1"/>
    <n v="4"/>
    <x v="1"/>
    <n v="4.3"/>
    <x v="4"/>
    <n v="2024"/>
    <n v="292.35699999999997"/>
    <s v="Weekday"/>
  </r>
  <r>
    <s v="M1339"/>
    <x v="1"/>
    <s v="Commercial"/>
    <x v="116"/>
    <n v="18.829999999999998"/>
    <n v="1.24"/>
    <n v="85"/>
    <x v="0"/>
    <n v="7.13"/>
    <x v="7"/>
    <n v="2024"/>
    <n v="134.25789999999998"/>
    <s v="Weekday"/>
  </r>
  <r>
    <s v="M1340"/>
    <x v="1"/>
    <s v="Residential"/>
    <x v="127"/>
    <n v="97.76"/>
    <n v="6"/>
    <n v="94"/>
    <x v="1"/>
    <n v="7.47"/>
    <x v="4"/>
    <n v="2024"/>
    <n v="730.2672"/>
    <s v="Weekday"/>
  </r>
  <r>
    <s v="M1341"/>
    <x v="0"/>
    <s v="Residential"/>
    <x v="187"/>
    <n v="12.06"/>
    <n v="7.06"/>
    <n v="64"/>
    <x v="1"/>
    <n v="3.75"/>
    <x v="9"/>
    <n v="2024"/>
    <n v="45.225000000000001"/>
    <s v="Weekday"/>
  </r>
  <r>
    <s v="M1342"/>
    <x v="0"/>
    <s v="Industrial"/>
    <x v="223"/>
    <n v="87.12"/>
    <n v="9.27"/>
    <n v="36"/>
    <x v="1"/>
    <n v="3.08"/>
    <x v="4"/>
    <n v="2024"/>
    <n v="268.32960000000003"/>
    <s v="Weekend"/>
  </r>
  <r>
    <s v="M1343"/>
    <x v="0"/>
    <s v="Residential"/>
    <x v="134"/>
    <n v="76.33"/>
    <n v="4.7300000000000004"/>
    <n v="120"/>
    <x v="0"/>
    <n v="9.41"/>
    <x v="7"/>
    <n v="2024"/>
    <n v="718.26530000000002"/>
    <s v="Weekend"/>
  </r>
  <r>
    <s v="M1344"/>
    <x v="2"/>
    <s v="Commercial"/>
    <x v="224"/>
    <n v="58.27"/>
    <n v="8.86"/>
    <n v="16"/>
    <x v="1"/>
    <n v="5.31"/>
    <x v="2"/>
    <n v="2024"/>
    <n v="309.41370000000001"/>
    <s v="Weekend"/>
  </r>
  <r>
    <s v="M1345"/>
    <x v="0"/>
    <s v="Industrial"/>
    <x v="225"/>
    <n v="6.92"/>
    <n v="6.46"/>
    <n v="25"/>
    <x v="1"/>
    <n v="9.27"/>
    <x v="9"/>
    <n v="2024"/>
    <n v="64.148399999999995"/>
    <s v="Weekday"/>
  </r>
  <r>
    <s v="M1346"/>
    <x v="2"/>
    <s v="Residential"/>
    <x v="226"/>
    <n v="74.3"/>
    <n v="1.38"/>
    <n v="24"/>
    <x v="0"/>
    <n v="9.34"/>
    <x v="8"/>
    <n v="2024"/>
    <n v="693.96199999999999"/>
    <s v="Weekday"/>
  </r>
  <r>
    <s v="M1347"/>
    <x v="2"/>
    <s v="Industrial"/>
    <x v="135"/>
    <n v="35"/>
    <n v="8.9700000000000006"/>
    <n v="110"/>
    <x v="1"/>
    <n v="7.76"/>
    <x v="10"/>
    <n v="2024"/>
    <n v="271.59999999999997"/>
    <s v="Weekday"/>
  </r>
  <r>
    <s v="M1348"/>
    <x v="2"/>
    <s v="Residential"/>
    <x v="227"/>
    <n v="51.42"/>
    <n v="2.81"/>
    <n v="102"/>
    <x v="0"/>
    <n v="4.84"/>
    <x v="4"/>
    <n v="2024"/>
    <n v="248.87280000000001"/>
    <s v="Weekday"/>
  </r>
  <r>
    <s v="M1349"/>
    <x v="1"/>
    <s v="Industrial"/>
    <x v="58"/>
    <n v="53.41"/>
    <n v="3.81"/>
    <n v="17"/>
    <x v="1"/>
    <n v="9.3000000000000007"/>
    <x v="5"/>
    <n v="2024"/>
    <n v="496.71300000000002"/>
    <s v="Weekday"/>
  </r>
  <r>
    <s v="M1350"/>
    <x v="0"/>
    <s v="Residential"/>
    <x v="218"/>
    <n v="93.08"/>
    <n v="6.81"/>
    <n v="96"/>
    <x v="0"/>
    <n v="9.18"/>
    <x v="0"/>
    <n v="2024"/>
    <n v="854.47439999999995"/>
    <s v="Weekend"/>
  </r>
  <r>
    <s v="M1351"/>
    <x v="1"/>
    <s v="Commercial"/>
    <x v="228"/>
    <n v="16.59"/>
    <n v="1.89"/>
    <n v="35"/>
    <x v="0"/>
    <n v="5.1100000000000003"/>
    <x v="8"/>
    <n v="2024"/>
    <n v="84.774900000000002"/>
    <s v="Weekday"/>
  </r>
  <r>
    <s v="M1352"/>
    <x v="1"/>
    <s v="Industrial"/>
    <x v="16"/>
    <n v="14.55"/>
    <n v="9.15"/>
    <n v="94"/>
    <x v="0"/>
    <n v="5.78"/>
    <x v="9"/>
    <n v="2024"/>
    <n v="84.099000000000004"/>
    <s v="Weekday"/>
  </r>
  <r>
    <s v="M1353"/>
    <x v="0"/>
    <s v="Residential"/>
    <x v="136"/>
    <n v="17.63"/>
    <n v="2.16"/>
    <n v="92"/>
    <x v="0"/>
    <n v="4.75"/>
    <x v="11"/>
    <n v="2024"/>
    <n v="83.742499999999993"/>
    <s v="Weekend"/>
  </r>
  <r>
    <s v="M1354"/>
    <x v="2"/>
    <s v="Industrial"/>
    <x v="181"/>
    <n v="46.2"/>
    <n v="1.29"/>
    <n v="74"/>
    <x v="1"/>
    <n v="8.8800000000000008"/>
    <x v="0"/>
    <n v="2024"/>
    <n v="410.25600000000009"/>
    <s v="Weekday"/>
  </r>
  <r>
    <s v="M1355"/>
    <x v="1"/>
    <s v="Residential"/>
    <x v="35"/>
    <n v="65.17"/>
    <n v="1.25"/>
    <n v="94"/>
    <x v="1"/>
    <n v="9.94"/>
    <x v="7"/>
    <n v="2024"/>
    <n v="647.78980000000001"/>
    <s v="Weekday"/>
  </r>
  <r>
    <s v="M1356"/>
    <x v="1"/>
    <s v="Residential"/>
    <x v="13"/>
    <n v="94.28"/>
    <n v="5.33"/>
    <n v="68"/>
    <x v="1"/>
    <n v="4.1900000000000004"/>
    <x v="2"/>
    <n v="2024"/>
    <n v="395.03320000000002"/>
    <s v="Weekend"/>
  </r>
  <r>
    <s v="M1357"/>
    <x v="2"/>
    <s v="Industrial"/>
    <x v="229"/>
    <n v="38.799999999999997"/>
    <n v="8.82"/>
    <n v="38"/>
    <x v="0"/>
    <n v="5.89"/>
    <x v="2"/>
    <n v="2024"/>
    <n v="228.53199999999998"/>
    <s v="Weekday"/>
  </r>
  <r>
    <s v="M1358"/>
    <x v="0"/>
    <s v="Residential"/>
    <x v="230"/>
    <n v="69.3"/>
    <n v="6.1"/>
    <n v="1"/>
    <x v="1"/>
    <n v="3.76"/>
    <x v="6"/>
    <n v="2024"/>
    <n v="260.56799999999998"/>
    <s v="Weekday"/>
  </r>
  <r>
    <s v="M1359"/>
    <x v="2"/>
    <s v="Commercial"/>
    <x v="231"/>
    <n v="58.52"/>
    <n v="3.95"/>
    <n v="88"/>
    <x v="0"/>
    <n v="4.4000000000000004"/>
    <x v="0"/>
    <n v="2024"/>
    <n v="257.48800000000006"/>
    <s v="Weekday"/>
  </r>
  <r>
    <s v="M1360"/>
    <x v="2"/>
    <s v="Industrial"/>
    <x v="145"/>
    <n v="16.239999999999998"/>
    <n v="6.97"/>
    <n v="10"/>
    <x v="1"/>
    <n v="6.02"/>
    <x v="3"/>
    <n v="2024"/>
    <n v="97.76479999999998"/>
    <s v="Weekday"/>
  </r>
  <r>
    <s v="M1361"/>
    <x v="2"/>
    <s v="Commercial"/>
    <x v="100"/>
    <n v="84.65"/>
    <n v="2.94"/>
    <n v="12"/>
    <x v="1"/>
    <n v="7.08"/>
    <x v="11"/>
    <n v="2024"/>
    <n v="599.322"/>
    <s v="Weekend"/>
  </r>
  <r>
    <s v="M1362"/>
    <x v="2"/>
    <s v="Industrial"/>
    <x v="232"/>
    <n v="84.06"/>
    <n v="8.85"/>
    <n v="73"/>
    <x v="1"/>
    <n v="3.66"/>
    <x v="1"/>
    <n v="2024"/>
    <n v="307.65960000000001"/>
    <s v="Weekday"/>
  </r>
  <r>
    <s v="M1363"/>
    <x v="1"/>
    <s v="Residential"/>
    <x v="233"/>
    <n v="18.48"/>
    <n v="9.18"/>
    <n v="39"/>
    <x v="0"/>
    <n v="4.9400000000000004"/>
    <x v="5"/>
    <n v="2024"/>
    <n v="91.291200000000003"/>
    <s v="Weekend"/>
  </r>
  <r>
    <s v="M1364"/>
    <x v="1"/>
    <s v="Industrial"/>
    <x v="234"/>
    <n v="78.02"/>
    <n v="6.6"/>
    <n v="38"/>
    <x v="0"/>
    <n v="6.71"/>
    <x v="4"/>
    <n v="2024"/>
    <n v="523.51419999999996"/>
    <s v="Weekday"/>
  </r>
  <r>
    <s v="M1365"/>
    <x v="2"/>
    <s v="Commercial"/>
    <x v="30"/>
    <n v="88.87"/>
    <n v="8.69"/>
    <n v="70"/>
    <x v="0"/>
    <n v="6.62"/>
    <x v="0"/>
    <n v="2024"/>
    <n v="588.31940000000009"/>
    <s v="Weekday"/>
  </r>
  <r>
    <s v="M1366"/>
    <x v="1"/>
    <s v="Industrial"/>
    <x v="74"/>
    <n v="78.77"/>
    <n v="6.65"/>
    <n v="114"/>
    <x v="1"/>
    <n v="3.55"/>
    <x v="1"/>
    <n v="2024"/>
    <n v="279.63349999999997"/>
    <s v="Weekend"/>
  </r>
  <r>
    <s v="M1367"/>
    <x v="0"/>
    <s v="Industrial"/>
    <x v="235"/>
    <n v="65.55"/>
    <n v="7.89"/>
    <n v="65"/>
    <x v="0"/>
    <n v="7.39"/>
    <x v="5"/>
    <n v="2024"/>
    <n v="484.41449999999998"/>
    <s v="Weekday"/>
  </r>
  <r>
    <s v="M1368"/>
    <x v="1"/>
    <s v="Commercial"/>
    <x v="236"/>
    <n v="44.1"/>
    <n v="1.22"/>
    <n v="108"/>
    <x v="0"/>
    <n v="8.94"/>
    <x v="1"/>
    <n v="2024"/>
    <n v="394.25400000000002"/>
    <s v="Weekday"/>
  </r>
  <r>
    <s v="M1369"/>
    <x v="2"/>
    <s v="Commercial"/>
    <x v="165"/>
    <n v="96.03"/>
    <n v="2.4500000000000002"/>
    <n v="14"/>
    <x v="0"/>
    <n v="6.17"/>
    <x v="3"/>
    <n v="2024"/>
    <n v="592.50509999999997"/>
    <s v="Weekday"/>
  </r>
  <r>
    <s v="M1370"/>
    <x v="0"/>
    <s v="Industrial"/>
    <x v="165"/>
    <n v="19.309999999999999"/>
    <n v="8.5"/>
    <n v="93"/>
    <x v="1"/>
    <n v="9.69"/>
    <x v="3"/>
    <n v="2024"/>
    <n v="187.11389999999997"/>
    <s v="Weekday"/>
  </r>
  <r>
    <s v="M1371"/>
    <x v="0"/>
    <s v="Industrial"/>
    <x v="172"/>
    <n v="87.92"/>
    <n v="6.32"/>
    <n v="43"/>
    <x v="0"/>
    <n v="5.7"/>
    <x v="9"/>
    <n v="2024"/>
    <n v="501.14400000000001"/>
    <s v="Weekday"/>
  </r>
  <r>
    <s v="M1372"/>
    <x v="1"/>
    <s v="Commercial"/>
    <x v="28"/>
    <n v="86.46"/>
    <n v="5.9"/>
    <n v="42"/>
    <x v="1"/>
    <n v="6.26"/>
    <x v="2"/>
    <n v="2024"/>
    <n v="541.2396"/>
    <s v="Weekday"/>
  </r>
  <r>
    <s v="M1373"/>
    <x v="0"/>
    <s v="Residential"/>
    <x v="237"/>
    <n v="39.479999999999997"/>
    <n v="3.46"/>
    <n v="37"/>
    <x v="0"/>
    <n v="9.99"/>
    <x v="11"/>
    <n v="2024"/>
    <n v="394.40519999999998"/>
    <s v="Weekend"/>
  </r>
  <r>
    <s v="M1374"/>
    <x v="0"/>
    <s v="Commercial"/>
    <x v="153"/>
    <n v="54.16"/>
    <n v="4.08"/>
    <n v="62"/>
    <x v="1"/>
    <n v="6.44"/>
    <x v="11"/>
    <n v="2024"/>
    <n v="348.79039999999998"/>
    <s v="Weekday"/>
  </r>
  <r>
    <s v="M1375"/>
    <x v="2"/>
    <s v="Industrial"/>
    <x v="238"/>
    <n v="6.46"/>
    <n v="4.41"/>
    <n v="111"/>
    <x v="1"/>
    <n v="6.79"/>
    <x v="1"/>
    <n v="2024"/>
    <n v="43.863399999999999"/>
    <s v="Weekday"/>
  </r>
  <r>
    <s v="M1376"/>
    <x v="1"/>
    <s v="Residential"/>
    <x v="162"/>
    <n v="91.27"/>
    <n v="1.26"/>
    <n v="57"/>
    <x v="0"/>
    <n v="7.02"/>
    <x v="7"/>
    <n v="2024"/>
    <n v="640.71539999999993"/>
    <s v="Weekday"/>
  </r>
  <r>
    <s v="M1377"/>
    <x v="1"/>
    <s v="Industrial"/>
    <x v="218"/>
    <n v="66.22"/>
    <n v="2.6"/>
    <n v="50"/>
    <x v="0"/>
    <n v="9.6"/>
    <x v="0"/>
    <n v="2024"/>
    <n v="635.71199999999999"/>
    <s v="Weekend"/>
  </r>
  <r>
    <s v="M1378"/>
    <x v="2"/>
    <s v="Commercial"/>
    <x v="201"/>
    <n v="89.74"/>
    <n v="9.82"/>
    <n v="99"/>
    <x v="1"/>
    <n v="4.78"/>
    <x v="7"/>
    <n v="2024"/>
    <n v="428.9572"/>
    <s v="Weekend"/>
  </r>
  <r>
    <s v="M1379"/>
    <x v="0"/>
    <s v="Commercial"/>
    <x v="222"/>
    <n v="53.9"/>
    <n v="6.01"/>
    <n v="64"/>
    <x v="1"/>
    <n v="4.68"/>
    <x v="1"/>
    <n v="2024"/>
    <n v="252.25199999999998"/>
    <s v="Weekend"/>
  </r>
  <r>
    <s v="M1380"/>
    <x v="1"/>
    <s v="Residential"/>
    <x v="168"/>
    <n v="71.91"/>
    <n v="8.9700000000000006"/>
    <n v="76"/>
    <x v="0"/>
    <n v="3.39"/>
    <x v="8"/>
    <n v="2024"/>
    <n v="243.7749"/>
    <s v="Weekday"/>
  </r>
  <r>
    <s v="M1381"/>
    <x v="0"/>
    <s v="Commercial"/>
    <x v="239"/>
    <n v="5.31"/>
    <n v="3.91"/>
    <n v="43"/>
    <x v="1"/>
    <n v="9.4700000000000006"/>
    <x v="1"/>
    <n v="2024"/>
    <n v="50.285699999999999"/>
    <s v="Weekday"/>
  </r>
  <r>
    <s v="M1382"/>
    <x v="1"/>
    <s v="Industrial"/>
    <x v="83"/>
    <n v="77.180000000000007"/>
    <n v="5.86"/>
    <n v="98"/>
    <x v="1"/>
    <n v="9.08"/>
    <x v="5"/>
    <n v="2024"/>
    <n v="700.79440000000011"/>
    <s v="Weekend"/>
  </r>
  <r>
    <s v="M1383"/>
    <x v="1"/>
    <s v="Commercial"/>
    <x v="240"/>
    <n v="83.25"/>
    <n v="5.96"/>
    <n v="25"/>
    <x v="1"/>
    <n v="7.34"/>
    <x v="6"/>
    <n v="2024"/>
    <n v="611.05499999999995"/>
    <s v="Weekday"/>
  </r>
  <r>
    <s v="M1384"/>
    <x v="0"/>
    <s v="Commercial"/>
    <x v="84"/>
    <n v="99.16"/>
    <n v="3.28"/>
    <n v="119"/>
    <x v="0"/>
    <n v="3.9"/>
    <x v="2"/>
    <n v="2024"/>
    <n v="386.72399999999999"/>
    <s v="Weekend"/>
  </r>
  <r>
    <s v="M1385"/>
    <x v="0"/>
    <s v="Industrial"/>
    <x v="190"/>
    <n v="6.56"/>
    <n v="7.48"/>
    <n v="25"/>
    <x v="0"/>
    <n v="6.21"/>
    <x v="10"/>
    <n v="2024"/>
    <n v="40.7376"/>
    <s v="Weekday"/>
  </r>
  <r>
    <s v="M1386"/>
    <x v="2"/>
    <s v="Industrial"/>
    <x v="241"/>
    <n v="9.8800000000000008"/>
    <n v="9.43"/>
    <n v="52"/>
    <x v="1"/>
    <n v="7.56"/>
    <x v="8"/>
    <n v="2024"/>
    <n v="74.692800000000005"/>
    <s v="Weekend"/>
  </r>
  <r>
    <s v="M1387"/>
    <x v="0"/>
    <s v="Residential"/>
    <x v="17"/>
    <n v="35.020000000000003"/>
    <n v="9.36"/>
    <n v="113"/>
    <x v="0"/>
    <n v="7.99"/>
    <x v="5"/>
    <n v="2024"/>
    <n v="279.80980000000005"/>
    <s v="Weekday"/>
  </r>
  <r>
    <s v="M1388"/>
    <x v="1"/>
    <s v="Industrial"/>
    <x v="242"/>
    <n v="92.95"/>
    <n v="1.43"/>
    <n v="120"/>
    <x v="1"/>
    <n v="8.09"/>
    <x v="2"/>
    <n v="2024"/>
    <n v="751.96550000000002"/>
    <s v="Weekday"/>
  </r>
  <r>
    <s v="M1389"/>
    <x v="1"/>
    <s v="Industrial"/>
    <x v="243"/>
    <n v="55.31"/>
    <n v="6.53"/>
    <n v="93"/>
    <x v="1"/>
    <n v="4.3600000000000003"/>
    <x v="8"/>
    <n v="2024"/>
    <n v="241.15160000000003"/>
    <s v="Weekend"/>
  </r>
  <r>
    <s v="M1390"/>
    <x v="0"/>
    <s v="Commercial"/>
    <x v="72"/>
    <n v="85.79"/>
    <n v="9.32"/>
    <n v="110"/>
    <x v="1"/>
    <n v="6.61"/>
    <x v="9"/>
    <n v="2024"/>
    <n v="567.07190000000003"/>
    <s v="Weekend"/>
  </r>
  <r>
    <s v="M1391"/>
    <x v="2"/>
    <s v="Commercial"/>
    <x v="126"/>
    <n v="19.309999999999999"/>
    <n v="5"/>
    <n v="34"/>
    <x v="1"/>
    <n v="5.73"/>
    <x v="10"/>
    <n v="2024"/>
    <n v="110.6463"/>
    <s v="Weekend"/>
  </r>
  <r>
    <s v="M1392"/>
    <x v="2"/>
    <s v="Residential"/>
    <x v="66"/>
    <n v="92.78"/>
    <n v="8.06"/>
    <n v="82"/>
    <x v="0"/>
    <n v="4.05"/>
    <x v="4"/>
    <n v="2024"/>
    <n v="375.75900000000001"/>
    <s v="Weekday"/>
  </r>
  <r>
    <s v="M1393"/>
    <x v="1"/>
    <s v="Commercial"/>
    <x v="7"/>
    <n v="95.86"/>
    <n v="5.73"/>
    <n v="19"/>
    <x v="0"/>
    <n v="8.76"/>
    <x v="6"/>
    <n v="2024"/>
    <n v="839.73360000000002"/>
    <s v="Weekend"/>
  </r>
  <r>
    <s v="M1394"/>
    <x v="0"/>
    <s v="Commercial"/>
    <x v="244"/>
    <n v="79.709999999999994"/>
    <n v="6.4"/>
    <n v="95"/>
    <x v="1"/>
    <n v="8.92"/>
    <x v="4"/>
    <n v="2024"/>
    <n v="711.01319999999998"/>
    <s v="Weekday"/>
  </r>
  <r>
    <s v="M1395"/>
    <x v="0"/>
    <s v="Industrial"/>
    <x v="177"/>
    <n v="35.94"/>
    <n v="1.94"/>
    <n v="62"/>
    <x v="0"/>
    <n v="4.9400000000000004"/>
    <x v="0"/>
    <n v="2024"/>
    <n v="177.5436"/>
    <s v="Weekday"/>
  </r>
  <r>
    <s v="M1396"/>
    <x v="1"/>
    <s v="Residential"/>
    <x v="211"/>
    <n v="57.41"/>
    <n v="6.9"/>
    <n v="16"/>
    <x v="1"/>
    <n v="3.97"/>
    <x v="7"/>
    <n v="2024"/>
    <n v="227.9177"/>
    <s v="Weekday"/>
  </r>
  <r>
    <s v="M1397"/>
    <x v="0"/>
    <s v="Industrial"/>
    <x v="245"/>
    <n v="95.16"/>
    <n v="7.13"/>
    <n v="93"/>
    <x v="1"/>
    <n v="9.89"/>
    <x v="7"/>
    <n v="2024"/>
    <n v="941.13240000000008"/>
    <s v="Weekday"/>
  </r>
  <r>
    <s v="M1398"/>
    <x v="1"/>
    <s v="Residential"/>
    <x v="246"/>
    <n v="93.27"/>
    <n v="5.46"/>
    <n v="7"/>
    <x v="0"/>
    <n v="8.9700000000000006"/>
    <x v="1"/>
    <n v="2024"/>
    <n v="836.63189999999997"/>
    <s v="Weekday"/>
  </r>
  <r>
    <s v="M1399"/>
    <x v="1"/>
    <s v="Residential"/>
    <x v="247"/>
    <n v="65.739999999999995"/>
    <n v="9.59"/>
    <n v="25"/>
    <x v="1"/>
    <n v="6.58"/>
    <x v="2"/>
    <n v="2024"/>
    <n v="432.56919999999997"/>
    <s v="Weekday"/>
  </r>
  <r>
    <s v="M1400"/>
    <x v="0"/>
    <s v="Commercial"/>
    <x v="237"/>
    <n v="56.49"/>
    <n v="3.15"/>
    <n v="40"/>
    <x v="1"/>
    <n v="9.74"/>
    <x v="11"/>
    <n v="2024"/>
    <n v="550.21260000000007"/>
    <s v="Weekend"/>
  </r>
  <r>
    <s v="M1401"/>
    <x v="1"/>
    <s v="Industrial"/>
    <x v="203"/>
    <n v="56.09"/>
    <n v="7.81"/>
    <n v="75"/>
    <x v="0"/>
    <n v="3.39"/>
    <x v="11"/>
    <n v="2024"/>
    <n v="190.14510000000001"/>
    <s v="Weekday"/>
  </r>
  <r>
    <s v="M1402"/>
    <x v="0"/>
    <s v="Residential"/>
    <x v="182"/>
    <n v="54.4"/>
    <n v="7.08"/>
    <n v="100"/>
    <x v="1"/>
    <n v="9"/>
    <x v="9"/>
    <n v="2024"/>
    <n v="489.59999999999997"/>
    <s v="Weekday"/>
  </r>
  <r>
    <s v="M1403"/>
    <x v="1"/>
    <s v="Commercial"/>
    <x v="107"/>
    <n v="95.32"/>
    <n v="7.47"/>
    <n v="102"/>
    <x v="0"/>
    <n v="9.9"/>
    <x v="10"/>
    <n v="2024"/>
    <n v="943.66800000000001"/>
    <s v="Weekday"/>
  </r>
  <r>
    <s v="M1404"/>
    <x v="1"/>
    <s v="Commercial"/>
    <x v="248"/>
    <n v="11.5"/>
    <n v="9.66"/>
    <n v="0"/>
    <x v="0"/>
    <n v="8.6199999999999992"/>
    <x v="8"/>
    <n v="2024"/>
    <n v="99.13"/>
    <s v="Weekend"/>
  </r>
  <r>
    <s v="M1405"/>
    <x v="2"/>
    <s v="Residential"/>
    <x v="86"/>
    <n v="50.18"/>
    <n v="3.52"/>
    <n v="41"/>
    <x v="0"/>
    <n v="4.59"/>
    <x v="7"/>
    <n v="2024"/>
    <n v="230.3262"/>
    <s v="Weekday"/>
  </r>
  <r>
    <s v="M1406"/>
    <x v="2"/>
    <s v="Industrial"/>
    <x v="173"/>
    <n v="14.33"/>
    <n v="4.78"/>
    <n v="1"/>
    <x v="1"/>
    <n v="8.4700000000000006"/>
    <x v="9"/>
    <n v="2024"/>
    <n v="121.3751"/>
    <s v="Weekday"/>
  </r>
  <r>
    <s v="M1407"/>
    <x v="0"/>
    <s v="Industrial"/>
    <x v="249"/>
    <n v="71.739999999999995"/>
    <n v="3.43"/>
    <n v="97"/>
    <x v="0"/>
    <n v="7.16"/>
    <x v="8"/>
    <n v="2024"/>
    <n v="513.65840000000003"/>
    <s v="Weekday"/>
  </r>
  <r>
    <s v="M1408"/>
    <x v="0"/>
    <s v="Industrial"/>
    <x v="89"/>
    <n v="40.28"/>
    <n v="5.76"/>
    <n v="6"/>
    <x v="0"/>
    <n v="4.05"/>
    <x v="5"/>
    <n v="2024"/>
    <n v="163.13399999999999"/>
    <s v="Weekday"/>
  </r>
  <r>
    <s v="M1409"/>
    <x v="0"/>
    <s v="Residential"/>
    <x v="202"/>
    <n v="91.49"/>
    <n v="1.61"/>
    <n v="77"/>
    <x v="1"/>
    <n v="5.6"/>
    <x v="11"/>
    <n v="2024"/>
    <n v="512.34399999999994"/>
    <s v="Weekday"/>
  </r>
  <r>
    <s v="M1410"/>
    <x v="2"/>
    <s v="Industrial"/>
    <x v="250"/>
    <n v="52.36"/>
    <n v="6.89"/>
    <n v="46"/>
    <x v="1"/>
    <n v="8.4"/>
    <x v="10"/>
    <n v="2024"/>
    <n v="439.82400000000001"/>
    <s v="Weekday"/>
  </r>
  <r>
    <s v="M1411"/>
    <x v="2"/>
    <s v="Residential"/>
    <x v="251"/>
    <n v="19.559999999999999"/>
    <n v="8.8800000000000008"/>
    <n v="99"/>
    <x v="0"/>
    <n v="9.01"/>
    <x v="0"/>
    <n v="2024"/>
    <n v="176.23559999999998"/>
    <s v="Weekday"/>
  </r>
  <r>
    <s v="M1412"/>
    <x v="2"/>
    <s v="Industrial"/>
    <x v="252"/>
    <n v="35.19"/>
    <n v="9.09"/>
    <n v="64"/>
    <x v="1"/>
    <n v="5.88"/>
    <x v="3"/>
    <n v="2024"/>
    <n v="206.91719999999998"/>
    <s v="Weekday"/>
  </r>
  <r>
    <s v="M1413"/>
    <x v="1"/>
    <s v="Commercial"/>
    <x v="83"/>
    <n v="70.41"/>
    <n v="3.5"/>
    <n v="83"/>
    <x v="1"/>
    <n v="9.49"/>
    <x v="5"/>
    <n v="2024"/>
    <n v="668.19089999999994"/>
    <s v="Weekend"/>
  </r>
  <r>
    <s v="M1414"/>
    <x v="0"/>
    <s v="Commercial"/>
    <x v="224"/>
    <n v="49.94"/>
    <n v="6.43"/>
    <n v="84"/>
    <x v="0"/>
    <n v="7.55"/>
    <x v="2"/>
    <n v="2024"/>
    <n v="377.04699999999997"/>
    <s v="Weekend"/>
  </r>
  <r>
    <s v="M1415"/>
    <x v="2"/>
    <s v="Residential"/>
    <x v="32"/>
    <n v="80.13"/>
    <n v="8.9600000000000009"/>
    <n v="41"/>
    <x v="1"/>
    <n v="9.7799999999999994"/>
    <x v="11"/>
    <n v="2024"/>
    <n v="783.67139999999995"/>
    <s v="Weekend"/>
  </r>
  <r>
    <s v="M1416"/>
    <x v="1"/>
    <s v="Industrial"/>
    <x v="35"/>
    <n v="31.56"/>
    <n v="9.1"/>
    <n v="24"/>
    <x v="0"/>
    <n v="7.81"/>
    <x v="7"/>
    <n v="2024"/>
    <n v="246.48359999999997"/>
    <s v="Weekday"/>
  </r>
  <r>
    <s v="M1417"/>
    <x v="0"/>
    <s v="Commercial"/>
    <x v="95"/>
    <n v="61.65"/>
    <n v="7.8"/>
    <n v="21"/>
    <x v="0"/>
    <n v="5.36"/>
    <x v="3"/>
    <n v="2024"/>
    <n v="330.44400000000002"/>
    <s v="Weekend"/>
  </r>
  <r>
    <s v="M1418"/>
    <x v="1"/>
    <s v="Industrial"/>
    <x v="136"/>
    <n v="29.74"/>
    <n v="8.3800000000000008"/>
    <n v="102"/>
    <x v="0"/>
    <n v="7.6"/>
    <x v="11"/>
    <n v="2024"/>
    <n v="226.02399999999997"/>
    <s v="Weekend"/>
  </r>
  <r>
    <s v="M1419"/>
    <x v="1"/>
    <s v="Industrial"/>
    <x v="162"/>
    <n v="75.66"/>
    <n v="4.74"/>
    <n v="62"/>
    <x v="1"/>
    <n v="9.67"/>
    <x v="7"/>
    <n v="2024"/>
    <n v="731.63220000000001"/>
    <s v="Weekday"/>
  </r>
  <r>
    <s v="M1420"/>
    <x v="0"/>
    <s v="Residential"/>
    <x v="151"/>
    <n v="71.12"/>
    <n v="7.87"/>
    <n v="1"/>
    <x v="0"/>
    <n v="8.36"/>
    <x v="11"/>
    <n v="2024"/>
    <n v="594.56320000000005"/>
    <s v="Weekday"/>
  </r>
  <r>
    <s v="M1421"/>
    <x v="0"/>
    <s v="Commercial"/>
    <x v="201"/>
    <n v="14.04"/>
    <n v="9.01"/>
    <n v="28"/>
    <x v="1"/>
    <n v="4.54"/>
    <x v="7"/>
    <n v="2024"/>
    <n v="63.741599999999998"/>
    <s v="Weekend"/>
  </r>
  <r>
    <s v="M1422"/>
    <x v="2"/>
    <s v="Residential"/>
    <x v="18"/>
    <n v="96.17"/>
    <n v="1.48"/>
    <n v="21"/>
    <x v="0"/>
    <n v="6.09"/>
    <x v="10"/>
    <n v="2024"/>
    <n v="585.67529999999999"/>
    <s v="Weekday"/>
  </r>
  <r>
    <s v="M1423"/>
    <x v="1"/>
    <s v="Commercial"/>
    <x v="141"/>
    <n v="96.97"/>
    <n v="8.16"/>
    <n v="17"/>
    <x v="0"/>
    <n v="3.56"/>
    <x v="0"/>
    <n v="2024"/>
    <n v="345.21320000000003"/>
    <s v="Weekday"/>
  </r>
  <r>
    <s v="M1424"/>
    <x v="2"/>
    <s v="Residential"/>
    <x v="253"/>
    <n v="6.02"/>
    <n v="8.98"/>
    <n v="53"/>
    <x v="0"/>
    <n v="4.59"/>
    <x v="9"/>
    <n v="2024"/>
    <n v="27.631799999999998"/>
    <s v="Weekday"/>
  </r>
  <r>
    <s v="M1425"/>
    <x v="0"/>
    <s v="Residential"/>
    <x v="254"/>
    <n v="8.9499999999999993"/>
    <n v="7.48"/>
    <n v="110"/>
    <x v="1"/>
    <n v="3.7"/>
    <x v="2"/>
    <n v="2024"/>
    <n v="33.115000000000002"/>
    <s v="Weekend"/>
  </r>
  <r>
    <s v="M1426"/>
    <x v="2"/>
    <s v="Commercial"/>
    <x v="48"/>
    <n v="13.8"/>
    <n v="6.19"/>
    <n v="75"/>
    <x v="0"/>
    <n v="4.4000000000000004"/>
    <x v="8"/>
    <n v="2024"/>
    <n v="60.720000000000006"/>
    <s v="Weekday"/>
  </r>
  <r>
    <s v="M1427"/>
    <x v="1"/>
    <s v="Residential"/>
    <x v="44"/>
    <n v="53.66"/>
    <n v="6.99"/>
    <n v="100"/>
    <x v="0"/>
    <n v="4.92"/>
    <x v="8"/>
    <n v="2024"/>
    <n v="264.00719999999995"/>
    <s v="Weekend"/>
  </r>
  <r>
    <s v="M1428"/>
    <x v="2"/>
    <s v="Commercial"/>
    <x v="255"/>
    <n v="87.78"/>
    <n v="3.26"/>
    <n v="28"/>
    <x v="0"/>
    <n v="3.38"/>
    <x v="4"/>
    <n v="2024"/>
    <n v="296.69639999999998"/>
    <s v="Weekday"/>
  </r>
  <r>
    <s v="M1429"/>
    <x v="1"/>
    <s v="Industrial"/>
    <x v="19"/>
    <n v="52.74"/>
    <n v="5.4"/>
    <n v="16"/>
    <x v="0"/>
    <n v="5.3"/>
    <x v="3"/>
    <n v="2024"/>
    <n v="279.52199999999999"/>
    <s v="Weekday"/>
  </r>
  <r>
    <s v="M1430"/>
    <x v="0"/>
    <s v="Commercial"/>
    <x v="66"/>
    <n v="81.06"/>
    <n v="7.17"/>
    <n v="38"/>
    <x v="0"/>
    <n v="5.0999999999999996"/>
    <x v="4"/>
    <n v="2024"/>
    <n v="413.40600000000001"/>
    <s v="Weekday"/>
  </r>
  <r>
    <s v="M1431"/>
    <x v="1"/>
    <s v="Commercial"/>
    <x v="256"/>
    <n v="9.82"/>
    <n v="2.27"/>
    <n v="58"/>
    <x v="1"/>
    <n v="9.9499999999999993"/>
    <x v="5"/>
    <n v="2024"/>
    <n v="97.708999999999989"/>
    <s v="Weekday"/>
  </r>
  <r>
    <s v="M1432"/>
    <x v="2"/>
    <s v="Industrial"/>
    <x v="256"/>
    <n v="20.07"/>
    <n v="1.96"/>
    <n v="88"/>
    <x v="0"/>
    <n v="7.46"/>
    <x v="5"/>
    <n v="2024"/>
    <n v="149.72220000000002"/>
    <s v="Weekday"/>
  </r>
  <r>
    <s v="M1433"/>
    <x v="2"/>
    <s v="Commercial"/>
    <x v="257"/>
    <n v="84.04"/>
    <n v="6.95"/>
    <n v="117"/>
    <x v="1"/>
    <n v="7.11"/>
    <x v="6"/>
    <n v="2024"/>
    <n v="597.52440000000013"/>
    <s v="Weekday"/>
  </r>
  <r>
    <s v="M1434"/>
    <x v="0"/>
    <s v="Commercial"/>
    <x v="218"/>
    <n v="69.78"/>
    <n v="3.45"/>
    <n v="2"/>
    <x v="1"/>
    <n v="7.52"/>
    <x v="0"/>
    <n v="2024"/>
    <n v="524.74559999999997"/>
    <s v="Weekend"/>
  </r>
  <r>
    <s v="M1435"/>
    <x v="1"/>
    <s v="Commercial"/>
    <x v="1"/>
    <n v="61.05"/>
    <n v="5.13"/>
    <n v="3"/>
    <x v="1"/>
    <n v="9.0500000000000007"/>
    <x v="1"/>
    <n v="2024"/>
    <n v="552.50250000000005"/>
    <s v="Weekday"/>
  </r>
  <r>
    <s v="M1436"/>
    <x v="2"/>
    <s v="Residential"/>
    <x v="192"/>
    <n v="74.14"/>
    <n v="4.1500000000000004"/>
    <n v="0"/>
    <x v="0"/>
    <n v="8.59"/>
    <x v="0"/>
    <n v="2024"/>
    <n v="636.86260000000004"/>
    <s v="Weekend"/>
  </r>
  <r>
    <s v="M1437"/>
    <x v="0"/>
    <s v="Residential"/>
    <x v="50"/>
    <n v="33.32"/>
    <n v="2.56"/>
    <n v="1"/>
    <x v="1"/>
    <n v="4.54"/>
    <x v="7"/>
    <n v="2024"/>
    <n v="151.27279999999999"/>
    <s v="Weekday"/>
  </r>
  <r>
    <s v="M1438"/>
    <x v="0"/>
    <s v="Industrial"/>
    <x v="8"/>
    <n v="25.08"/>
    <n v="9.1999999999999993"/>
    <n v="70"/>
    <x v="0"/>
    <n v="4.22"/>
    <x v="7"/>
    <n v="2024"/>
    <n v="105.83759999999998"/>
    <s v="Weekday"/>
  </r>
  <r>
    <s v="M1439"/>
    <x v="1"/>
    <s v="Industrial"/>
    <x v="3"/>
    <n v="32.68"/>
    <n v="2.2000000000000002"/>
    <n v="33"/>
    <x v="0"/>
    <n v="8.26"/>
    <x v="2"/>
    <n v="2024"/>
    <n v="269.93680000000001"/>
    <s v="Weekday"/>
  </r>
  <r>
    <s v="M1440"/>
    <x v="2"/>
    <s v="Residential"/>
    <x v="127"/>
    <n v="7.09"/>
    <n v="2.2000000000000002"/>
    <n v="74"/>
    <x v="1"/>
    <n v="4.0999999999999996"/>
    <x v="4"/>
    <n v="2024"/>
    <n v="29.068999999999996"/>
    <s v="Weekday"/>
  </r>
  <r>
    <s v="M1441"/>
    <x v="1"/>
    <s v="Commercial"/>
    <x v="93"/>
    <n v="78.69"/>
    <n v="9.16"/>
    <n v="108"/>
    <x v="0"/>
    <n v="6.84"/>
    <x v="9"/>
    <n v="2024"/>
    <n v="538.2396"/>
    <s v="Weekday"/>
  </r>
  <r>
    <s v="M1442"/>
    <x v="1"/>
    <s v="Industrial"/>
    <x v="53"/>
    <n v="86.72"/>
    <n v="9.41"/>
    <n v="115"/>
    <x v="1"/>
    <n v="3.6"/>
    <x v="9"/>
    <n v="2024"/>
    <n v="312.19200000000001"/>
    <s v="Weekend"/>
  </r>
  <r>
    <s v="M1443"/>
    <x v="2"/>
    <s v="Industrial"/>
    <x v="257"/>
    <n v="6.4"/>
    <n v="3.98"/>
    <n v="6"/>
    <x v="1"/>
    <n v="5.23"/>
    <x v="6"/>
    <n v="2024"/>
    <n v="33.472000000000001"/>
    <s v="Weekday"/>
  </r>
  <r>
    <s v="M1444"/>
    <x v="1"/>
    <s v="Commercial"/>
    <x v="176"/>
    <n v="15.28"/>
    <n v="4"/>
    <n v="113"/>
    <x v="1"/>
    <n v="3.17"/>
    <x v="11"/>
    <n v="2024"/>
    <n v="48.437599999999996"/>
    <s v="Weekday"/>
  </r>
  <r>
    <s v="M1445"/>
    <x v="0"/>
    <s v="Residential"/>
    <x v="258"/>
    <n v="73.89"/>
    <n v="4.5599999999999996"/>
    <n v="30"/>
    <x v="0"/>
    <n v="6.2"/>
    <x v="2"/>
    <n v="2024"/>
    <n v="458.11799999999999"/>
    <s v="Weekend"/>
  </r>
  <r>
    <s v="M1446"/>
    <x v="0"/>
    <s v="Industrial"/>
    <x v="259"/>
    <n v="79.94"/>
    <n v="7.88"/>
    <n v="25"/>
    <x v="0"/>
    <n v="8.91"/>
    <x v="2"/>
    <n v="2024"/>
    <n v="712.2654"/>
    <s v="Weekday"/>
  </r>
  <r>
    <s v="M1447"/>
    <x v="1"/>
    <s v="Industrial"/>
    <x v="133"/>
    <n v="44.5"/>
    <n v="5.9"/>
    <n v="27"/>
    <x v="0"/>
    <n v="4.79"/>
    <x v="11"/>
    <n v="2024"/>
    <n v="213.155"/>
    <s v="Weekday"/>
  </r>
  <r>
    <s v="M1448"/>
    <x v="0"/>
    <s v="Commercial"/>
    <x v="32"/>
    <n v="94.94"/>
    <n v="7.51"/>
    <n v="91"/>
    <x v="1"/>
    <n v="6.24"/>
    <x v="11"/>
    <n v="2024"/>
    <n v="592.42560000000003"/>
    <s v="Weekend"/>
  </r>
  <r>
    <s v="M1449"/>
    <x v="2"/>
    <s v="Commercial"/>
    <x v="84"/>
    <n v="30.92"/>
    <n v="8.32"/>
    <n v="75"/>
    <x v="0"/>
    <n v="9.16"/>
    <x v="2"/>
    <n v="2024"/>
    <n v="283.22720000000004"/>
    <s v="Weekend"/>
  </r>
  <r>
    <s v="M1450"/>
    <x v="2"/>
    <s v="Residential"/>
    <x v="247"/>
    <n v="72.790000000000006"/>
    <n v="1.49"/>
    <n v="46"/>
    <x v="1"/>
    <n v="3.66"/>
    <x v="2"/>
    <n v="2024"/>
    <n v="266.41140000000001"/>
    <s v="Weekday"/>
  </r>
  <r>
    <s v="M1451"/>
    <x v="2"/>
    <s v="Residential"/>
    <x v="260"/>
    <n v="42.83"/>
    <n v="8.91"/>
    <n v="32"/>
    <x v="1"/>
    <n v="6.8"/>
    <x v="6"/>
    <n v="2024"/>
    <n v="291.24399999999997"/>
    <s v="Weekend"/>
  </r>
  <r>
    <s v="M1452"/>
    <x v="1"/>
    <s v="Residential"/>
    <x v="261"/>
    <n v="73"/>
    <n v="6.14"/>
    <n v="92"/>
    <x v="1"/>
    <n v="5.74"/>
    <x v="2"/>
    <n v="2024"/>
    <n v="419.02000000000004"/>
    <s v="Weekday"/>
  </r>
  <r>
    <s v="M1453"/>
    <x v="0"/>
    <s v="Industrial"/>
    <x v="102"/>
    <n v="35.78"/>
    <n v="6.25"/>
    <n v="113"/>
    <x v="0"/>
    <n v="4.96"/>
    <x v="9"/>
    <n v="2024"/>
    <n v="177.46880000000002"/>
    <s v="Weekday"/>
  </r>
  <r>
    <s v="M1454"/>
    <x v="1"/>
    <s v="Commercial"/>
    <x v="158"/>
    <n v="29.55"/>
    <n v="6.15"/>
    <n v="50"/>
    <x v="0"/>
    <n v="3.07"/>
    <x v="11"/>
    <n v="2024"/>
    <n v="90.718499999999992"/>
    <s v="Weekday"/>
  </r>
  <r>
    <s v="M1455"/>
    <x v="1"/>
    <s v="Industrial"/>
    <x v="102"/>
    <n v="40.450000000000003"/>
    <n v="7.73"/>
    <n v="78"/>
    <x v="1"/>
    <n v="4.46"/>
    <x v="9"/>
    <n v="2024"/>
    <n v="180.40700000000001"/>
    <s v="Weekday"/>
  </r>
  <r>
    <s v="M1456"/>
    <x v="1"/>
    <s v="Residential"/>
    <x v="262"/>
    <n v="43.95"/>
    <n v="3.14"/>
    <n v="52"/>
    <x v="0"/>
    <n v="4.09"/>
    <x v="11"/>
    <n v="2024"/>
    <n v="179.75550000000001"/>
    <s v="Weekday"/>
  </r>
  <r>
    <s v="M1457"/>
    <x v="2"/>
    <s v="Industrial"/>
    <x v="13"/>
    <n v="28.72"/>
    <n v="6.34"/>
    <n v="42"/>
    <x v="1"/>
    <n v="9.19"/>
    <x v="2"/>
    <n v="2024"/>
    <n v="263.93679999999995"/>
    <s v="Weekend"/>
  </r>
  <r>
    <s v="M1458"/>
    <x v="1"/>
    <s v="Residential"/>
    <x v="74"/>
    <n v="39.58"/>
    <n v="5.23"/>
    <n v="11"/>
    <x v="0"/>
    <n v="8.5"/>
    <x v="1"/>
    <n v="2024"/>
    <n v="336.43"/>
    <s v="Weekend"/>
  </r>
  <r>
    <s v="M1459"/>
    <x v="1"/>
    <s v="Residential"/>
    <x v="92"/>
    <n v="47.01"/>
    <n v="8.7799999999999994"/>
    <n v="72"/>
    <x v="0"/>
    <n v="8.75"/>
    <x v="0"/>
    <n v="2024"/>
    <n v="411.33749999999998"/>
    <s v="Weekday"/>
  </r>
  <r>
    <s v="M1460"/>
    <x v="2"/>
    <s v="Commercial"/>
    <x v="57"/>
    <n v="85.7"/>
    <n v="9.41"/>
    <n v="33"/>
    <x v="1"/>
    <n v="9.43"/>
    <x v="11"/>
    <n v="2024"/>
    <n v="808.15099999999995"/>
    <s v="Weekday"/>
  </r>
  <r>
    <s v="M1461"/>
    <x v="0"/>
    <s v="Industrial"/>
    <x v="163"/>
    <n v="73.81"/>
    <n v="9.56"/>
    <n v="35"/>
    <x v="1"/>
    <n v="6.6"/>
    <x v="4"/>
    <n v="2024"/>
    <n v="487.14600000000002"/>
    <s v="Weekday"/>
  </r>
  <r>
    <s v="M1462"/>
    <x v="1"/>
    <s v="Commercial"/>
    <x v="164"/>
    <n v="78.75"/>
    <n v="9.17"/>
    <n v="53"/>
    <x v="1"/>
    <n v="9.07"/>
    <x v="2"/>
    <n v="2024"/>
    <n v="714.26250000000005"/>
    <s v="Weekend"/>
  </r>
  <r>
    <s v="M1463"/>
    <x v="1"/>
    <s v="Commercial"/>
    <x v="263"/>
    <n v="58.63"/>
    <n v="9.48"/>
    <n v="93"/>
    <x v="1"/>
    <n v="6.87"/>
    <x v="11"/>
    <n v="2024"/>
    <n v="402.78810000000004"/>
    <s v="Weekday"/>
  </r>
  <r>
    <s v="M1464"/>
    <x v="0"/>
    <s v="Residential"/>
    <x v="229"/>
    <n v="96.93"/>
    <n v="8.44"/>
    <n v="23"/>
    <x v="1"/>
    <n v="3.22"/>
    <x v="2"/>
    <n v="2024"/>
    <n v="312.11460000000005"/>
    <s v="Weekday"/>
  </r>
  <r>
    <s v="M1465"/>
    <x v="0"/>
    <s v="Commercial"/>
    <x v="21"/>
    <n v="17.25"/>
    <n v="9.65"/>
    <n v="113"/>
    <x v="1"/>
    <n v="8.11"/>
    <x v="5"/>
    <n v="2024"/>
    <n v="139.89749999999998"/>
    <s v="Weekday"/>
  </r>
  <r>
    <s v="M1466"/>
    <x v="2"/>
    <s v="Commercial"/>
    <x v="29"/>
    <n v="14.53"/>
    <n v="8.52"/>
    <n v="9"/>
    <x v="1"/>
    <n v="7.43"/>
    <x v="8"/>
    <n v="2024"/>
    <n v="107.9579"/>
    <s v="Weekday"/>
  </r>
  <r>
    <s v="M1467"/>
    <x v="1"/>
    <s v="Commercial"/>
    <x v="48"/>
    <n v="6.59"/>
    <n v="7.99"/>
    <n v="110"/>
    <x v="0"/>
    <n v="7.68"/>
    <x v="8"/>
    <n v="2024"/>
    <n v="50.611199999999997"/>
    <s v="Weekday"/>
  </r>
  <r>
    <s v="M1468"/>
    <x v="0"/>
    <s v="Industrial"/>
    <x v="238"/>
    <n v="85.86"/>
    <n v="8.31"/>
    <n v="36"/>
    <x v="0"/>
    <n v="9.4"/>
    <x v="1"/>
    <n v="2024"/>
    <n v="807.08400000000006"/>
    <s v="Weekday"/>
  </r>
  <r>
    <s v="M1469"/>
    <x v="0"/>
    <s v="Residential"/>
    <x v="255"/>
    <n v="34.61"/>
    <n v="5.29"/>
    <n v="16"/>
    <x v="1"/>
    <n v="9.0399999999999991"/>
    <x v="4"/>
    <n v="2024"/>
    <n v="312.87439999999998"/>
    <s v="Weekday"/>
  </r>
  <r>
    <s v="M1470"/>
    <x v="1"/>
    <s v="Industrial"/>
    <x v="228"/>
    <n v="84.78"/>
    <n v="8.89"/>
    <n v="22"/>
    <x v="1"/>
    <n v="7.2"/>
    <x v="8"/>
    <n v="2024"/>
    <n v="610.41600000000005"/>
    <s v="Weekday"/>
  </r>
  <r>
    <s v="M1471"/>
    <x v="1"/>
    <s v="Residential"/>
    <x v="264"/>
    <n v="59.98"/>
    <n v="7.52"/>
    <n v="17"/>
    <x v="1"/>
    <n v="4.26"/>
    <x v="8"/>
    <n v="2024"/>
    <n v="255.51479999999998"/>
    <s v="Weekend"/>
  </r>
  <r>
    <s v="M1472"/>
    <x v="1"/>
    <s v="Commercial"/>
    <x v="120"/>
    <n v="59.07"/>
    <n v="8.42"/>
    <n v="21"/>
    <x v="1"/>
    <n v="4.25"/>
    <x v="3"/>
    <n v="2024"/>
    <n v="251.04750000000001"/>
    <s v="Weekday"/>
  </r>
  <r>
    <s v="M1473"/>
    <x v="0"/>
    <s v="Residential"/>
    <x v="216"/>
    <n v="87.6"/>
    <n v="2.1800000000000002"/>
    <n v="85"/>
    <x v="1"/>
    <n v="8.9700000000000006"/>
    <x v="7"/>
    <n v="2024"/>
    <n v="785.77200000000005"/>
    <s v="Weekday"/>
  </r>
  <r>
    <s v="M1474"/>
    <x v="1"/>
    <s v="Commercial"/>
    <x v="27"/>
    <n v="27.01"/>
    <n v="2.68"/>
    <n v="77"/>
    <x v="1"/>
    <n v="9.34"/>
    <x v="2"/>
    <n v="2024"/>
    <n v="252.27340000000001"/>
    <s v="Weekday"/>
  </r>
  <r>
    <s v="M1475"/>
    <x v="2"/>
    <s v="Industrial"/>
    <x v="230"/>
    <n v="72.39"/>
    <n v="5.41"/>
    <n v="44"/>
    <x v="0"/>
    <n v="6.56"/>
    <x v="6"/>
    <n v="2024"/>
    <n v="474.8784"/>
    <s v="Weekday"/>
  </r>
  <r>
    <s v="M1476"/>
    <x v="0"/>
    <s v="Residential"/>
    <x v="238"/>
    <n v="36.31"/>
    <n v="4.24"/>
    <n v="75"/>
    <x v="0"/>
    <n v="7.1"/>
    <x v="1"/>
    <n v="2024"/>
    <n v="257.80099999999999"/>
    <s v="Weekday"/>
  </r>
  <r>
    <s v="M1477"/>
    <x v="2"/>
    <s v="Industrial"/>
    <x v="265"/>
    <n v="15.65"/>
    <n v="8.43"/>
    <n v="93"/>
    <x v="0"/>
    <n v="9.0399999999999991"/>
    <x v="4"/>
    <n v="2024"/>
    <n v="141.476"/>
    <s v="Weekend"/>
  </r>
  <r>
    <s v="M1478"/>
    <x v="0"/>
    <s v="Industrial"/>
    <x v="129"/>
    <n v="78.81"/>
    <n v="5.48"/>
    <n v="0"/>
    <x v="0"/>
    <n v="7.72"/>
    <x v="1"/>
    <n v="2024"/>
    <n v="608.41319999999996"/>
    <s v="Weekday"/>
  </r>
  <r>
    <s v="M1479"/>
    <x v="1"/>
    <s v="Commercial"/>
    <x v="64"/>
    <n v="54.35"/>
    <n v="8.66"/>
    <n v="52"/>
    <x v="1"/>
    <n v="7.96"/>
    <x v="1"/>
    <n v="2024"/>
    <n v="432.62600000000003"/>
    <s v="Weekday"/>
  </r>
  <r>
    <s v="M1480"/>
    <x v="2"/>
    <s v="Industrial"/>
    <x v="266"/>
    <n v="39.799999999999997"/>
    <n v="8.57"/>
    <n v="40"/>
    <x v="0"/>
    <n v="7.03"/>
    <x v="4"/>
    <n v="2024"/>
    <n v="279.79399999999998"/>
    <s v="Weekend"/>
  </r>
  <r>
    <s v="M1481"/>
    <x v="2"/>
    <s v="Industrial"/>
    <x v="258"/>
    <n v="99.24"/>
    <n v="6.83"/>
    <n v="65"/>
    <x v="1"/>
    <n v="4.49"/>
    <x v="2"/>
    <n v="2024"/>
    <n v="445.58760000000001"/>
    <s v="Weekend"/>
  </r>
  <r>
    <s v="M1482"/>
    <x v="1"/>
    <s v="Residential"/>
    <x v="152"/>
    <n v="83.44"/>
    <n v="4.33"/>
    <n v="55"/>
    <x v="0"/>
    <n v="5.53"/>
    <x v="2"/>
    <n v="2024"/>
    <n v="461.42320000000001"/>
    <s v="Weekend"/>
  </r>
  <r>
    <s v="M1483"/>
    <x v="0"/>
    <s v="Residential"/>
    <x v="207"/>
    <n v="7.87"/>
    <n v="9.27"/>
    <n v="1"/>
    <x v="1"/>
    <n v="8.0299999999999994"/>
    <x v="9"/>
    <n v="2024"/>
    <n v="63.196099999999994"/>
    <s v="Weekday"/>
  </r>
  <r>
    <s v="M1484"/>
    <x v="1"/>
    <s v="Commercial"/>
    <x v="261"/>
    <n v="15.23"/>
    <n v="4.84"/>
    <n v="79"/>
    <x v="0"/>
    <n v="6.93"/>
    <x v="2"/>
    <n v="2024"/>
    <n v="105.54389999999999"/>
    <s v="Weekday"/>
  </r>
  <r>
    <s v="M1485"/>
    <x v="1"/>
    <s v="Industrial"/>
    <x v="234"/>
    <n v="86.82"/>
    <n v="6.36"/>
    <n v="45"/>
    <x v="0"/>
    <n v="6.59"/>
    <x v="4"/>
    <n v="2024"/>
    <n v="572.14379999999994"/>
    <s v="Weekday"/>
  </r>
  <r>
    <s v="M1486"/>
    <x v="0"/>
    <s v="Commercial"/>
    <x v="267"/>
    <n v="67.42"/>
    <n v="8.6300000000000008"/>
    <n v="91"/>
    <x v="0"/>
    <n v="5.86"/>
    <x v="5"/>
    <n v="2024"/>
    <n v="395.08120000000002"/>
    <s v="Weekday"/>
  </r>
  <r>
    <s v="M1487"/>
    <x v="2"/>
    <s v="Commercial"/>
    <x v="116"/>
    <n v="42.55"/>
    <n v="5.77"/>
    <n v="54"/>
    <x v="1"/>
    <n v="7.77"/>
    <x v="7"/>
    <n v="2024"/>
    <n v="330.61349999999999"/>
    <s v="Weekday"/>
  </r>
  <r>
    <s v="M1488"/>
    <x v="1"/>
    <s v="Industrial"/>
    <x v="214"/>
    <n v="46.83"/>
    <n v="7.26"/>
    <n v="72"/>
    <x v="0"/>
    <n v="5.81"/>
    <x v="1"/>
    <n v="2024"/>
    <n v="272.08229999999998"/>
    <s v="Weekday"/>
  </r>
  <r>
    <s v="M1489"/>
    <x v="0"/>
    <s v="Commercial"/>
    <x v="223"/>
    <n v="62.7"/>
    <n v="5.68"/>
    <n v="56"/>
    <x v="0"/>
    <n v="3.19"/>
    <x v="4"/>
    <n v="2024"/>
    <n v="200.01300000000001"/>
    <s v="Weekend"/>
  </r>
  <r>
    <s v="M1490"/>
    <x v="1"/>
    <s v="Residential"/>
    <x v="21"/>
    <n v="40.14"/>
    <n v="8.7799999999999994"/>
    <n v="108"/>
    <x v="1"/>
    <n v="8.14"/>
    <x v="5"/>
    <n v="2024"/>
    <n v="326.73960000000005"/>
    <s v="Weekday"/>
  </r>
  <r>
    <s v="M1491"/>
    <x v="1"/>
    <s v="Residential"/>
    <x v="205"/>
    <n v="54.79"/>
    <n v="3.72"/>
    <n v="11"/>
    <x v="1"/>
    <n v="7.47"/>
    <x v="11"/>
    <n v="2024"/>
    <n v="409.28129999999999"/>
    <s v="Weekday"/>
  </r>
  <r>
    <s v="M1492"/>
    <x v="1"/>
    <s v="Industrial"/>
    <x v="27"/>
    <n v="90.83"/>
    <n v="3.19"/>
    <n v="71"/>
    <x v="0"/>
    <n v="6.7"/>
    <x v="2"/>
    <n v="2024"/>
    <n v="608.56100000000004"/>
    <s v="Weekday"/>
  </r>
  <r>
    <s v="M1493"/>
    <x v="0"/>
    <s v="Industrial"/>
    <x v="16"/>
    <n v="20.5"/>
    <n v="5.05"/>
    <n v="15"/>
    <x v="0"/>
    <n v="7.59"/>
    <x v="9"/>
    <n v="2024"/>
    <n v="155.595"/>
    <s v="Weekday"/>
  </r>
  <r>
    <s v="M1494"/>
    <x v="0"/>
    <s v="Commercial"/>
    <x v="170"/>
    <n v="80.849999999999994"/>
    <n v="2.7"/>
    <n v="45"/>
    <x v="0"/>
    <n v="4.72"/>
    <x v="8"/>
    <n v="2024"/>
    <n v="381.61199999999997"/>
    <s v="Weekend"/>
  </r>
  <r>
    <s v="M1495"/>
    <x v="1"/>
    <s v="Residential"/>
    <x v="217"/>
    <n v="37.64"/>
    <n v="2.78"/>
    <n v="111"/>
    <x v="1"/>
    <n v="4.28"/>
    <x v="10"/>
    <n v="2024"/>
    <n v="161.09920000000002"/>
    <s v="Weekday"/>
  </r>
  <r>
    <s v="M1496"/>
    <x v="1"/>
    <s v="Commercial"/>
    <x v="268"/>
    <n v="45.52"/>
    <n v="5"/>
    <n v="24"/>
    <x v="1"/>
    <n v="9.89"/>
    <x v="1"/>
    <n v="2024"/>
    <n v="450.19280000000003"/>
    <s v="Weekday"/>
  </r>
  <r>
    <s v="M1497"/>
    <x v="2"/>
    <s v="Commercial"/>
    <x v="129"/>
    <n v="40.85"/>
    <n v="4.9800000000000004"/>
    <n v="60"/>
    <x v="1"/>
    <n v="6.92"/>
    <x v="1"/>
    <n v="2024"/>
    <n v="282.68200000000002"/>
    <s v="Weekday"/>
  </r>
  <r>
    <s v="M1498"/>
    <x v="2"/>
    <s v="Residential"/>
    <x v="23"/>
    <n v="87.74"/>
    <n v="4.4800000000000004"/>
    <n v="17"/>
    <x v="0"/>
    <n v="6.9"/>
    <x v="4"/>
    <n v="2024"/>
    <n v="605.40599999999995"/>
    <s v="Weekend"/>
  </r>
  <r>
    <s v="M1499"/>
    <x v="1"/>
    <s v="Residential"/>
    <x v="269"/>
    <n v="42.42"/>
    <n v="4.54"/>
    <n v="90"/>
    <x v="1"/>
    <n v="7.71"/>
    <x v="1"/>
    <n v="2024"/>
    <n v="327.0582"/>
    <s v="Weekday"/>
  </r>
  <r>
    <s v="M1500"/>
    <x v="2"/>
    <s v="Commercial"/>
    <x v="59"/>
    <n v="6.11"/>
    <n v="7.98"/>
    <n v="96"/>
    <x v="1"/>
    <n v="8.49"/>
    <x v="4"/>
    <n v="2024"/>
    <n v="51.873900000000006"/>
    <s v="Weekend"/>
  </r>
  <r>
    <s v="M1501"/>
    <x v="1"/>
    <s v="Industrial"/>
    <x v="125"/>
    <n v="28.8"/>
    <n v="6.05"/>
    <n v="114"/>
    <x v="1"/>
    <n v="9.59"/>
    <x v="9"/>
    <n v="2024"/>
    <n v="276.19200000000001"/>
    <s v="Weekend"/>
  </r>
  <r>
    <s v="M1502"/>
    <x v="1"/>
    <s v="Commercial"/>
    <x v="232"/>
    <n v="29.84"/>
    <n v="3.85"/>
    <n v="98"/>
    <x v="1"/>
    <n v="3.92"/>
    <x v="1"/>
    <n v="2024"/>
    <n v="116.97279999999999"/>
    <s v="Weekday"/>
  </r>
  <r>
    <s v="M1503"/>
    <x v="1"/>
    <s v="Industrial"/>
    <x v="72"/>
    <n v="48.47"/>
    <n v="8.4600000000000009"/>
    <n v="95"/>
    <x v="1"/>
    <n v="8.84"/>
    <x v="9"/>
    <n v="2024"/>
    <n v="428.47479999999996"/>
    <s v="Weekend"/>
  </r>
  <r>
    <s v="M1504"/>
    <x v="0"/>
    <s v="Residential"/>
    <x v="238"/>
    <n v="6.01"/>
    <n v="4.1100000000000003"/>
    <n v="18"/>
    <x v="0"/>
    <n v="4.79"/>
    <x v="1"/>
    <n v="2024"/>
    <n v="28.7879"/>
    <s v="Weekday"/>
  </r>
  <r>
    <s v="M1505"/>
    <x v="1"/>
    <s v="Residential"/>
    <x v="270"/>
    <n v="70.959999999999994"/>
    <n v="4"/>
    <n v="65"/>
    <x v="1"/>
    <n v="3.3"/>
    <x v="5"/>
    <n v="2024"/>
    <n v="234.16799999999998"/>
    <s v="Weekend"/>
  </r>
  <r>
    <s v="M1506"/>
    <x v="1"/>
    <s v="Residential"/>
    <x v="207"/>
    <n v="24.54"/>
    <n v="3.08"/>
    <n v="42"/>
    <x v="0"/>
    <n v="9.3000000000000007"/>
    <x v="9"/>
    <n v="2024"/>
    <n v="228.22200000000001"/>
    <s v="Weekday"/>
  </r>
  <r>
    <s v="M1507"/>
    <x v="1"/>
    <s v="Commercial"/>
    <x v="228"/>
    <n v="50.03"/>
    <n v="3.5"/>
    <n v="40"/>
    <x v="1"/>
    <n v="3.39"/>
    <x v="8"/>
    <n v="2024"/>
    <n v="169.60170000000002"/>
    <s v="Weekday"/>
  </r>
  <r>
    <s v="M1508"/>
    <x v="2"/>
    <s v="Industrial"/>
    <x v="130"/>
    <n v="35.08"/>
    <n v="5.52"/>
    <n v="8"/>
    <x v="0"/>
    <n v="7.71"/>
    <x v="3"/>
    <n v="2024"/>
    <n v="270.46679999999998"/>
    <s v="Weekday"/>
  </r>
  <r>
    <s v="M1509"/>
    <x v="2"/>
    <s v="Residential"/>
    <x v="135"/>
    <n v="25.09"/>
    <n v="7.4"/>
    <n v="74"/>
    <x v="0"/>
    <n v="5.39"/>
    <x v="10"/>
    <n v="2024"/>
    <n v="135.23509999999999"/>
    <s v="Weekday"/>
  </r>
  <r>
    <s v="M1510"/>
    <x v="0"/>
    <s v="Industrial"/>
    <x v="69"/>
    <n v="9.9700000000000006"/>
    <n v="1.24"/>
    <n v="80"/>
    <x v="1"/>
    <n v="5.31"/>
    <x v="7"/>
    <n v="2024"/>
    <n v="52.9407"/>
    <s v="Weekday"/>
  </r>
  <r>
    <s v="M1511"/>
    <x v="2"/>
    <s v="Industrial"/>
    <x v="271"/>
    <n v="52.66"/>
    <n v="1.37"/>
    <n v="81"/>
    <x v="1"/>
    <n v="7.06"/>
    <x v="9"/>
    <n v="2024"/>
    <n v="371.77959999999996"/>
    <s v="Weekday"/>
  </r>
  <r>
    <s v="M1512"/>
    <x v="2"/>
    <s v="Industrial"/>
    <x v="82"/>
    <n v="15.83"/>
    <n v="4"/>
    <n v="91"/>
    <x v="0"/>
    <n v="9.43"/>
    <x v="6"/>
    <n v="2024"/>
    <n v="149.27689999999998"/>
    <s v="Weekend"/>
  </r>
  <r>
    <s v="M1513"/>
    <x v="0"/>
    <s v="Industrial"/>
    <x v="138"/>
    <n v="94.18"/>
    <n v="8.23"/>
    <n v="119"/>
    <x v="1"/>
    <n v="3.56"/>
    <x v="7"/>
    <n v="2024"/>
    <n v="335.28080000000006"/>
    <s v="Weekend"/>
  </r>
  <r>
    <s v="M1514"/>
    <x v="2"/>
    <s v="Residential"/>
    <x v="171"/>
    <n v="97.06"/>
    <n v="9.34"/>
    <n v="67"/>
    <x v="1"/>
    <n v="4.07"/>
    <x v="10"/>
    <n v="2024"/>
    <n v="395.03420000000006"/>
    <s v="Weekend"/>
  </r>
  <r>
    <s v="M1515"/>
    <x v="0"/>
    <s v="Residential"/>
    <x v="199"/>
    <n v="10.25"/>
    <n v="1.75"/>
    <n v="3"/>
    <x v="0"/>
    <n v="5.0599999999999996"/>
    <x v="0"/>
    <n v="2024"/>
    <n v="51.864999999999995"/>
    <s v="Weekday"/>
  </r>
  <r>
    <s v="M1516"/>
    <x v="2"/>
    <s v="Residential"/>
    <x v="272"/>
    <n v="72.33"/>
    <n v="1.51"/>
    <n v="49"/>
    <x v="0"/>
    <n v="4.24"/>
    <x v="3"/>
    <n v="2024"/>
    <n v="306.67919999999998"/>
    <s v="Weekend"/>
  </r>
  <r>
    <s v="M1517"/>
    <x v="1"/>
    <s v="Residential"/>
    <x v="273"/>
    <n v="67.83"/>
    <n v="6.33"/>
    <n v="50"/>
    <x v="0"/>
    <n v="8.1999999999999993"/>
    <x v="9"/>
    <n v="2024"/>
    <n v="556.2059999999999"/>
    <s v="Weekday"/>
  </r>
  <r>
    <s v="M1518"/>
    <x v="1"/>
    <s v="Commercial"/>
    <x v="181"/>
    <n v="21.52"/>
    <n v="4.47"/>
    <n v="44"/>
    <x v="0"/>
    <n v="6.49"/>
    <x v="0"/>
    <n v="2024"/>
    <n v="139.66480000000001"/>
    <s v="Weekday"/>
  </r>
  <r>
    <s v="M1519"/>
    <x v="2"/>
    <s v="Industrial"/>
    <x v="274"/>
    <n v="21.4"/>
    <n v="7.74"/>
    <n v="92"/>
    <x v="0"/>
    <n v="4.79"/>
    <x v="1"/>
    <n v="2024"/>
    <n v="102.506"/>
    <s v="Weekday"/>
  </r>
  <r>
    <s v="M1520"/>
    <x v="0"/>
    <s v="Residential"/>
    <x v="194"/>
    <n v="69.78"/>
    <n v="8.52"/>
    <n v="17"/>
    <x v="0"/>
    <n v="9.7899999999999991"/>
    <x v="11"/>
    <n v="2024"/>
    <n v="683.14619999999991"/>
    <s v="Weekday"/>
  </r>
  <r>
    <s v="M1521"/>
    <x v="1"/>
    <s v="Commercial"/>
    <x v="179"/>
    <n v="96.93"/>
    <n v="5.19"/>
    <n v="25"/>
    <x v="0"/>
    <n v="3.88"/>
    <x v="8"/>
    <n v="2024"/>
    <n v="376.08840000000004"/>
    <s v="Weekday"/>
  </r>
  <r>
    <s v="M1522"/>
    <x v="2"/>
    <s v="Commercial"/>
    <x v="197"/>
    <n v="91"/>
    <n v="4.24"/>
    <n v="62"/>
    <x v="0"/>
    <n v="7.11"/>
    <x v="9"/>
    <n v="2024"/>
    <n v="647.01"/>
    <s v="Weekday"/>
  </r>
  <r>
    <s v="M1523"/>
    <x v="0"/>
    <s v="Commercial"/>
    <x v="138"/>
    <n v="16.84"/>
    <n v="8.7100000000000009"/>
    <n v="43"/>
    <x v="1"/>
    <n v="4.9800000000000004"/>
    <x v="7"/>
    <n v="2024"/>
    <n v="83.863200000000006"/>
    <s v="Weekend"/>
  </r>
  <r>
    <s v="M1524"/>
    <x v="0"/>
    <s v="Commercial"/>
    <x v="275"/>
    <n v="9.82"/>
    <n v="7.39"/>
    <n v="21"/>
    <x v="1"/>
    <n v="7.45"/>
    <x v="11"/>
    <n v="2024"/>
    <n v="73.159000000000006"/>
    <s v="Weekend"/>
  </r>
  <r>
    <s v="M1525"/>
    <x v="2"/>
    <s v="Industrial"/>
    <x v="89"/>
    <n v="28.27"/>
    <n v="2.86"/>
    <n v="120"/>
    <x v="0"/>
    <n v="5.73"/>
    <x v="5"/>
    <n v="2024"/>
    <n v="161.9871"/>
    <s v="Weekday"/>
  </r>
  <r>
    <s v="M1526"/>
    <x v="0"/>
    <s v="Commercial"/>
    <x v="276"/>
    <n v="13.52"/>
    <n v="8.1"/>
    <n v="34"/>
    <x v="1"/>
    <n v="7.71"/>
    <x v="6"/>
    <n v="2024"/>
    <n v="104.2392"/>
    <s v="Weekday"/>
  </r>
  <r>
    <s v="M1527"/>
    <x v="1"/>
    <s v="Industrial"/>
    <x v="277"/>
    <n v="42.02"/>
    <n v="6.66"/>
    <n v="27"/>
    <x v="0"/>
    <n v="8.51"/>
    <x v="10"/>
    <n v="2024"/>
    <n v="357.59020000000004"/>
    <s v="Weekend"/>
  </r>
  <r>
    <s v="M1528"/>
    <x v="1"/>
    <s v="Industrial"/>
    <x v="183"/>
    <n v="79.06"/>
    <n v="7.86"/>
    <n v="65"/>
    <x v="0"/>
    <n v="4.78"/>
    <x v="10"/>
    <n v="2024"/>
    <n v="377.90680000000003"/>
    <s v="Weekday"/>
  </r>
  <r>
    <s v="M1529"/>
    <x v="2"/>
    <s v="Residential"/>
    <x v="265"/>
    <n v="76.27"/>
    <n v="6.14"/>
    <n v="1"/>
    <x v="1"/>
    <n v="7.86"/>
    <x v="4"/>
    <n v="2024"/>
    <n v="599.48220000000003"/>
    <s v="Weekend"/>
  </r>
  <r>
    <s v="M1530"/>
    <x v="0"/>
    <s v="Residential"/>
    <x v="203"/>
    <n v="79.73"/>
    <n v="9.94"/>
    <n v="15"/>
    <x v="0"/>
    <n v="8.1999999999999993"/>
    <x v="11"/>
    <n v="2024"/>
    <n v="653.78599999999994"/>
    <s v="Weekday"/>
  </r>
  <r>
    <s v="M1531"/>
    <x v="1"/>
    <s v="Commercial"/>
    <x v="22"/>
    <n v="78.510000000000005"/>
    <n v="1.59"/>
    <n v="104"/>
    <x v="1"/>
    <n v="3.76"/>
    <x v="0"/>
    <n v="2024"/>
    <n v="295.19760000000002"/>
    <s v="Weekday"/>
  </r>
  <r>
    <s v="M1532"/>
    <x v="2"/>
    <s v="Residential"/>
    <x v="278"/>
    <n v="53.02"/>
    <n v="9.17"/>
    <n v="14"/>
    <x v="0"/>
    <n v="9.67"/>
    <x v="6"/>
    <n v="2024"/>
    <n v="512.70339999999999"/>
    <s v="Weekday"/>
  </r>
  <r>
    <s v="M1533"/>
    <x v="1"/>
    <s v="Industrial"/>
    <x v="249"/>
    <n v="68.12"/>
    <n v="4.8099999999999996"/>
    <n v="6"/>
    <x v="0"/>
    <n v="3.78"/>
    <x v="8"/>
    <n v="2024"/>
    <n v="257.49360000000001"/>
    <s v="Weekday"/>
  </r>
  <r>
    <s v="M1534"/>
    <x v="0"/>
    <s v="Commercial"/>
    <x v="136"/>
    <n v="61.89"/>
    <n v="7.51"/>
    <n v="31"/>
    <x v="1"/>
    <n v="6.05"/>
    <x v="11"/>
    <n v="2024"/>
    <n v="374.43450000000001"/>
    <s v="Weekend"/>
  </r>
  <r>
    <s v="M1535"/>
    <x v="1"/>
    <s v="Residential"/>
    <x v="181"/>
    <n v="28.77"/>
    <n v="9.57"/>
    <n v="23"/>
    <x v="0"/>
    <n v="9.93"/>
    <x v="0"/>
    <n v="2024"/>
    <n v="285.68610000000001"/>
    <s v="Weekday"/>
  </r>
  <r>
    <s v="M1536"/>
    <x v="2"/>
    <s v="Residential"/>
    <x v="136"/>
    <n v="78.959999999999994"/>
    <n v="2.6"/>
    <n v="56"/>
    <x v="0"/>
    <n v="4.95"/>
    <x v="11"/>
    <n v="2024"/>
    <n v="390.85199999999998"/>
    <s v="Weekend"/>
  </r>
  <r>
    <s v="M1537"/>
    <x v="1"/>
    <s v="Industrial"/>
    <x v="279"/>
    <n v="68.14"/>
    <n v="7.13"/>
    <n v="24"/>
    <x v="0"/>
    <n v="6.04"/>
    <x v="6"/>
    <n v="2024"/>
    <n v="411.56560000000002"/>
    <s v="Weekday"/>
  </r>
  <r>
    <s v="M1538"/>
    <x v="1"/>
    <s v="Residential"/>
    <x v="280"/>
    <n v="54.32"/>
    <n v="5.3"/>
    <n v="73"/>
    <x v="1"/>
    <n v="7.76"/>
    <x v="5"/>
    <n v="2024"/>
    <n v="421.52319999999997"/>
    <s v="Weekday"/>
  </r>
  <r>
    <s v="M1539"/>
    <x v="2"/>
    <s v="Industrial"/>
    <x v="115"/>
    <n v="23.36"/>
    <n v="9.77"/>
    <n v="48"/>
    <x v="0"/>
    <n v="8.27"/>
    <x v="9"/>
    <n v="2024"/>
    <n v="193.18719999999999"/>
    <s v="Weekday"/>
  </r>
  <r>
    <s v="M1540"/>
    <x v="1"/>
    <s v="Commercial"/>
    <x v="118"/>
    <n v="5.39"/>
    <n v="5.0599999999999996"/>
    <n v="101"/>
    <x v="0"/>
    <n v="7.01"/>
    <x v="10"/>
    <n v="2024"/>
    <n v="37.783899999999996"/>
    <s v="Weekday"/>
  </r>
  <r>
    <s v="M1541"/>
    <x v="1"/>
    <s v="Residential"/>
    <x v="165"/>
    <n v="94.24"/>
    <n v="2.23"/>
    <n v="30"/>
    <x v="0"/>
    <n v="5.6"/>
    <x v="3"/>
    <n v="2024"/>
    <n v="527.74399999999991"/>
    <s v="Weekday"/>
  </r>
  <r>
    <s v="M1542"/>
    <x v="2"/>
    <s v="Residential"/>
    <x v="211"/>
    <n v="59.76"/>
    <n v="3.63"/>
    <n v="92"/>
    <x v="0"/>
    <n v="4.13"/>
    <x v="7"/>
    <n v="2024"/>
    <n v="246.80879999999999"/>
    <s v="Weekday"/>
  </r>
  <r>
    <s v="M1543"/>
    <x v="0"/>
    <s v="Commercial"/>
    <x v="256"/>
    <n v="61.8"/>
    <n v="1.1499999999999999"/>
    <n v="114"/>
    <x v="1"/>
    <n v="8.7899999999999991"/>
    <x v="5"/>
    <n v="2024"/>
    <n v="543.22199999999987"/>
    <s v="Weekday"/>
  </r>
  <r>
    <s v="M1544"/>
    <x v="1"/>
    <s v="Residential"/>
    <x v="41"/>
    <n v="42.31"/>
    <n v="2.25"/>
    <n v="74"/>
    <x v="1"/>
    <n v="4.79"/>
    <x v="6"/>
    <n v="2024"/>
    <n v="202.66490000000002"/>
    <s v="Weekday"/>
  </r>
  <r>
    <s v="M1545"/>
    <x v="0"/>
    <s v="Industrial"/>
    <x v="194"/>
    <n v="8.64"/>
    <n v="7.03"/>
    <n v="51"/>
    <x v="0"/>
    <n v="3.92"/>
    <x v="11"/>
    <n v="2024"/>
    <n v="33.8688"/>
    <s v="Weekday"/>
  </r>
  <r>
    <s v="M1546"/>
    <x v="0"/>
    <s v="Commercial"/>
    <x v="157"/>
    <n v="12.69"/>
    <n v="4.71"/>
    <n v="116"/>
    <x v="0"/>
    <n v="9.32"/>
    <x v="4"/>
    <n v="2024"/>
    <n v="118.27079999999999"/>
    <s v="Weekday"/>
  </r>
  <r>
    <s v="M1547"/>
    <x v="1"/>
    <s v="Industrial"/>
    <x v="26"/>
    <n v="69.89"/>
    <n v="6.45"/>
    <n v="33"/>
    <x v="0"/>
    <n v="7.72"/>
    <x v="7"/>
    <n v="2024"/>
    <n v="539.55079999999998"/>
    <s v="Weekend"/>
  </r>
  <r>
    <s v="M1548"/>
    <x v="1"/>
    <s v="Residential"/>
    <x v="196"/>
    <n v="98.36"/>
    <n v="3.41"/>
    <n v="23"/>
    <x v="0"/>
    <n v="9.17"/>
    <x v="7"/>
    <n v="2024"/>
    <n v="901.96119999999996"/>
    <s v="Weekday"/>
  </r>
  <r>
    <s v="M1549"/>
    <x v="1"/>
    <s v="Industrial"/>
    <x v="281"/>
    <n v="99.22"/>
    <n v="1.44"/>
    <n v="5"/>
    <x v="1"/>
    <n v="8.08"/>
    <x v="11"/>
    <n v="2024"/>
    <n v="801.69759999999997"/>
    <s v="Weekday"/>
  </r>
  <r>
    <s v="M1550"/>
    <x v="2"/>
    <s v="Industrial"/>
    <x v="118"/>
    <n v="97.12"/>
    <n v="9.14"/>
    <n v="89"/>
    <x v="0"/>
    <n v="7.88"/>
    <x v="10"/>
    <n v="2024"/>
    <n v="765.30560000000003"/>
    <s v="Weekday"/>
  </r>
  <r>
    <s v="M1551"/>
    <x v="0"/>
    <s v="Commercial"/>
    <x v="269"/>
    <n v="42.25"/>
    <n v="2.79"/>
    <n v="0"/>
    <x v="0"/>
    <n v="8.02"/>
    <x v="1"/>
    <n v="2024"/>
    <n v="338.84499999999997"/>
    <s v="Weekday"/>
  </r>
  <r>
    <s v="M1552"/>
    <x v="1"/>
    <s v="Residential"/>
    <x v="107"/>
    <n v="12.13"/>
    <n v="1.84"/>
    <n v="40"/>
    <x v="0"/>
    <n v="8.94"/>
    <x v="10"/>
    <n v="2024"/>
    <n v="108.4422"/>
    <s v="Weekday"/>
  </r>
  <r>
    <s v="M1553"/>
    <x v="1"/>
    <s v="Commercial"/>
    <x v="2"/>
    <n v="63.96"/>
    <n v="2.6"/>
    <n v="105"/>
    <x v="1"/>
    <n v="7.06"/>
    <x v="0"/>
    <n v="2024"/>
    <n v="451.55759999999998"/>
    <s v="Weekend"/>
  </r>
  <r>
    <s v="M1554"/>
    <x v="0"/>
    <s v="Industrial"/>
    <x v="282"/>
    <n v="35.450000000000003"/>
    <n v="6.6"/>
    <n v="30"/>
    <x v="1"/>
    <n v="5.76"/>
    <x v="10"/>
    <n v="2024"/>
    <n v="204.19200000000001"/>
    <s v="Weekday"/>
  </r>
  <r>
    <s v="M1555"/>
    <x v="1"/>
    <s v="Industrial"/>
    <x v="283"/>
    <n v="88.75"/>
    <n v="6.41"/>
    <n v="30"/>
    <x v="1"/>
    <n v="3.34"/>
    <x v="10"/>
    <n v="2024"/>
    <n v="296.42500000000001"/>
    <s v="Weekday"/>
  </r>
  <r>
    <s v="M1556"/>
    <x v="2"/>
    <s v="Residential"/>
    <x v="55"/>
    <n v="78.05"/>
    <n v="1.55"/>
    <n v="112"/>
    <x v="1"/>
    <n v="6.35"/>
    <x v="7"/>
    <n v="2024"/>
    <n v="495.61749999999995"/>
    <s v="Weekend"/>
  </r>
  <r>
    <s v="M1557"/>
    <x v="1"/>
    <s v="Residential"/>
    <x v="284"/>
    <n v="75.739999999999995"/>
    <n v="5.12"/>
    <n v="37"/>
    <x v="0"/>
    <n v="8.39"/>
    <x v="6"/>
    <n v="2024"/>
    <n v="635.45860000000005"/>
    <s v="Weekend"/>
  </r>
  <r>
    <s v="M1558"/>
    <x v="0"/>
    <s v="Industrial"/>
    <x v="269"/>
    <n v="41.63"/>
    <n v="8.92"/>
    <n v="112"/>
    <x v="0"/>
    <n v="9.02"/>
    <x v="1"/>
    <n v="2024"/>
    <n v="375.50260000000003"/>
    <s v="Weekday"/>
  </r>
  <r>
    <s v="M1559"/>
    <x v="1"/>
    <s v="Industrial"/>
    <x v="285"/>
    <n v="48.09"/>
    <n v="9.6"/>
    <n v="19"/>
    <x v="1"/>
    <n v="8.85"/>
    <x v="3"/>
    <n v="2024"/>
    <n v="425.59649999999999"/>
    <s v="Weekday"/>
  </r>
  <r>
    <s v="M1560"/>
    <x v="0"/>
    <s v="Residential"/>
    <x v="286"/>
    <n v="25.97"/>
    <n v="2.19"/>
    <n v="58"/>
    <x v="1"/>
    <n v="4.3499999999999996"/>
    <x v="3"/>
    <n v="2024"/>
    <n v="112.96949999999998"/>
    <s v="Weekday"/>
  </r>
  <r>
    <s v="M1561"/>
    <x v="1"/>
    <s v="Industrial"/>
    <x v="73"/>
    <n v="49.91"/>
    <n v="9.5299999999999994"/>
    <n v="85"/>
    <x v="1"/>
    <n v="6.74"/>
    <x v="5"/>
    <n v="2024"/>
    <n v="336.39339999999999"/>
    <s v="Weekday"/>
  </r>
  <r>
    <s v="M1562"/>
    <x v="0"/>
    <s v="Residential"/>
    <x v="203"/>
    <n v="79.7"/>
    <n v="5.19"/>
    <n v="95"/>
    <x v="1"/>
    <n v="4.5999999999999996"/>
    <x v="11"/>
    <n v="2024"/>
    <n v="366.62"/>
    <s v="Weekday"/>
  </r>
  <r>
    <s v="M1563"/>
    <x v="0"/>
    <s v="Residential"/>
    <x v="252"/>
    <n v="80.209999999999994"/>
    <n v="6.66"/>
    <n v="84"/>
    <x v="0"/>
    <n v="6.37"/>
    <x v="3"/>
    <n v="2024"/>
    <n v="510.93769999999995"/>
    <s v="Weekday"/>
  </r>
  <r>
    <s v="M1564"/>
    <x v="0"/>
    <s v="Residential"/>
    <x v="189"/>
    <n v="45.51"/>
    <n v="6.21"/>
    <n v="25"/>
    <x v="0"/>
    <n v="6.27"/>
    <x v="0"/>
    <n v="2024"/>
    <n v="285.34769999999997"/>
    <s v="Weekend"/>
  </r>
  <r>
    <s v="M1565"/>
    <x v="1"/>
    <s v="Industrial"/>
    <x v="21"/>
    <n v="63.19"/>
    <n v="3.55"/>
    <n v="46"/>
    <x v="0"/>
    <n v="5.82"/>
    <x v="5"/>
    <n v="2024"/>
    <n v="367.76580000000001"/>
    <s v="Weekday"/>
  </r>
  <r>
    <s v="M1566"/>
    <x v="0"/>
    <s v="Residential"/>
    <x v="23"/>
    <n v="61.74"/>
    <n v="7.91"/>
    <n v="107"/>
    <x v="1"/>
    <n v="8.14"/>
    <x v="4"/>
    <n v="2024"/>
    <n v="502.56360000000006"/>
    <s v="Weekend"/>
  </r>
  <r>
    <s v="M1567"/>
    <x v="2"/>
    <s v="Residential"/>
    <x v="241"/>
    <n v="93.49"/>
    <n v="8.57"/>
    <n v="66"/>
    <x v="1"/>
    <n v="8.93"/>
    <x v="8"/>
    <n v="2024"/>
    <n v="834.86569999999995"/>
    <s v="Weekend"/>
  </r>
  <r>
    <s v="M1568"/>
    <x v="2"/>
    <s v="Residential"/>
    <x v="4"/>
    <n v="69.52"/>
    <n v="9.5500000000000007"/>
    <n v="68"/>
    <x v="0"/>
    <n v="4.95"/>
    <x v="3"/>
    <n v="2024"/>
    <n v="344.12399999999997"/>
    <s v="Weekday"/>
  </r>
  <r>
    <s v="M1569"/>
    <x v="0"/>
    <s v="Industrial"/>
    <x v="103"/>
    <n v="36.51"/>
    <n v="7.78"/>
    <n v="43"/>
    <x v="1"/>
    <n v="9.68"/>
    <x v="3"/>
    <n v="2024"/>
    <n v="353.41679999999997"/>
    <s v="Weekday"/>
  </r>
  <r>
    <s v="M1570"/>
    <x v="2"/>
    <s v="Commercial"/>
    <x v="125"/>
    <n v="42.29"/>
    <n v="3.25"/>
    <n v="29"/>
    <x v="1"/>
    <n v="9.0500000000000007"/>
    <x v="9"/>
    <n v="2024"/>
    <n v="382.72450000000003"/>
    <s v="Weekend"/>
  </r>
  <r>
    <s v="M1571"/>
    <x v="2"/>
    <s v="Commercial"/>
    <x v="272"/>
    <n v="46.3"/>
    <n v="3.07"/>
    <n v="48"/>
    <x v="1"/>
    <n v="4.9000000000000004"/>
    <x v="3"/>
    <n v="2024"/>
    <n v="226.87"/>
    <s v="Weekend"/>
  </r>
  <r>
    <s v="M1572"/>
    <x v="1"/>
    <s v="Residential"/>
    <x v="68"/>
    <n v="57.99"/>
    <n v="1.71"/>
    <n v="36"/>
    <x v="0"/>
    <n v="7.15"/>
    <x v="8"/>
    <n v="2024"/>
    <n v="414.62850000000003"/>
    <s v="Weekend"/>
  </r>
  <r>
    <s v="M1573"/>
    <x v="0"/>
    <s v="Commercial"/>
    <x v="287"/>
    <n v="96.12"/>
    <n v="9.18"/>
    <n v="61"/>
    <x v="1"/>
    <n v="7.53"/>
    <x v="8"/>
    <n v="2024"/>
    <n v="723.78360000000009"/>
    <s v="Weekend"/>
  </r>
  <r>
    <s v="M1574"/>
    <x v="1"/>
    <s v="Commercial"/>
    <x v="89"/>
    <n v="56.63"/>
    <n v="3.85"/>
    <n v="85"/>
    <x v="1"/>
    <n v="5.36"/>
    <x v="5"/>
    <n v="2024"/>
    <n v="303.53680000000003"/>
    <s v="Weekday"/>
  </r>
  <r>
    <s v="M1575"/>
    <x v="2"/>
    <s v="Commercial"/>
    <x v="288"/>
    <n v="21.89"/>
    <n v="2.56"/>
    <n v="85"/>
    <x v="0"/>
    <n v="6.77"/>
    <x v="7"/>
    <n v="2024"/>
    <n v="148.1953"/>
    <s v="Weekday"/>
  </r>
  <r>
    <s v="M1576"/>
    <x v="0"/>
    <s v="Residential"/>
    <x v="22"/>
    <n v="40.369999999999997"/>
    <n v="3.53"/>
    <n v="0"/>
    <x v="0"/>
    <n v="6.29"/>
    <x v="0"/>
    <n v="2024"/>
    <n v="253.92729999999997"/>
    <s v="Weekday"/>
  </r>
  <r>
    <s v="M1577"/>
    <x v="0"/>
    <s v="Industrial"/>
    <x v="200"/>
    <n v="42.19"/>
    <n v="8.1999999999999993"/>
    <n v="17"/>
    <x v="1"/>
    <n v="6.76"/>
    <x v="11"/>
    <n v="2024"/>
    <n v="285.20439999999996"/>
    <s v="Weekday"/>
  </r>
  <r>
    <s v="M1578"/>
    <x v="0"/>
    <s v="Industrial"/>
    <x v="226"/>
    <n v="37.549999999999997"/>
    <n v="1.71"/>
    <n v="47"/>
    <x v="1"/>
    <n v="3.57"/>
    <x v="8"/>
    <n v="2024"/>
    <n v="134.05349999999999"/>
    <s v="Weekday"/>
  </r>
  <r>
    <s v="M1579"/>
    <x v="2"/>
    <s v="Industrial"/>
    <x v="269"/>
    <n v="97.73"/>
    <n v="1.23"/>
    <n v="35"/>
    <x v="0"/>
    <n v="5.0599999999999996"/>
    <x v="1"/>
    <n v="2024"/>
    <n v="494.5138"/>
    <s v="Weekday"/>
  </r>
  <r>
    <s v="M1580"/>
    <x v="1"/>
    <s v="Industrial"/>
    <x v="284"/>
    <n v="9.4499999999999993"/>
    <n v="3.31"/>
    <n v="37"/>
    <x v="1"/>
    <n v="3.15"/>
    <x v="6"/>
    <n v="2024"/>
    <n v="29.767499999999998"/>
    <s v="Weekend"/>
  </r>
  <r>
    <s v="M1581"/>
    <x v="1"/>
    <s v="Commercial"/>
    <x v="289"/>
    <n v="19.170000000000002"/>
    <n v="1.25"/>
    <n v="47"/>
    <x v="1"/>
    <n v="5.65"/>
    <x v="0"/>
    <n v="2024"/>
    <n v="108.31050000000002"/>
    <s v="Weekend"/>
  </r>
  <r>
    <s v="M1582"/>
    <x v="0"/>
    <s v="Residential"/>
    <x v="217"/>
    <n v="99.1"/>
    <n v="3.09"/>
    <n v="67"/>
    <x v="1"/>
    <n v="8.42"/>
    <x v="10"/>
    <n v="2024"/>
    <n v="834.42199999999991"/>
    <s v="Weekday"/>
  </r>
  <r>
    <s v="M1583"/>
    <x v="0"/>
    <s v="Residential"/>
    <x v="197"/>
    <n v="62.69"/>
    <n v="4.66"/>
    <n v="18"/>
    <x v="0"/>
    <n v="9.58"/>
    <x v="9"/>
    <n v="2024"/>
    <n v="600.5702"/>
    <s v="Weekday"/>
  </r>
  <r>
    <s v="M1584"/>
    <x v="2"/>
    <s v="Commercial"/>
    <x v="27"/>
    <n v="99.88"/>
    <n v="2.19"/>
    <n v="34"/>
    <x v="0"/>
    <n v="9.7200000000000006"/>
    <x v="2"/>
    <n v="2024"/>
    <n v="970.83360000000005"/>
    <s v="Weekday"/>
  </r>
  <r>
    <s v="M1585"/>
    <x v="0"/>
    <s v="Industrial"/>
    <x v="39"/>
    <n v="52.61"/>
    <n v="8.9499999999999993"/>
    <n v="82"/>
    <x v="0"/>
    <n v="5.21"/>
    <x v="2"/>
    <n v="2024"/>
    <n v="274.09809999999999"/>
    <s v="Weekday"/>
  </r>
  <r>
    <s v="M1586"/>
    <x v="1"/>
    <s v="Residential"/>
    <x v="284"/>
    <n v="10.220000000000001"/>
    <n v="1.21"/>
    <n v="93"/>
    <x v="0"/>
    <n v="8.77"/>
    <x v="6"/>
    <n v="2024"/>
    <n v="89.629400000000004"/>
    <s v="Weekend"/>
  </r>
  <r>
    <s v="M1587"/>
    <x v="0"/>
    <s v="Commercial"/>
    <x v="280"/>
    <n v="62.31"/>
    <n v="4.87"/>
    <n v="46"/>
    <x v="0"/>
    <n v="5.53"/>
    <x v="5"/>
    <n v="2024"/>
    <n v="344.57430000000005"/>
    <s v="Weekday"/>
  </r>
  <r>
    <s v="M1588"/>
    <x v="2"/>
    <s v="Industrial"/>
    <x v="25"/>
    <n v="17.3"/>
    <n v="8.2100000000000009"/>
    <n v="64"/>
    <x v="0"/>
    <n v="6.9"/>
    <x v="6"/>
    <n v="2024"/>
    <n v="119.37"/>
    <s v="Weekday"/>
  </r>
  <r>
    <s v="M1589"/>
    <x v="0"/>
    <s v="Commercial"/>
    <x v="79"/>
    <n v="83.44"/>
    <n v="3.34"/>
    <n v="49"/>
    <x v="1"/>
    <n v="4.8099999999999996"/>
    <x v="2"/>
    <n v="2024"/>
    <n v="401.34639999999996"/>
    <s v="Weekday"/>
  </r>
  <r>
    <s v="M1590"/>
    <x v="1"/>
    <s v="Residential"/>
    <x v="227"/>
    <n v="29.65"/>
    <n v="7.26"/>
    <n v="46"/>
    <x v="1"/>
    <n v="6.83"/>
    <x v="4"/>
    <n v="2024"/>
    <n v="202.5095"/>
    <s v="Weekday"/>
  </r>
  <r>
    <s v="M1591"/>
    <x v="1"/>
    <s v="Residential"/>
    <x v="203"/>
    <n v="23.56"/>
    <n v="7.08"/>
    <n v="91"/>
    <x v="1"/>
    <n v="5.1100000000000003"/>
    <x v="11"/>
    <n v="2024"/>
    <n v="120.3916"/>
    <s v="Weekday"/>
  </r>
  <r>
    <s v="M1592"/>
    <x v="0"/>
    <s v="Residential"/>
    <x v="193"/>
    <n v="99.47"/>
    <n v="1.77"/>
    <n v="68"/>
    <x v="1"/>
    <n v="7.49"/>
    <x v="8"/>
    <n v="2024"/>
    <n v="745.03030000000001"/>
    <s v="Weekend"/>
  </r>
  <r>
    <s v="M1593"/>
    <x v="1"/>
    <s v="Residential"/>
    <x v="175"/>
    <n v="8.69"/>
    <n v="9.4"/>
    <n v="85"/>
    <x v="1"/>
    <n v="9.61"/>
    <x v="9"/>
    <n v="2024"/>
    <n v="83.510899999999992"/>
    <s v="Weekend"/>
  </r>
  <r>
    <s v="M1594"/>
    <x v="1"/>
    <s v="Commercial"/>
    <x v="254"/>
    <n v="36.85"/>
    <n v="7.09"/>
    <n v="103"/>
    <x v="1"/>
    <n v="8.11"/>
    <x v="2"/>
    <n v="2024"/>
    <n v="298.8535"/>
    <s v="Weekend"/>
  </r>
  <r>
    <s v="M1595"/>
    <x v="1"/>
    <s v="Residential"/>
    <x v="101"/>
    <n v="15.35"/>
    <n v="9.5399999999999991"/>
    <n v="75"/>
    <x v="0"/>
    <n v="4.0199999999999996"/>
    <x v="1"/>
    <n v="2024"/>
    <n v="61.706999999999994"/>
    <s v="Weekend"/>
  </r>
  <r>
    <s v="M1596"/>
    <x v="2"/>
    <s v="Commercial"/>
    <x v="290"/>
    <n v="51.01"/>
    <n v="2.12"/>
    <n v="56"/>
    <x v="0"/>
    <n v="9.75"/>
    <x v="10"/>
    <n v="2024"/>
    <n v="497.34749999999997"/>
    <s v="Weekday"/>
  </r>
  <r>
    <s v="M1597"/>
    <x v="1"/>
    <s v="Residential"/>
    <x v="161"/>
    <n v="19.21"/>
    <n v="1.29"/>
    <n v="80"/>
    <x v="1"/>
    <n v="4.32"/>
    <x v="6"/>
    <n v="2024"/>
    <n v="82.987200000000016"/>
    <s v="Weekday"/>
  </r>
  <r>
    <s v="M1598"/>
    <x v="2"/>
    <s v="Commercial"/>
    <x v="259"/>
    <n v="89.02"/>
    <n v="5.07"/>
    <n v="115"/>
    <x v="1"/>
    <n v="8.61"/>
    <x v="2"/>
    <n v="2024"/>
    <n v="766.46219999999994"/>
    <s v="Weekday"/>
  </r>
  <r>
    <s v="M1599"/>
    <x v="0"/>
    <s v="Residential"/>
    <x v="277"/>
    <n v="96.74"/>
    <n v="5.82"/>
    <n v="53"/>
    <x v="1"/>
    <n v="5.88"/>
    <x v="10"/>
    <n v="2024"/>
    <n v="568.83119999999997"/>
    <s v="Weekend"/>
  </r>
  <r>
    <s v="M1600"/>
    <x v="0"/>
    <s v="Commercial"/>
    <x v="106"/>
    <n v="22.52"/>
    <n v="9.5500000000000007"/>
    <n v="62"/>
    <x v="0"/>
    <n v="3.14"/>
    <x v="3"/>
    <n v="2024"/>
    <n v="70.712800000000001"/>
    <s v="Weekday"/>
  </r>
  <r>
    <s v="M1601"/>
    <x v="1"/>
    <s v="Industrial"/>
    <x v="138"/>
    <n v="99.35"/>
    <n v="1.93"/>
    <n v="115"/>
    <x v="0"/>
    <n v="4.37"/>
    <x v="7"/>
    <n v="2024"/>
    <n v="434.15949999999998"/>
    <s v="Weekend"/>
  </r>
  <r>
    <s v="M1602"/>
    <x v="0"/>
    <s v="Residential"/>
    <x v="32"/>
    <n v="66.75"/>
    <n v="3.9"/>
    <n v="40"/>
    <x v="0"/>
    <n v="5.0199999999999996"/>
    <x v="11"/>
    <n v="2024"/>
    <n v="335.08499999999998"/>
    <s v="Weekend"/>
  </r>
  <r>
    <s v="M1603"/>
    <x v="2"/>
    <s v="Industrial"/>
    <x v="284"/>
    <n v="46.4"/>
    <n v="9.8699999999999992"/>
    <n v="71"/>
    <x v="0"/>
    <n v="5.49"/>
    <x v="6"/>
    <n v="2024"/>
    <n v="254.73599999999999"/>
    <s v="Weekend"/>
  </r>
  <r>
    <s v="M1604"/>
    <x v="1"/>
    <s v="Industrial"/>
    <x v="291"/>
    <n v="96.88"/>
    <n v="4.6100000000000003"/>
    <n v="116"/>
    <x v="1"/>
    <n v="6.64"/>
    <x v="10"/>
    <n v="2024"/>
    <n v="643.28319999999997"/>
    <s v="Weekday"/>
  </r>
  <r>
    <s v="M1605"/>
    <x v="0"/>
    <s v="Industrial"/>
    <x v="292"/>
    <n v="65.12"/>
    <n v="6.07"/>
    <n v="27"/>
    <x v="1"/>
    <n v="9.31"/>
    <x v="9"/>
    <n v="2024"/>
    <n v="606.26720000000012"/>
    <s v="Weekday"/>
  </r>
  <r>
    <s v="M1606"/>
    <x v="0"/>
    <s v="Commercial"/>
    <x v="107"/>
    <n v="60.16"/>
    <n v="3.47"/>
    <n v="115"/>
    <x v="0"/>
    <n v="7.59"/>
    <x v="10"/>
    <n v="2024"/>
    <n v="456.61439999999999"/>
    <s v="Weekday"/>
  </r>
  <r>
    <s v="M1607"/>
    <x v="2"/>
    <s v="Commercial"/>
    <x v="278"/>
    <n v="46.16"/>
    <n v="2.0499999999999998"/>
    <n v="113"/>
    <x v="0"/>
    <n v="8.01"/>
    <x v="6"/>
    <n v="2024"/>
    <n v="369.74159999999995"/>
    <s v="Weekday"/>
  </r>
  <r>
    <s v="M1608"/>
    <x v="0"/>
    <s v="Commercial"/>
    <x v="293"/>
    <n v="87.95"/>
    <n v="9.4600000000000009"/>
    <n v="45"/>
    <x v="0"/>
    <n v="7.1"/>
    <x v="9"/>
    <n v="2024"/>
    <n v="624.44499999999994"/>
    <s v="Weekday"/>
  </r>
  <r>
    <s v="M1609"/>
    <x v="2"/>
    <s v="Residential"/>
    <x v="127"/>
    <n v="73.290000000000006"/>
    <n v="6.4"/>
    <n v="16"/>
    <x v="1"/>
    <n v="5.12"/>
    <x v="4"/>
    <n v="2024"/>
    <n v="375.24480000000005"/>
    <s v="Weekday"/>
  </r>
  <r>
    <s v="M1610"/>
    <x v="2"/>
    <s v="Commercial"/>
    <x v="184"/>
    <n v="46.16"/>
    <n v="4.33"/>
    <n v="25"/>
    <x v="0"/>
    <n v="3.1"/>
    <x v="4"/>
    <n v="2024"/>
    <n v="143.096"/>
    <s v="Weekday"/>
  </r>
  <r>
    <s v="M1611"/>
    <x v="2"/>
    <s v="Industrial"/>
    <x v="96"/>
    <n v="83"/>
    <n v="6.91"/>
    <n v="114"/>
    <x v="1"/>
    <n v="5.86"/>
    <x v="6"/>
    <n v="2024"/>
    <n v="486.38000000000005"/>
    <s v="Weekday"/>
  </r>
  <r>
    <s v="M1612"/>
    <x v="2"/>
    <s v="Residential"/>
    <x v="294"/>
    <n v="92.4"/>
    <n v="3.85"/>
    <n v="63"/>
    <x v="0"/>
    <n v="7.31"/>
    <x v="3"/>
    <n v="2024"/>
    <n v="675.44399999999996"/>
    <s v="Weekday"/>
  </r>
  <r>
    <s v="M1613"/>
    <x v="2"/>
    <s v="Commercial"/>
    <x v="295"/>
    <n v="22.58"/>
    <n v="3.76"/>
    <n v="89"/>
    <x v="1"/>
    <n v="5.15"/>
    <x v="6"/>
    <n v="2024"/>
    <n v="116.28700000000001"/>
    <s v="Weekday"/>
  </r>
  <r>
    <s v="M1614"/>
    <x v="0"/>
    <s v="Residential"/>
    <x v="32"/>
    <n v="87.31"/>
    <n v="5.42"/>
    <n v="57"/>
    <x v="1"/>
    <n v="9.85"/>
    <x v="11"/>
    <n v="2024"/>
    <n v="860.00350000000003"/>
    <s v="Weekend"/>
  </r>
  <r>
    <s v="M1615"/>
    <x v="2"/>
    <s v="Commercial"/>
    <x v="4"/>
    <n v="82.8"/>
    <n v="4.1100000000000003"/>
    <n v="90"/>
    <x v="0"/>
    <n v="8.0500000000000007"/>
    <x v="3"/>
    <n v="2024"/>
    <n v="666.54000000000008"/>
    <s v="Weekday"/>
  </r>
  <r>
    <s v="M1616"/>
    <x v="2"/>
    <s v="Industrial"/>
    <x v="261"/>
    <n v="73.569999999999993"/>
    <n v="9.76"/>
    <n v="1"/>
    <x v="1"/>
    <n v="5.88"/>
    <x v="2"/>
    <n v="2024"/>
    <n v="432.59159999999997"/>
    <s v="Weekday"/>
  </r>
  <r>
    <s v="M1617"/>
    <x v="2"/>
    <s v="Residential"/>
    <x v="54"/>
    <n v="78.06"/>
    <n v="7.16"/>
    <n v="51"/>
    <x v="1"/>
    <n v="9.2799999999999994"/>
    <x v="10"/>
    <n v="2024"/>
    <n v="724.39679999999998"/>
    <s v="Weekday"/>
  </r>
  <r>
    <s v="M1618"/>
    <x v="0"/>
    <s v="Industrial"/>
    <x v="296"/>
    <n v="54.13"/>
    <n v="1.1299999999999999"/>
    <n v="119"/>
    <x v="1"/>
    <n v="3.5"/>
    <x v="5"/>
    <n v="2024"/>
    <n v="189.45500000000001"/>
    <s v="Weekday"/>
  </r>
  <r>
    <s v="M1619"/>
    <x v="1"/>
    <s v="Industrial"/>
    <x v="197"/>
    <n v="92.44"/>
    <n v="6.25"/>
    <n v="7"/>
    <x v="1"/>
    <n v="5.8"/>
    <x v="9"/>
    <n v="2024"/>
    <n v="536.15199999999993"/>
    <s v="Weekday"/>
  </r>
  <r>
    <s v="M1620"/>
    <x v="2"/>
    <s v="Commercial"/>
    <x v="209"/>
    <n v="57.89"/>
    <n v="5.82"/>
    <n v="68"/>
    <x v="1"/>
    <n v="3.6"/>
    <x v="4"/>
    <n v="2024"/>
    <n v="208.404"/>
    <s v="Weekday"/>
  </r>
  <r>
    <s v="M1621"/>
    <x v="0"/>
    <s v="Residential"/>
    <x v="297"/>
    <n v="88.26"/>
    <n v="9.7200000000000006"/>
    <n v="72"/>
    <x v="1"/>
    <n v="7.69"/>
    <x v="7"/>
    <n v="2024"/>
    <n v="678.71940000000006"/>
    <s v="Weekday"/>
  </r>
  <r>
    <s v="M1622"/>
    <x v="1"/>
    <s v="Industrial"/>
    <x v="298"/>
    <n v="82.94"/>
    <n v="9.35"/>
    <n v="53"/>
    <x v="0"/>
    <n v="8.34"/>
    <x v="1"/>
    <n v="2024"/>
    <n v="691.71960000000001"/>
    <s v="Weekday"/>
  </r>
  <r>
    <s v="M1623"/>
    <x v="0"/>
    <s v="Residential"/>
    <x v="247"/>
    <n v="40.57"/>
    <n v="4"/>
    <n v="3"/>
    <x v="0"/>
    <n v="9.4499999999999993"/>
    <x v="2"/>
    <n v="2024"/>
    <n v="383.38649999999996"/>
    <s v="Weekday"/>
  </r>
  <r>
    <s v="M1624"/>
    <x v="0"/>
    <s v="Residential"/>
    <x v="216"/>
    <n v="18.11"/>
    <n v="9.49"/>
    <n v="48"/>
    <x v="0"/>
    <n v="6.53"/>
    <x v="7"/>
    <n v="2024"/>
    <n v="118.25830000000001"/>
    <s v="Weekday"/>
  </r>
  <r>
    <s v="M1625"/>
    <x v="1"/>
    <s v="Commercial"/>
    <x v="152"/>
    <n v="54.28"/>
    <n v="2.8"/>
    <n v="85"/>
    <x v="0"/>
    <n v="9.74"/>
    <x v="2"/>
    <n v="2024"/>
    <n v="528.68720000000008"/>
    <s v="Weekend"/>
  </r>
  <r>
    <s v="M1626"/>
    <x v="0"/>
    <s v="Residential"/>
    <x v="103"/>
    <n v="83.46"/>
    <n v="1.52"/>
    <n v="22"/>
    <x v="0"/>
    <n v="7.93"/>
    <x v="3"/>
    <n v="2024"/>
    <n v="661.8377999999999"/>
    <s v="Weekday"/>
  </r>
  <r>
    <s v="M1627"/>
    <x v="0"/>
    <s v="Residential"/>
    <x v="275"/>
    <n v="63.84"/>
    <n v="9.3699999999999992"/>
    <n v="55"/>
    <x v="0"/>
    <n v="8.35"/>
    <x v="11"/>
    <n v="2024"/>
    <n v="533.06399999999996"/>
    <s v="Weekend"/>
  </r>
  <r>
    <s v="M1628"/>
    <x v="0"/>
    <s v="Industrial"/>
    <x v="216"/>
    <n v="75.849999999999994"/>
    <n v="5.08"/>
    <n v="55"/>
    <x v="0"/>
    <n v="3.77"/>
    <x v="7"/>
    <n v="2024"/>
    <n v="285.9545"/>
    <s v="Weekday"/>
  </r>
  <r>
    <s v="M1629"/>
    <x v="2"/>
    <s v="Industrial"/>
    <x v="276"/>
    <n v="44.43"/>
    <n v="9.8800000000000008"/>
    <n v="22"/>
    <x v="1"/>
    <n v="5.09"/>
    <x v="6"/>
    <n v="2024"/>
    <n v="226.14869999999999"/>
    <s v="Weekday"/>
  </r>
  <r>
    <s v="M1630"/>
    <x v="2"/>
    <s v="Commercial"/>
    <x v="299"/>
    <n v="71.17"/>
    <n v="3.61"/>
    <n v="26"/>
    <x v="0"/>
    <n v="9.9600000000000009"/>
    <x v="6"/>
    <n v="2024"/>
    <n v="708.85320000000013"/>
    <s v="Weekend"/>
  </r>
  <r>
    <s v="M1631"/>
    <x v="0"/>
    <s v="Industrial"/>
    <x v="21"/>
    <n v="23.32"/>
    <n v="5.53"/>
    <n v="115"/>
    <x v="1"/>
    <n v="8.14"/>
    <x v="5"/>
    <n v="2024"/>
    <n v="189.82480000000001"/>
    <s v="Weekday"/>
  </r>
  <r>
    <s v="M1632"/>
    <x v="2"/>
    <s v="Commercial"/>
    <x v="9"/>
    <n v="56.84"/>
    <n v="8.01"/>
    <n v="42"/>
    <x v="1"/>
    <n v="3.99"/>
    <x v="8"/>
    <n v="2024"/>
    <n v="226.79160000000002"/>
    <s v="Weekday"/>
  </r>
  <r>
    <s v="M1633"/>
    <x v="1"/>
    <s v="Residential"/>
    <x v="55"/>
    <n v="85.55"/>
    <n v="2.4"/>
    <n v="19"/>
    <x v="1"/>
    <n v="4.9000000000000004"/>
    <x v="7"/>
    <n v="2024"/>
    <n v="419.19499999999999"/>
    <s v="Weekend"/>
  </r>
  <r>
    <s v="M1634"/>
    <x v="0"/>
    <s v="Industrial"/>
    <x v="233"/>
    <n v="95.93"/>
    <n v="2.11"/>
    <n v="19"/>
    <x v="0"/>
    <n v="4.03"/>
    <x v="5"/>
    <n v="2024"/>
    <n v="386.59790000000004"/>
    <s v="Weekend"/>
  </r>
  <r>
    <s v="M1635"/>
    <x v="2"/>
    <s v="Industrial"/>
    <x v="300"/>
    <n v="42.37"/>
    <n v="2.95"/>
    <n v="96"/>
    <x v="1"/>
    <n v="5.32"/>
    <x v="11"/>
    <n v="2024"/>
    <n v="225.4084"/>
    <s v="Weekend"/>
  </r>
  <r>
    <s v="M1636"/>
    <x v="1"/>
    <s v="Residential"/>
    <x v="278"/>
    <n v="93.85"/>
    <n v="4.45"/>
    <n v="49"/>
    <x v="1"/>
    <n v="8.84"/>
    <x v="6"/>
    <n v="2024"/>
    <n v="829.6339999999999"/>
    <s v="Weekday"/>
  </r>
  <r>
    <s v="M1637"/>
    <x v="2"/>
    <s v="Residential"/>
    <x v="259"/>
    <n v="23.81"/>
    <n v="4.1500000000000004"/>
    <n v="77"/>
    <x v="0"/>
    <n v="7.72"/>
    <x v="2"/>
    <n v="2024"/>
    <n v="183.81319999999999"/>
    <s v="Weekday"/>
  </r>
  <r>
    <s v="M1638"/>
    <x v="1"/>
    <s v="Commercial"/>
    <x v="118"/>
    <n v="67.72"/>
    <n v="8.3800000000000008"/>
    <n v="2"/>
    <x v="0"/>
    <n v="4.2699999999999996"/>
    <x v="10"/>
    <n v="2024"/>
    <n v="289.16439999999994"/>
    <s v="Weekday"/>
  </r>
  <r>
    <s v="M1639"/>
    <x v="2"/>
    <s v="Residential"/>
    <x v="91"/>
    <n v="50.1"/>
    <n v="6.98"/>
    <n v="107"/>
    <x v="1"/>
    <n v="9.09"/>
    <x v="9"/>
    <n v="2024"/>
    <n v="455.40899999999999"/>
    <s v="Weekend"/>
  </r>
  <r>
    <s v="M1640"/>
    <x v="1"/>
    <s v="Residential"/>
    <x v="301"/>
    <n v="27.96"/>
    <n v="1.65"/>
    <n v="72"/>
    <x v="0"/>
    <n v="6.41"/>
    <x v="1"/>
    <n v="2024"/>
    <n v="179.2236"/>
    <s v="Weekday"/>
  </r>
  <r>
    <s v="M1641"/>
    <x v="2"/>
    <s v="Residential"/>
    <x v="290"/>
    <n v="69"/>
    <n v="6.96"/>
    <n v="106"/>
    <x v="0"/>
    <n v="3.18"/>
    <x v="10"/>
    <n v="2024"/>
    <n v="219.42000000000002"/>
    <s v="Weekday"/>
  </r>
  <r>
    <s v="M1642"/>
    <x v="1"/>
    <s v="Residential"/>
    <x v="89"/>
    <n v="9.99"/>
    <n v="3.36"/>
    <n v="99"/>
    <x v="1"/>
    <n v="7.73"/>
    <x v="5"/>
    <n v="2024"/>
    <n v="77.222700000000003"/>
    <s v="Weekday"/>
  </r>
  <r>
    <s v="M1643"/>
    <x v="0"/>
    <s v="Commercial"/>
    <x v="135"/>
    <n v="27.07"/>
    <n v="8.5399999999999991"/>
    <n v="92"/>
    <x v="0"/>
    <n v="5.73"/>
    <x v="10"/>
    <n v="2024"/>
    <n v="155.11110000000002"/>
    <s v="Weekday"/>
  </r>
  <r>
    <s v="M1644"/>
    <x v="2"/>
    <s v="Residential"/>
    <x v="104"/>
    <n v="38.08"/>
    <n v="9.16"/>
    <n v="21"/>
    <x v="0"/>
    <n v="4.8"/>
    <x v="11"/>
    <n v="2024"/>
    <n v="182.78399999999999"/>
    <s v="Weekday"/>
  </r>
  <r>
    <s v="M1645"/>
    <x v="2"/>
    <s v="Commercial"/>
    <x v="290"/>
    <n v="49.9"/>
    <n v="4.0999999999999996"/>
    <n v="89"/>
    <x v="1"/>
    <n v="5.15"/>
    <x v="10"/>
    <n v="2024"/>
    <n v="256.98500000000001"/>
    <s v="Weekday"/>
  </r>
  <r>
    <s v="M1646"/>
    <x v="2"/>
    <s v="Industrial"/>
    <x v="289"/>
    <n v="40.590000000000003"/>
    <n v="8.93"/>
    <n v="84"/>
    <x v="1"/>
    <n v="6.97"/>
    <x v="0"/>
    <n v="2024"/>
    <n v="282.91230000000002"/>
    <s v="Weekend"/>
  </r>
  <r>
    <s v="M1647"/>
    <x v="1"/>
    <s v="Industrial"/>
    <x v="126"/>
    <n v="81.45"/>
    <n v="1.54"/>
    <n v="69"/>
    <x v="1"/>
    <n v="9.94"/>
    <x v="10"/>
    <n v="2024"/>
    <n v="809.61299999999994"/>
    <s v="Weekend"/>
  </r>
  <r>
    <s v="M1648"/>
    <x v="0"/>
    <s v="Residential"/>
    <x v="129"/>
    <n v="66.7"/>
    <n v="1.93"/>
    <n v="53"/>
    <x v="1"/>
    <n v="9.7200000000000006"/>
    <x v="1"/>
    <n v="2024"/>
    <n v="648.32400000000007"/>
    <s v="Weekday"/>
  </r>
  <r>
    <s v="M1649"/>
    <x v="1"/>
    <s v="Industrial"/>
    <x v="198"/>
    <n v="17.93"/>
    <n v="3.07"/>
    <n v="39"/>
    <x v="0"/>
    <n v="4.78"/>
    <x v="10"/>
    <n v="2024"/>
    <n v="85.705399999999997"/>
    <s v="Weekday"/>
  </r>
  <r>
    <s v="M1650"/>
    <x v="1"/>
    <s v="Commercial"/>
    <x v="9"/>
    <n v="74.84"/>
    <n v="4.4000000000000004"/>
    <n v="31"/>
    <x v="0"/>
    <n v="4.82"/>
    <x v="8"/>
    <n v="2024"/>
    <n v="360.72880000000004"/>
    <s v="Weekday"/>
  </r>
  <r>
    <s v="M1651"/>
    <x v="2"/>
    <s v="Industrial"/>
    <x v="6"/>
    <n v="70.510000000000005"/>
    <n v="1.28"/>
    <n v="81"/>
    <x v="0"/>
    <n v="5.32"/>
    <x v="5"/>
    <n v="2024"/>
    <n v="375.11320000000006"/>
    <s v="Weekend"/>
  </r>
  <r>
    <s v="M1652"/>
    <x v="2"/>
    <s v="Industrial"/>
    <x v="188"/>
    <n v="23.4"/>
    <n v="5.46"/>
    <n v="82"/>
    <x v="1"/>
    <n v="4.2699999999999996"/>
    <x v="6"/>
    <n v="2024"/>
    <n v="99.917999999999978"/>
    <s v="Weekend"/>
  </r>
  <r>
    <s v="M1653"/>
    <x v="2"/>
    <s v="Residential"/>
    <x v="150"/>
    <n v="35.78"/>
    <n v="8.86"/>
    <n v="79"/>
    <x v="0"/>
    <n v="9.73"/>
    <x v="8"/>
    <n v="2024"/>
    <n v="348.13940000000002"/>
    <s v="Weekday"/>
  </r>
  <r>
    <s v="M1654"/>
    <x v="1"/>
    <s v="Industrial"/>
    <x v="73"/>
    <n v="95.44"/>
    <n v="4.8099999999999996"/>
    <n v="100"/>
    <x v="1"/>
    <n v="6.57"/>
    <x v="5"/>
    <n v="2024"/>
    <n v="627.04079999999999"/>
    <s v="Weekday"/>
  </r>
  <r>
    <s v="M1655"/>
    <x v="1"/>
    <s v="Residential"/>
    <x v="302"/>
    <n v="71"/>
    <n v="8.17"/>
    <n v="34"/>
    <x v="0"/>
    <n v="4.1500000000000004"/>
    <x v="6"/>
    <n v="2024"/>
    <n v="294.65000000000003"/>
    <s v="Weekday"/>
  </r>
  <r>
    <s v="M1656"/>
    <x v="1"/>
    <s v="Commercial"/>
    <x v="27"/>
    <n v="14.46"/>
    <n v="5.19"/>
    <n v="114"/>
    <x v="1"/>
    <n v="4.2300000000000004"/>
    <x v="2"/>
    <n v="2024"/>
    <n v="61.165800000000011"/>
    <s v="Weekday"/>
  </r>
  <r>
    <s v="M1657"/>
    <x v="2"/>
    <s v="Residential"/>
    <x v="20"/>
    <n v="62.78"/>
    <n v="2.95"/>
    <n v="29"/>
    <x v="0"/>
    <n v="7.07"/>
    <x v="4"/>
    <n v="2024"/>
    <n v="443.8546"/>
    <s v="Weekday"/>
  </r>
  <r>
    <s v="M1658"/>
    <x v="0"/>
    <s v="Residential"/>
    <x v="75"/>
    <n v="52.05"/>
    <n v="7.38"/>
    <n v="62"/>
    <x v="0"/>
    <n v="9.84"/>
    <x v="10"/>
    <n v="2024"/>
    <n v="512.17199999999991"/>
    <s v="Weekend"/>
  </r>
  <r>
    <s v="M1659"/>
    <x v="1"/>
    <s v="Residential"/>
    <x v="130"/>
    <n v="66.02"/>
    <n v="9.32"/>
    <n v="67"/>
    <x v="0"/>
    <n v="6.9"/>
    <x v="3"/>
    <n v="2024"/>
    <n v="455.53800000000001"/>
    <s v="Weekday"/>
  </r>
  <r>
    <s v="M1660"/>
    <x v="0"/>
    <s v="Residential"/>
    <x v="39"/>
    <n v="88.96"/>
    <n v="6.94"/>
    <n v="110"/>
    <x v="0"/>
    <n v="7.64"/>
    <x v="2"/>
    <n v="2024"/>
    <n v="679.6543999999999"/>
    <s v="Weekday"/>
  </r>
  <r>
    <s v="M1661"/>
    <x v="0"/>
    <s v="Commercial"/>
    <x v="6"/>
    <n v="88.54"/>
    <n v="1.44"/>
    <n v="11"/>
    <x v="1"/>
    <n v="8.65"/>
    <x v="5"/>
    <n v="2024"/>
    <n v="765.87100000000009"/>
    <s v="Weekend"/>
  </r>
  <r>
    <s v="M1662"/>
    <x v="0"/>
    <s v="Industrial"/>
    <x v="295"/>
    <n v="18.649999999999999"/>
    <n v="7.57"/>
    <n v="46"/>
    <x v="1"/>
    <n v="8.61"/>
    <x v="6"/>
    <n v="2024"/>
    <n v="160.57649999999998"/>
    <s v="Weekday"/>
  </r>
  <r>
    <s v="M1663"/>
    <x v="2"/>
    <s v="Residential"/>
    <x v="182"/>
    <n v="86.54"/>
    <n v="8.49"/>
    <n v="20"/>
    <x v="1"/>
    <n v="7.22"/>
    <x v="9"/>
    <n v="2024"/>
    <n v="624.81880000000001"/>
    <s v="Weekday"/>
  </r>
  <r>
    <s v="M1664"/>
    <x v="0"/>
    <s v="Industrial"/>
    <x v="17"/>
    <n v="8.6999999999999993"/>
    <n v="6.58"/>
    <n v="114"/>
    <x v="1"/>
    <n v="8.77"/>
    <x v="5"/>
    <n v="2024"/>
    <n v="76.298999999999992"/>
    <s v="Weekday"/>
  </r>
  <r>
    <s v="M1665"/>
    <x v="1"/>
    <s v="Residential"/>
    <x v="303"/>
    <n v="31.59"/>
    <n v="5.1100000000000003"/>
    <n v="97"/>
    <x v="1"/>
    <n v="6.29"/>
    <x v="0"/>
    <n v="2024"/>
    <n v="198.7011"/>
    <s v="Weekday"/>
  </r>
  <r>
    <s v="M1666"/>
    <x v="2"/>
    <s v="Residential"/>
    <x v="304"/>
    <n v="57.99"/>
    <n v="1.02"/>
    <n v="5"/>
    <x v="1"/>
    <n v="3.03"/>
    <x v="1"/>
    <n v="2024"/>
    <n v="175.7097"/>
    <s v="Weekday"/>
  </r>
  <r>
    <s v="M1667"/>
    <x v="1"/>
    <s v="Industrial"/>
    <x v="236"/>
    <n v="73.569999999999993"/>
    <n v="8.64"/>
    <n v="67"/>
    <x v="0"/>
    <n v="6.34"/>
    <x v="1"/>
    <n v="2024"/>
    <n v="466.43379999999996"/>
    <s v="Weekday"/>
  </r>
  <r>
    <s v="M1668"/>
    <x v="0"/>
    <s v="Industrial"/>
    <x v="25"/>
    <n v="57.74"/>
    <n v="7.94"/>
    <n v="12"/>
    <x v="1"/>
    <n v="4.32"/>
    <x v="6"/>
    <n v="2024"/>
    <n v="249.43680000000003"/>
    <s v="Weekday"/>
  </r>
  <r>
    <s v="M1669"/>
    <x v="2"/>
    <s v="Residential"/>
    <x v="305"/>
    <n v="7.87"/>
    <n v="7.71"/>
    <n v="48"/>
    <x v="1"/>
    <n v="5.23"/>
    <x v="7"/>
    <n v="2024"/>
    <n v="41.160100000000007"/>
    <s v="Weekday"/>
  </r>
  <r>
    <s v="M1670"/>
    <x v="2"/>
    <s v="Commercial"/>
    <x v="306"/>
    <n v="10.87"/>
    <n v="9.6199999999999992"/>
    <n v="60"/>
    <x v="1"/>
    <n v="4.9800000000000004"/>
    <x v="1"/>
    <n v="2024"/>
    <n v="54.132600000000004"/>
    <s v="Weekend"/>
  </r>
  <r>
    <s v="M1671"/>
    <x v="2"/>
    <s v="Residential"/>
    <x v="239"/>
    <n v="75.040000000000006"/>
    <n v="1.8"/>
    <n v="61"/>
    <x v="1"/>
    <n v="8.94"/>
    <x v="1"/>
    <n v="2024"/>
    <n v="670.85760000000005"/>
    <s v="Weekday"/>
  </r>
  <r>
    <s v="M1672"/>
    <x v="1"/>
    <s v="Commercial"/>
    <x v="307"/>
    <n v="6.1"/>
    <n v="1.59"/>
    <n v="25"/>
    <x v="1"/>
    <n v="3.55"/>
    <x v="6"/>
    <n v="2024"/>
    <n v="21.654999999999998"/>
    <s v="Weekday"/>
  </r>
  <r>
    <s v="M1673"/>
    <x v="2"/>
    <s v="Industrial"/>
    <x v="308"/>
    <n v="50.48"/>
    <n v="6.24"/>
    <n v="73"/>
    <x v="1"/>
    <n v="4.3600000000000003"/>
    <x v="8"/>
    <n v="2024"/>
    <n v="220.09280000000001"/>
    <s v="Weekday"/>
  </r>
  <r>
    <s v="M1674"/>
    <x v="2"/>
    <s v="Industrial"/>
    <x v="309"/>
    <n v="57.06"/>
    <n v="4.54"/>
    <n v="58"/>
    <x v="0"/>
    <n v="9.94"/>
    <x v="7"/>
    <n v="2024"/>
    <n v="567.17639999999994"/>
    <s v="Weekday"/>
  </r>
  <r>
    <s v="M1675"/>
    <x v="2"/>
    <s v="Industrial"/>
    <x v="199"/>
    <n v="35.31"/>
    <n v="4.8499999999999996"/>
    <n v="76"/>
    <x v="0"/>
    <n v="9.2799999999999994"/>
    <x v="0"/>
    <n v="2024"/>
    <n v="327.67680000000001"/>
    <s v="Weekday"/>
  </r>
  <r>
    <s v="M1676"/>
    <x v="0"/>
    <s v="Industrial"/>
    <x v="29"/>
    <n v="85.83"/>
    <n v="8.26"/>
    <n v="104"/>
    <x v="1"/>
    <n v="7.78"/>
    <x v="8"/>
    <n v="2024"/>
    <n v="667.75739999999996"/>
    <s v="Weekday"/>
  </r>
  <r>
    <s v="M1677"/>
    <x v="2"/>
    <s v="Industrial"/>
    <x v="310"/>
    <n v="72.38"/>
    <n v="3.67"/>
    <n v="46"/>
    <x v="0"/>
    <n v="4.1500000000000004"/>
    <x v="6"/>
    <n v="2024"/>
    <n v="300.37700000000001"/>
    <s v="Weekday"/>
  </r>
  <r>
    <s v="M1678"/>
    <x v="2"/>
    <s v="Industrial"/>
    <x v="127"/>
    <n v="70.849999999999994"/>
    <n v="7.46"/>
    <n v="105"/>
    <x v="0"/>
    <n v="8.08"/>
    <x v="4"/>
    <n v="2024"/>
    <n v="572.46799999999996"/>
    <s v="Weekday"/>
  </r>
  <r>
    <s v="M1679"/>
    <x v="1"/>
    <s v="Industrial"/>
    <x v="231"/>
    <n v="87.92"/>
    <n v="9.09"/>
    <n v="64"/>
    <x v="0"/>
    <n v="7.34"/>
    <x v="0"/>
    <n v="2024"/>
    <n v="645.33280000000002"/>
    <s v="Weekday"/>
  </r>
  <r>
    <s v="M1680"/>
    <x v="1"/>
    <s v="Commercial"/>
    <x v="311"/>
    <n v="19.46"/>
    <n v="3.37"/>
    <n v="70"/>
    <x v="1"/>
    <n v="5.85"/>
    <x v="4"/>
    <n v="2024"/>
    <n v="113.84099999999999"/>
    <s v="Weekday"/>
  </r>
  <r>
    <s v="M1681"/>
    <x v="1"/>
    <s v="Industrial"/>
    <x v="259"/>
    <n v="15.21"/>
    <n v="1.76"/>
    <n v="43"/>
    <x v="1"/>
    <n v="7.1"/>
    <x v="2"/>
    <n v="2024"/>
    <n v="107.991"/>
    <s v="Weekday"/>
  </r>
  <r>
    <s v="M1682"/>
    <x v="1"/>
    <s v="Residential"/>
    <x v="29"/>
    <n v="56.31"/>
    <n v="7.22"/>
    <n v="73"/>
    <x v="0"/>
    <n v="4.1100000000000003"/>
    <x v="8"/>
    <n v="2024"/>
    <n v="231.43410000000003"/>
    <s v="Weekday"/>
  </r>
  <r>
    <s v="M1683"/>
    <x v="0"/>
    <s v="Residential"/>
    <x v="291"/>
    <n v="52.44"/>
    <n v="4.67"/>
    <n v="102"/>
    <x v="1"/>
    <n v="7.95"/>
    <x v="10"/>
    <n v="2024"/>
    <n v="416.89799999999997"/>
    <s v="Weekday"/>
  </r>
  <r>
    <s v="M1684"/>
    <x v="1"/>
    <s v="Commercial"/>
    <x v="210"/>
    <n v="83.85"/>
    <n v="2.02"/>
    <n v="43"/>
    <x v="1"/>
    <n v="5.38"/>
    <x v="9"/>
    <n v="2024"/>
    <n v="451.11299999999994"/>
    <s v="Weekday"/>
  </r>
  <r>
    <s v="M1685"/>
    <x v="1"/>
    <s v="Industrial"/>
    <x v="248"/>
    <n v="12.4"/>
    <n v="6.41"/>
    <n v="17"/>
    <x v="1"/>
    <n v="4.4400000000000004"/>
    <x v="8"/>
    <n v="2024"/>
    <n v="55.056000000000004"/>
    <s v="Weekend"/>
  </r>
  <r>
    <s v="M1686"/>
    <x v="2"/>
    <s v="Commercial"/>
    <x v="68"/>
    <n v="61.9"/>
    <n v="6.99"/>
    <n v="3"/>
    <x v="0"/>
    <n v="3.39"/>
    <x v="8"/>
    <n v="2024"/>
    <n v="209.84100000000001"/>
    <s v="Weekend"/>
  </r>
  <r>
    <s v="M1687"/>
    <x v="2"/>
    <s v="Industrial"/>
    <x v="93"/>
    <n v="99.59"/>
    <n v="3.29"/>
    <n v="72"/>
    <x v="1"/>
    <n v="7.38"/>
    <x v="9"/>
    <n v="2024"/>
    <n v="734.9742"/>
    <s v="Weekday"/>
  </r>
  <r>
    <s v="M1688"/>
    <x v="0"/>
    <s v="Commercial"/>
    <x v="312"/>
    <n v="18.8"/>
    <n v="3"/>
    <n v="51"/>
    <x v="0"/>
    <n v="8.69"/>
    <x v="1"/>
    <n v="2024"/>
    <n v="163.37199999999999"/>
    <s v="Weekday"/>
  </r>
  <r>
    <s v="M1689"/>
    <x v="2"/>
    <s v="Residential"/>
    <x v="17"/>
    <n v="45.32"/>
    <n v="9.69"/>
    <n v="33"/>
    <x v="0"/>
    <n v="9.3000000000000007"/>
    <x v="5"/>
    <n v="2024"/>
    <n v="421.47600000000006"/>
    <s v="Weekday"/>
  </r>
  <r>
    <s v="M1690"/>
    <x v="1"/>
    <s v="Industrial"/>
    <x v="313"/>
    <n v="29.55"/>
    <n v="5.6"/>
    <n v="58"/>
    <x v="0"/>
    <n v="6.8"/>
    <x v="7"/>
    <n v="2024"/>
    <n v="200.94"/>
    <s v="Weekday"/>
  </r>
  <r>
    <s v="M1691"/>
    <x v="1"/>
    <s v="Industrial"/>
    <x v="308"/>
    <n v="20.38"/>
    <n v="9.14"/>
    <n v="39"/>
    <x v="1"/>
    <n v="5.43"/>
    <x v="8"/>
    <n v="2024"/>
    <n v="110.6634"/>
    <s v="Weekday"/>
  </r>
  <r>
    <s v="M1692"/>
    <x v="2"/>
    <s v="Industrial"/>
    <x v="57"/>
    <n v="82.61"/>
    <n v="5.63"/>
    <n v="25"/>
    <x v="0"/>
    <n v="5.32"/>
    <x v="11"/>
    <n v="2024"/>
    <n v="439.48520000000002"/>
    <s v="Weekday"/>
  </r>
  <r>
    <s v="M1693"/>
    <x v="1"/>
    <s v="Residential"/>
    <x v="314"/>
    <n v="97.51"/>
    <n v="8.6199999999999992"/>
    <n v="3"/>
    <x v="0"/>
    <n v="7.18"/>
    <x v="1"/>
    <n v="2024"/>
    <n v="700.12180000000001"/>
    <s v="Weekend"/>
  </r>
  <r>
    <s v="M1694"/>
    <x v="2"/>
    <s v="Residential"/>
    <x v="315"/>
    <n v="10.69"/>
    <n v="1.78"/>
    <n v="44"/>
    <x v="1"/>
    <n v="5.26"/>
    <x v="7"/>
    <n v="2024"/>
    <n v="56.229399999999998"/>
    <s v="Weekday"/>
  </r>
  <r>
    <s v="M1695"/>
    <x v="0"/>
    <s v="Residential"/>
    <x v="316"/>
    <n v="74.510000000000005"/>
    <n v="3.57"/>
    <n v="13"/>
    <x v="0"/>
    <n v="9.89"/>
    <x v="9"/>
    <n v="2024"/>
    <n v="736.90390000000014"/>
    <s v="Weekday"/>
  </r>
  <r>
    <s v="M1696"/>
    <x v="0"/>
    <s v="Commercial"/>
    <x v="202"/>
    <n v="50.65"/>
    <n v="9.33"/>
    <n v="70"/>
    <x v="1"/>
    <n v="7.95"/>
    <x v="11"/>
    <n v="2024"/>
    <n v="402.66750000000002"/>
    <s v="Weekday"/>
  </r>
  <r>
    <s v="M1697"/>
    <x v="2"/>
    <s v="Industrial"/>
    <x v="122"/>
    <n v="18.68"/>
    <n v="5.93"/>
    <n v="80"/>
    <x v="1"/>
    <n v="6.63"/>
    <x v="4"/>
    <n v="2024"/>
    <n v="123.8484"/>
    <s v="Weekday"/>
  </r>
  <r>
    <s v="M1698"/>
    <x v="2"/>
    <s v="Commercial"/>
    <x v="281"/>
    <n v="23.6"/>
    <n v="5.27"/>
    <n v="69"/>
    <x v="0"/>
    <n v="8.0500000000000007"/>
    <x v="11"/>
    <n v="2024"/>
    <n v="189.98000000000002"/>
    <s v="Weekday"/>
  </r>
  <r>
    <s v="M1699"/>
    <x v="1"/>
    <s v="Residential"/>
    <x v="317"/>
    <n v="46.26"/>
    <n v="7.78"/>
    <n v="1"/>
    <x v="1"/>
    <n v="6.44"/>
    <x v="2"/>
    <n v="2024"/>
    <n v="297.9144"/>
    <s v="Weekend"/>
  </r>
  <r>
    <s v="M1700"/>
    <x v="1"/>
    <s v="Commercial"/>
    <x v="36"/>
    <n v="42.12"/>
    <n v="5.95"/>
    <n v="53"/>
    <x v="1"/>
    <n v="3.33"/>
    <x v="2"/>
    <n v="2024"/>
    <n v="140.25960000000001"/>
    <s v="Weekday"/>
  </r>
  <r>
    <s v="M1701"/>
    <x v="2"/>
    <s v="Commercial"/>
    <x v="67"/>
    <n v="93.07"/>
    <n v="9.52"/>
    <n v="66"/>
    <x v="0"/>
    <n v="6.67"/>
    <x v="4"/>
    <n v="2024"/>
    <n v="620.77689999999996"/>
    <s v="Weekend"/>
  </r>
  <r>
    <s v="M1702"/>
    <x v="0"/>
    <s v="Industrial"/>
    <x v="242"/>
    <n v="46.79"/>
    <n v="9.89"/>
    <n v="106"/>
    <x v="1"/>
    <n v="8.73"/>
    <x v="2"/>
    <n v="2024"/>
    <n v="408.47669999999999"/>
    <s v="Weekday"/>
  </r>
  <r>
    <s v="M1703"/>
    <x v="2"/>
    <s v="Industrial"/>
    <x v="318"/>
    <n v="50.55"/>
    <n v="3.59"/>
    <n v="93"/>
    <x v="1"/>
    <n v="9.2799999999999994"/>
    <x v="10"/>
    <n v="2024"/>
    <n v="469.10399999999993"/>
    <s v="Weekday"/>
  </r>
  <r>
    <s v="M1704"/>
    <x v="1"/>
    <s v="Residential"/>
    <x v="319"/>
    <n v="57"/>
    <n v="6.77"/>
    <n v="37"/>
    <x v="1"/>
    <n v="3.6"/>
    <x v="10"/>
    <n v="2024"/>
    <n v="205.20000000000002"/>
    <s v="Weekday"/>
  </r>
  <r>
    <s v="M1705"/>
    <x v="1"/>
    <s v="Residential"/>
    <x v="71"/>
    <n v="80.430000000000007"/>
    <n v="5.05"/>
    <n v="24"/>
    <x v="1"/>
    <n v="3.46"/>
    <x v="0"/>
    <n v="2024"/>
    <n v="278.2878"/>
    <s v="Weekday"/>
  </r>
  <r>
    <s v="M1706"/>
    <x v="1"/>
    <s v="Industrial"/>
    <x v="19"/>
    <n v="38.36"/>
    <n v="4.41"/>
    <n v="56"/>
    <x v="1"/>
    <n v="3.05"/>
    <x v="3"/>
    <n v="2024"/>
    <n v="116.99799999999999"/>
    <s v="Weekday"/>
  </r>
  <r>
    <s v="M1707"/>
    <x v="1"/>
    <s v="Residential"/>
    <x v="136"/>
    <n v="16.079999999999998"/>
    <n v="4.75"/>
    <n v="22"/>
    <x v="1"/>
    <n v="4.96"/>
    <x v="11"/>
    <n v="2024"/>
    <n v="79.756799999999984"/>
    <s v="Weekend"/>
  </r>
  <r>
    <s v="M1708"/>
    <x v="1"/>
    <s v="Commercial"/>
    <x v="298"/>
    <n v="88.84"/>
    <n v="6.42"/>
    <n v="78"/>
    <x v="0"/>
    <n v="7.52"/>
    <x v="1"/>
    <n v="2024"/>
    <n v="668.07679999999993"/>
    <s v="Weekday"/>
  </r>
  <r>
    <s v="M1709"/>
    <x v="1"/>
    <s v="Commercial"/>
    <x v="77"/>
    <n v="98.76"/>
    <n v="8.66"/>
    <n v="77"/>
    <x v="1"/>
    <n v="3.18"/>
    <x v="2"/>
    <n v="2024"/>
    <n v="314.05680000000001"/>
    <s v="Weekday"/>
  </r>
  <r>
    <s v="M1710"/>
    <x v="2"/>
    <s v="Industrial"/>
    <x v="123"/>
    <n v="90.1"/>
    <n v="5.31"/>
    <n v="73"/>
    <x v="0"/>
    <n v="4.49"/>
    <x v="5"/>
    <n v="2024"/>
    <n v="404.54899999999998"/>
    <s v="Weekday"/>
  </r>
  <r>
    <s v="M1711"/>
    <x v="0"/>
    <s v="Industrial"/>
    <x v="320"/>
    <n v="47.37"/>
    <n v="3.74"/>
    <n v="110"/>
    <x v="1"/>
    <n v="8.26"/>
    <x v="1"/>
    <n v="2024"/>
    <n v="391.27619999999996"/>
    <s v="Weekday"/>
  </r>
  <r>
    <s v="M1712"/>
    <x v="0"/>
    <s v="Residential"/>
    <x v="250"/>
    <n v="54.95"/>
    <n v="9"/>
    <n v="106"/>
    <x v="1"/>
    <n v="5.66"/>
    <x v="10"/>
    <n v="2024"/>
    <n v="311.017"/>
    <s v="Weekday"/>
  </r>
  <r>
    <s v="M1713"/>
    <x v="2"/>
    <s v="Industrial"/>
    <x v="42"/>
    <n v="62.76"/>
    <n v="6.88"/>
    <n v="2"/>
    <x v="1"/>
    <n v="8.8000000000000007"/>
    <x v="1"/>
    <n v="2024"/>
    <n v="552.28800000000001"/>
    <s v="Weekend"/>
  </r>
  <r>
    <s v="M1714"/>
    <x v="1"/>
    <s v="Industrial"/>
    <x v="237"/>
    <n v="11.46"/>
    <n v="1.05"/>
    <n v="83"/>
    <x v="0"/>
    <n v="8.64"/>
    <x v="11"/>
    <n v="2024"/>
    <n v="99.014400000000009"/>
    <s v="Weekend"/>
  </r>
  <r>
    <s v="M1715"/>
    <x v="2"/>
    <s v="Residential"/>
    <x v="179"/>
    <n v="95.36"/>
    <n v="7.67"/>
    <n v="36"/>
    <x v="1"/>
    <n v="9.67"/>
    <x v="8"/>
    <n v="2024"/>
    <n v="922.13120000000004"/>
    <s v="Weekday"/>
  </r>
  <r>
    <s v="M1716"/>
    <x v="2"/>
    <s v="Commercial"/>
    <x v="126"/>
    <n v="10.36"/>
    <n v="1.08"/>
    <n v="94"/>
    <x v="1"/>
    <n v="8.1300000000000008"/>
    <x v="10"/>
    <n v="2024"/>
    <n v="84.226799999999997"/>
    <s v="Weekend"/>
  </r>
  <r>
    <s v="M1717"/>
    <x v="0"/>
    <s v="Commercial"/>
    <x v="56"/>
    <n v="61.98"/>
    <n v="3.68"/>
    <n v="68"/>
    <x v="0"/>
    <n v="8.5500000000000007"/>
    <x v="9"/>
    <n v="2024"/>
    <n v="529.92899999999997"/>
    <s v="Weekday"/>
  </r>
  <r>
    <s v="M1718"/>
    <x v="1"/>
    <s v="Residential"/>
    <x v="121"/>
    <n v="39.31"/>
    <n v="3.56"/>
    <n v="81"/>
    <x v="0"/>
    <n v="8.57"/>
    <x v="6"/>
    <n v="2024"/>
    <n v="336.88670000000002"/>
    <s v="Weekday"/>
  </r>
  <r>
    <s v="M1719"/>
    <x v="2"/>
    <s v="Industrial"/>
    <x v="222"/>
    <n v="49.37"/>
    <n v="4.5199999999999996"/>
    <n v="64"/>
    <x v="1"/>
    <n v="5.33"/>
    <x v="1"/>
    <n v="2024"/>
    <n v="263.14209999999997"/>
    <s v="Weekend"/>
  </r>
  <r>
    <s v="M1720"/>
    <x v="2"/>
    <s v="Commercial"/>
    <x v="96"/>
    <n v="87.89"/>
    <n v="7.76"/>
    <n v="116"/>
    <x v="0"/>
    <n v="9.3800000000000008"/>
    <x v="6"/>
    <n v="2024"/>
    <n v="824.40820000000008"/>
    <s v="Weekday"/>
  </r>
  <r>
    <s v="M1721"/>
    <x v="0"/>
    <s v="Commercial"/>
    <x v="306"/>
    <n v="51.29"/>
    <n v="2.4300000000000002"/>
    <n v="19"/>
    <x v="0"/>
    <n v="6.38"/>
    <x v="1"/>
    <n v="2024"/>
    <n v="327.23019999999997"/>
    <s v="Weekend"/>
  </r>
  <r>
    <s v="M1722"/>
    <x v="2"/>
    <s v="Industrial"/>
    <x v="111"/>
    <n v="63.46"/>
    <n v="6.97"/>
    <n v="87"/>
    <x v="1"/>
    <n v="7.46"/>
    <x v="0"/>
    <n v="2024"/>
    <n v="473.41160000000002"/>
    <s v="Weekday"/>
  </r>
  <r>
    <s v="M1723"/>
    <x v="2"/>
    <s v="Residential"/>
    <x v="70"/>
    <n v="36.29"/>
    <n v="8.07"/>
    <n v="57"/>
    <x v="1"/>
    <n v="7.43"/>
    <x v="4"/>
    <n v="2024"/>
    <n v="269.63470000000001"/>
    <s v="Weekend"/>
  </r>
  <r>
    <s v="M1724"/>
    <x v="0"/>
    <s v="Industrial"/>
    <x v="65"/>
    <n v="48.45"/>
    <n v="1.07"/>
    <n v="10"/>
    <x v="0"/>
    <n v="9.84"/>
    <x v="1"/>
    <n v="2024"/>
    <n v="476.74800000000005"/>
    <s v="Weekday"/>
  </r>
  <r>
    <s v="M1725"/>
    <x v="2"/>
    <s v="Residential"/>
    <x v="102"/>
    <n v="44.32"/>
    <n v="1.6"/>
    <n v="49"/>
    <x v="0"/>
    <n v="8.39"/>
    <x v="9"/>
    <n v="2024"/>
    <n v="371.84480000000002"/>
    <s v="Weekday"/>
  </r>
  <r>
    <s v="M1726"/>
    <x v="2"/>
    <s v="Industrial"/>
    <x v="321"/>
    <n v="20.36"/>
    <n v="6.31"/>
    <n v="25"/>
    <x v="1"/>
    <n v="7.04"/>
    <x v="5"/>
    <n v="2024"/>
    <n v="143.33439999999999"/>
    <s v="Weekday"/>
  </r>
  <r>
    <s v="M1727"/>
    <x v="0"/>
    <s v="Commercial"/>
    <x v="77"/>
    <n v="77.03"/>
    <n v="5.82"/>
    <n v="13"/>
    <x v="1"/>
    <n v="8.4"/>
    <x v="2"/>
    <n v="2024"/>
    <n v="647.05200000000002"/>
    <s v="Weekday"/>
  </r>
  <r>
    <s v="M1728"/>
    <x v="0"/>
    <s v="Residential"/>
    <x v="58"/>
    <n v="62.98"/>
    <n v="6.35"/>
    <n v="31"/>
    <x v="0"/>
    <n v="5.14"/>
    <x v="5"/>
    <n v="2024"/>
    <n v="323.71719999999999"/>
    <s v="Weekday"/>
  </r>
  <r>
    <s v="M1729"/>
    <x v="1"/>
    <s v="Industrial"/>
    <x v="254"/>
    <n v="5.15"/>
    <n v="2.6"/>
    <n v="96"/>
    <x v="0"/>
    <n v="6.2"/>
    <x v="2"/>
    <n v="2024"/>
    <n v="31.930000000000003"/>
    <s v="Weekend"/>
  </r>
  <r>
    <s v="M1730"/>
    <x v="1"/>
    <s v="Industrial"/>
    <x v="23"/>
    <n v="14.27"/>
    <n v="8.32"/>
    <n v="56"/>
    <x v="1"/>
    <n v="3.17"/>
    <x v="4"/>
    <n v="2024"/>
    <n v="45.235900000000001"/>
    <s v="Weekend"/>
  </r>
  <r>
    <s v="M1731"/>
    <x v="2"/>
    <s v="Commercial"/>
    <x v="322"/>
    <n v="52.17"/>
    <n v="9.6"/>
    <n v="18"/>
    <x v="1"/>
    <n v="4.38"/>
    <x v="6"/>
    <n v="2024"/>
    <n v="228.50460000000001"/>
    <s v="Weekday"/>
  </r>
  <r>
    <s v="M1732"/>
    <x v="0"/>
    <s v="Commercial"/>
    <x v="50"/>
    <n v="69.48"/>
    <n v="2.15"/>
    <n v="64"/>
    <x v="1"/>
    <n v="3.89"/>
    <x v="7"/>
    <n v="2024"/>
    <n v="270.27720000000005"/>
    <s v="Weekday"/>
  </r>
  <r>
    <s v="M1733"/>
    <x v="2"/>
    <s v="Commercial"/>
    <x v="191"/>
    <n v="84.24"/>
    <n v="4.58"/>
    <n v="94"/>
    <x v="1"/>
    <n v="7.56"/>
    <x v="0"/>
    <n v="2024"/>
    <n v="636.85439999999994"/>
    <s v="Weekday"/>
  </r>
  <r>
    <s v="M1734"/>
    <x v="2"/>
    <s v="Commercial"/>
    <x v="106"/>
    <n v="73.94"/>
    <n v="3.02"/>
    <n v="10"/>
    <x v="0"/>
    <n v="5.46"/>
    <x v="3"/>
    <n v="2024"/>
    <n v="403.7124"/>
    <s v="Weekday"/>
  </r>
  <r>
    <s v="M1735"/>
    <x v="2"/>
    <s v="Residential"/>
    <x v="288"/>
    <n v="38.78"/>
    <n v="4.59"/>
    <n v="107"/>
    <x v="0"/>
    <n v="7.95"/>
    <x v="7"/>
    <n v="2024"/>
    <n v="308.30099999999999"/>
    <s v="Weekday"/>
  </r>
  <r>
    <s v="M1736"/>
    <x v="1"/>
    <s v="Residential"/>
    <x v="299"/>
    <n v="29.81"/>
    <n v="6.96"/>
    <n v="24"/>
    <x v="1"/>
    <n v="9"/>
    <x v="6"/>
    <n v="2024"/>
    <n v="268.28999999999996"/>
    <s v="Weekend"/>
  </r>
  <r>
    <s v="M1737"/>
    <x v="1"/>
    <s v="Residential"/>
    <x v="14"/>
    <n v="90.77"/>
    <n v="3.2"/>
    <n v="55"/>
    <x v="0"/>
    <n v="4.45"/>
    <x v="1"/>
    <n v="2024"/>
    <n v="403.92649999999998"/>
    <s v="Weekday"/>
  </r>
  <r>
    <s v="M1738"/>
    <x v="2"/>
    <s v="Industrial"/>
    <x v="52"/>
    <n v="59.92"/>
    <n v="4.0199999999999996"/>
    <n v="10"/>
    <x v="0"/>
    <n v="4.8600000000000003"/>
    <x v="5"/>
    <n v="2024"/>
    <n v="291.21120000000002"/>
    <s v="Weekday"/>
  </r>
  <r>
    <s v="M1739"/>
    <x v="0"/>
    <s v="Commercial"/>
    <x v="207"/>
    <n v="92.69"/>
    <n v="4.4400000000000004"/>
    <n v="61"/>
    <x v="1"/>
    <n v="7.22"/>
    <x v="9"/>
    <n v="2024"/>
    <n v="669.22179999999992"/>
    <s v="Weekday"/>
  </r>
  <r>
    <s v="M1740"/>
    <x v="2"/>
    <s v="Commercial"/>
    <x v="323"/>
    <n v="34.14"/>
    <n v="5.41"/>
    <n v="22"/>
    <x v="1"/>
    <n v="6.31"/>
    <x v="8"/>
    <n v="2024"/>
    <n v="215.42339999999999"/>
    <s v="Weekday"/>
  </r>
  <r>
    <s v="M1741"/>
    <x v="1"/>
    <s v="Commercial"/>
    <x v="151"/>
    <n v="86.51"/>
    <n v="9.4499999999999993"/>
    <n v="60"/>
    <x v="1"/>
    <n v="8.6999999999999993"/>
    <x v="11"/>
    <n v="2024"/>
    <n v="752.63699999999994"/>
    <s v="Weekday"/>
  </r>
  <r>
    <s v="M1742"/>
    <x v="0"/>
    <s v="Residential"/>
    <x v="324"/>
    <n v="70.31"/>
    <n v="1.19"/>
    <n v="104"/>
    <x v="1"/>
    <n v="9.9700000000000006"/>
    <x v="7"/>
    <n v="2024"/>
    <n v="700.99070000000006"/>
    <s v="Weekend"/>
  </r>
  <r>
    <s v="M1743"/>
    <x v="1"/>
    <s v="Commercial"/>
    <x v="325"/>
    <n v="7.49"/>
    <n v="8.89"/>
    <n v="86"/>
    <x v="1"/>
    <n v="6.97"/>
    <x v="2"/>
    <n v="2024"/>
    <n v="52.205300000000001"/>
    <s v="Weekday"/>
  </r>
  <r>
    <s v="M1744"/>
    <x v="2"/>
    <s v="Industrial"/>
    <x v="281"/>
    <n v="96.73"/>
    <n v="1.1299999999999999"/>
    <n v="1"/>
    <x v="1"/>
    <n v="4.91"/>
    <x v="11"/>
    <n v="2024"/>
    <n v="474.94430000000006"/>
    <s v="Weekday"/>
  </r>
  <r>
    <s v="M1745"/>
    <x v="2"/>
    <s v="Residential"/>
    <x v="216"/>
    <n v="26.34"/>
    <n v="3.13"/>
    <n v="92"/>
    <x v="0"/>
    <n v="3.83"/>
    <x v="7"/>
    <n v="2024"/>
    <n v="100.8822"/>
    <s v="Weekday"/>
  </r>
  <r>
    <s v="M1746"/>
    <x v="2"/>
    <s v="Industrial"/>
    <x v="49"/>
    <n v="98.23"/>
    <n v="5.47"/>
    <n v="93"/>
    <x v="1"/>
    <n v="3.76"/>
    <x v="2"/>
    <n v="2024"/>
    <n v="369.34480000000002"/>
    <s v="Weekday"/>
  </r>
  <r>
    <s v="M1747"/>
    <x v="0"/>
    <s v="Commercial"/>
    <x v="245"/>
    <n v="32.840000000000003"/>
    <n v="4.42"/>
    <n v="34"/>
    <x v="0"/>
    <n v="4.5199999999999996"/>
    <x v="7"/>
    <n v="2024"/>
    <n v="148.43680000000001"/>
    <s v="Weekday"/>
  </r>
  <r>
    <s v="M1748"/>
    <x v="2"/>
    <s v="Residential"/>
    <x v="145"/>
    <n v="49.47"/>
    <n v="3.99"/>
    <n v="100"/>
    <x v="0"/>
    <n v="5.09"/>
    <x v="3"/>
    <n v="2024"/>
    <n v="251.80229999999997"/>
    <s v="Weekday"/>
  </r>
  <r>
    <s v="M1749"/>
    <x v="0"/>
    <s v="Industrial"/>
    <x v="235"/>
    <n v="25.35"/>
    <n v="5.13"/>
    <n v="72"/>
    <x v="1"/>
    <n v="6.96"/>
    <x v="5"/>
    <n v="2024"/>
    <n v="176.43600000000001"/>
    <s v="Weekday"/>
  </r>
  <r>
    <s v="M1750"/>
    <x v="0"/>
    <s v="Residential"/>
    <x v="190"/>
    <n v="76.94"/>
    <n v="6.59"/>
    <n v="98"/>
    <x v="1"/>
    <n v="4.7"/>
    <x v="10"/>
    <n v="2024"/>
    <n v="361.61799999999999"/>
    <s v="Weekday"/>
  </r>
  <r>
    <s v="M1751"/>
    <x v="0"/>
    <s v="Industrial"/>
    <x v="242"/>
    <n v="54.97"/>
    <n v="8.7799999999999994"/>
    <n v="56"/>
    <x v="1"/>
    <n v="9.25"/>
    <x v="2"/>
    <n v="2024"/>
    <n v="508.47249999999997"/>
    <s v="Weekday"/>
  </r>
  <r>
    <s v="M1752"/>
    <x v="0"/>
    <s v="Industrial"/>
    <x v="212"/>
    <n v="98.93"/>
    <n v="3.64"/>
    <n v="32"/>
    <x v="0"/>
    <n v="7.32"/>
    <x v="8"/>
    <n v="2024"/>
    <n v="724.16760000000011"/>
    <s v="Weekday"/>
  </r>
  <r>
    <s v="M1753"/>
    <x v="1"/>
    <s v="Residential"/>
    <x v="24"/>
    <n v="88.32"/>
    <n v="5.29"/>
    <n v="108"/>
    <x v="1"/>
    <n v="4.0599999999999996"/>
    <x v="6"/>
    <n v="2024"/>
    <n v="358.57919999999996"/>
    <s v="Weekend"/>
  </r>
  <r>
    <s v="M1754"/>
    <x v="1"/>
    <s v="Commercial"/>
    <x v="307"/>
    <n v="22.67"/>
    <n v="1.52"/>
    <n v="105"/>
    <x v="0"/>
    <n v="6.72"/>
    <x v="6"/>
    <n v="2024"/>
    <n v="152.3424"/>
    <s v="Weekday"/>
  </r>
  <r>
    <s v="M1755"/>
    <x v="2"/>
    <s v="Residential"/>
    <x v="321"/>
    <n v="80.95"/>
    <n v="9.91"/>
    <n v="49"/>
    <x v="0"/>
    <n v="9.27"/>
    <x v="5"/>
    <n v="2024"/>
    <n v="750.40649999999994"/>
    <s v="Weekday"/>
  </r>
  <r>
    <s v="M1756"/>
    <x v="0"/>
    <s v="Commercial"/>
    <x v="309"/>
    <n v="72.17"/>
    <n v="9.39"/>
    <n v="102"/>
    <x v="0"/>
    <n v="4.6399999999999997"/>
    <x v="7"/>
    <n v="2024"/>
    <n v="334.86879999999996"/>
    <s v="Weekday"/>
  </r>
  <r>
    <s v="M1757"/>
    <x v="1"/>
    <s v="Residential"/>
    <x v="106"/>
    <n v="31"/>
    <n v="5.47"/>
    <n v="10"/>
    <x v="0"/>
    <n v="6.01"/>
    <x v="3"/>
    <n v="2024"/>
    <n v="186.31"/>
    <s v="Weekday"/>
  </r>
  <r>
    <s v="M1758"/>
    <x v="2"/>
    <s v="Industrial"/>
    <x v="82"/>
    <n v="99.58"/>
    <n v="2.87"/>
    <n v="15"/>
    <x v="1"/>
    <n v="6.22"/>
    <x v="6"/>
    <n v="2024"/>
    <n v="619.38760000000002"/>
    <s v="Weekend"/>
  </r>
  <r>
    <s v="M1759"/>
    <x v="0"/>
    <s v="Commercial"/>
    <x v="157"/>
    <n v="51.6"/>
    <n v="2.64"/>
    <n v="114"/>
    <x v="1"/>
    <n v="4.74"/>
    <x v="4"/>
    <n v="2024"/>
    <n v="244.58400000000003"/>
    <s v="Weekday"/>
  </r>
  <r>
    <s v="M1760"/>
    <x v="1"/>
    <s v="Residential"/>
    <x v="201"/>
    <n v="50.92"/>
    <n v="7.44"/>
    <n v="48"/>
    <x v="1"/>
    <n v="8.57"/>
    <x v="7"/>
    <n v="2024"/>
    <n v="436.38440000000003"/>
    <s v="Weekend"/>
  </r>
  <r>
    <s v="M1761"/>
    <x v="0"/>
    <s v="Industrial"/>
    <x v="170"/>
    <n v="59.62"/>
    <n v="9.8000000000000007"/>
    <n v="34"/>
    <x v="1"/>
    <n v="9.73"/>
    <x v="8"/>
    <n v="2024"/>
    <n v="580.10260000000005"/>
    <s v="Weekend"/>
  </r>
  <r>
    <s v="M1762"/>
    <x v="1"/>
    <s v="Residential"/>
    <x v="229"/>
    <n v="21.18"/>
    <n v="3.4"/>
    <n v="29"/>
    <x v="1"/>
    <n v="3.39"/>
    <x v="2"/>
    <n v="2024"/>
    <n v="71.800200000000004"/>
    <s v="Weekday"/>
  </r>
  <r>
    <s v="M1763"/>
    <x v="1"/>
    <s v="Residential"/>
    <x v="254"/>
    <n v="30.94"/>
    <n v="7.9"/>
    <n v="67"/>
    <x v="1"/>
    <n v="9.25"/>
    <x v="2"/>
    <n v="2024"/>
    <n v="286.19499999999999"/>
    <s v="Weekend"/>
  </r>
  <r>
    <s v="M1764"/>
    <x v="2"/>
    <s v="Commercial"/>
    <x v="31"/>
    <n v="93.84"/>
    <n v="2.58"/>
    <n v="19"/>
    <x v="1"/>
    <n v="9.6999999999999993"/>
    <x v="2"/>
    <n v="2024"/>
    <n v="910.24799999999993"/>
    <s v="Weekday"/>
  </r>
  <r>
    <s v="M1765"/>
    <x v="1"/>
    <s v="Industrial"/>
    <x v="33"/>
    <n v="82.72"/>
    <n v="1.1599999999999999"/>
    <n v="55"/>
    <x v="0"/>
    <n v="3.22"/>
    <x v="3"/>
    <n v="2024"/>
    <n v="266.35840000000002"/>
    <s v="Weekend"/>
  </r>
  <r>
    <s v="M1766"/>
    <x v="1"/>
    <s v="Industrial"/>
    <x v="43"/>
    <n v="6.59"/>
    <n v="5.96"/>
    <n v="82"/>
    <x v="0"/>
    <n v="3.99"/>
    <x v="11"/>
    <n v="2024"/>
    <n v="26.2941"/>
    <s v="Weekday"/>
  </r>
  <r>
    <s v="M1767"/>
    <x v="0"/>
    <s v="Commercial"/>
    <x v="18"/>
    <n v="68.150000000000006"/>
    <n v="9.08"/>
    <n v="104"/>
    <x v="0"/>
    <n v="9.17"/>
    <x v="10"/>
    <n v="2024"/>
    <n v="624.93550000000005"/>
    <s v="Weekday"/>
  </r>
  <r>
    <s v="M1768"/>
    <x v="0"/>
    <s v="Commercial"/>
    <x v="107"/>
    <n v="9.82"/>
    <n v="4.2"/>
    <n v="26"/>
    <x v="0"/>
    <n v="7.59"/>
    <x v="10"/>
    <n v="2024"/>
    <n v="74.533799999999999"/>
    <s v="Weekday"/>
  </r>
  <r>
    <s v="M1769"/>
    <x v="1"/>
    <s v="Commercial"/>
    <x v="72"/>
    <n v="52.07"/>
    <n v="5.1100000000000003"/>
    <n v="69"/>
    <x v="1"/>
    <n v="4.25"/>
    <x v="9"/>
    <n v="2024"/>
    <n v="221.29750000000001"/>
    <s v="Weekend"/>
  </r>
  <r>
    <s v="M1770"/>
    <x v="2"/>
    <s v="Industrial"/>
    <x v="287"/>
    <n v="22.46"/>
    <n v="2.69"/>
    <n v="53"/>
    <x v="0"/>
    <n v="3.26"/>
    <x v="8"/>
    <n v="2024"/>
    <n v="73.2196"/>
    <s v="Weekend"/>
  </r>
  <r>
    <s v="M1771"/>
    <x v="1"/>
    <s v="Commercial"/>
    <x v="176"/>
    <n v="85.99"/>
    <n v="1.78"/>
    <n v="0"/>
    <x v="1"/>
    <n v="7.09"/>
    <x v="11"/>
    <n v="2024"/>
    <n v="609.66909999999996"/>
    <s v="Weekday"/>
  </r>
  <r>
    <s v="M1772"/>
    <x v="2"/>
    <s v="Industrial"/>
    <x v="14"/>
    <n v="9.1999999999999993"/>
    <n v="4.9400000000000004"/>
    <n v="16"/>
    <x v="0"/>
    <n v="3.52"/>
    <x v="1"/>
    <n v="2024"/>
    <n v="32.384"/>
    <s v="Weekday"/>
  </r>
  <r>
    <s v="M1773"/>
    <x v="2"/>
    <s v="Industrial"/>
    <x v="223"/>
    <n v="95.53"/>
    <n v="4.38"/>
    <n v="24"/>
    <x v="1"/>
    <n v="6.05"/>
    <x v="4"/>
    <n v="2024"/>
    <n v="577.95650000000001"/>
    <s v="Weekend"/>
  </r>
  <r>
    <s v="M1774"/>
    <x v="2"/>
    <s v="Commercial"/>
    <x v="208"/>
    <n v="41.71"/>
    <n v="6.38"/>
    <n v="56"/>
    <x v="0"/>
    <n v="8.31"/>
    <x v="8"/>
    <n v="2024"/>
    <n v="346.61010000000005"/>
    <s v="Weekday"/>
  </r>
  <r>
    <s v="M1775"/>
    <x v="0"/>
    <s v="Commercial"/>
    <x v="197"/>
    <n v="84.42"/>
    <n v="4.92"/>
    <n v="10"/>
    <x v="1"/>
    <n v="8.16"/>
    <x v="9"/>
    <n v="2024"/>
    <n v="688.86720000000003"/>
    <s v="Weekday"/>
  </r>
  <r>
    <s v="M1776"/>
    <x v="2"/>
    <s v="Commercial"/>
    <x v="156"/>
    <n v="93.23"/>
    <n v="7.2"/>
    <n v="39"/>
    <x v="0"/>
    <n v="9.3699999999999992"/>
    <x v="3"/>
    <n v="2024"/>
    <n v="873.56509999999992"/>
    <s v="Weekday"/>
  </r>
  <r>
    <s v="M1777"/>
    <x v="1"/>
    <s v="Residential"/>
    <x v="326"/>
    <n v="59.9"/>
    <n v="2.69"/>
    <n v="117"/>
    <x v="1"/>
    <n v="4.37"/>
    <x v="5"/>
    <n v="2024"/>
    <n v="261.76299999999998"/>
    <s v="Weekend"/>
  </r>
  <r>
    <s v="M1778"/>
    <x v="0"/>
    <s v="Commercial"/>
    <x v="208"/>
    <n v="23.41"/>
    <n v="1.99"/>
    <n v="114"/>
    <x v="0"/>
    <n v="9.84"/>
    <x v="8"/>
    <n v="2024"/>
    <n v="230.3544"/>
    <s v="Weekday"/>
  </r>
  <r>
    <s v="M1779"/>
    <x v="1"/>
    <s v="Residential"/>
    <x v="306"/>
    <n v="92.63"/>
    <n v="5.77"/>
    <n v="104"/>
    <x v="0"/>
    <n v="7.13"/>
    <x v="1"/>
    <n v="2024"/>
    <n v="660.45189999999991"/>
    <s v="Weekend"/>
  </r>
  <r>
    <s v="M1780"/>
    <x v="1"/>
    <s v="Industrial"/>
    <x v="58"/>
    <n v="47.57"/>
    <n v="2.12"/>
    <n v="24"/>
    <x v="0"/>
    <n v="4"/>
    <x v="5"/>
    <n v="2024"/>
    <n v="190.28"/>
    <s v="Weekday"/>
  </r>
  <r>
    <s v="M1781"/>
    <x v="1"/>
    <s v="Commercial"/>
    <x v="69"/>
    <n v="16.059999999999999"/>
    <n v="8.5500000000000007"/>
    <n v="87"/>
    <x v="1"/>
    <n v="5.7"/>
    <x v="7"/>
    <n v="2024"/>
    <n v="91.542000000000002"/>
    <s v="Weekday"/>
  </r>
  <r>
    <s v="M1782"/>
    <x v="1"/>
    <s v="Residential"/>
    <x v="304"/>
    <n v="33.409999999999997"/>
    <n v="9.7100000000000009"/>
    <n v="120"/>
    <x v="0"/>
    <n v="5.65"/>
    <x v="1"/>
    <n v="2024"/>
    <n v="188.76649999999998"/>
    <s v="Weekday"/>
  </r>
  <r>
    <s v="M1783"/>
    <x v="0"/>
    <s v="Residential"/>
    <x v="61"/>
    <n v="72.3"/>
    <n v="2.96"/>
    <n v="35"/>
    <x v="0"/>
    <n v="4.7300000000000004"/>
    <x v="3"/>
    <n v="2024"/>
    <n v="341.97900000000004"/>
    <s v="Weekday"/>
  </r>
  <r>
    <s v="M1784"/>
    <x v="0"/>
    <s v="Commercial"/>
    <x v="230"/>
    <n v="57.5"/>
    <n v="7.29"/>
    <n v="12"/>
    <x v="0"/>
    <n v="3.46"/>
    <x v="6"/>
    <n v="2024"/>
    <n v="198.95"/>
    <s v="Weekday"/>
  </r>
  <r>
    <s v="M1785"/>
    <x v="2"/>
    <s v="Industrial"/>
    <x v="187"/>
    <n v="24.31"/>
    <n v="1.51"/>
    <n v="105"/>
    <x v="1"/>
    <n v="8.6999999999999993"/>
    <x v="9"/>
    <n v="2024"/>
    <n v="211.49699999999999"/>
    <s v="Weekday"/>
  </r>
  <r>
    <s v="M1786"/>
    <x v="0"/>
    <s v="Industrial"/>
    <x v="184"/>
    <n v="58.32"/>
    <n v="9.0399999999999991"/>
    <n v="69"/>
    <x v="1"/>
    <n v="7.32"/>
    <x v="4"/>
    <n v="2024"/>
    <n v="426.9024"/>
    <s v="Weekday"/>
  </r>
  <r>
    <s v="M1787"/>
    <x v="0"/>
    <s v="Commercial"/>
    <x v="79"/>
    <n v="7.45"/>
    <n v="9.98"/>
    <n v="35"/>
    <x v="1"/>
    <n v="9.01"/>
    <x v="2"/>
    <n v="2024"/>
    <n v="67.124499999999998"/>
    <s v="Weekday"/>
  </r>
  <r>
    <s v="M1788"/>
    <x v="2"/>
    <s v="Industrial"/>
    <x v="278"/>
    <n v="68.44"/>
    <n v="6.03"/>
    <n v="71"/>
    <x v="1"/>
    <n v="3.17"/>
    <x v="6"/>
    <n v="2024"/>
    <n v="216.95479999999998"/>
    <s v="Weekday"/>
  </r>
  <r>
    <s v="M1789"/>
    <x v="1"/>
    <s v="Residential"/>
    <x v="199"/>
    <n v="65.290000000000006"/>
    <n v="9.35"/>
    <n v="19"/>
    <x v="1"/>
    <n v="6.79"/>
    <x v="0"/>
    <n v="2024"/>
    <n v="443.31910000000005"/>
    <s v="Weekday"/>
  </r>
  <r>
    <s v="M1790"/>
    <x v="0"/>
    <s v="Industrial"/>
    <x v="281"/>
    <n v="86.86"/>
    <n v="8.9499999999999993"/>
    <n v="42"/>
    <x v="1"/>
    <n v="4.53"/>
    <x v="11"/>
    <n v="2024"/>
    <n v="393.47579999999999"/>
    <s v="Weekday"/>
  </r>
  <r>
    <s v="M1791"/>
    <x v="1"/>
    <s v="Industrial"/>
    <x v="39"/>
    <n v="84.09"/>
    <n v="3.69"/>
    <n v="106"/>
    <x v="1"/>
    <n v="7.02"/>
    <x v="2"/>
    <n v="2024"/>
    <n v="590.31179999999995"/>
    <s v="Weekday"/>
  </r>
  <r>
    <s v="M1792"/>
    <x v="2"/>
    <s v="Industrial"/>
    <x v="265"/>
    <n v="65.260000000000005"/>
    <n v="7.35"/>
    <n v="82"/>
    <x v="1"/>
    <n v="8.19"/>
    <x v="4"/>
    <n v="2024"/>
    <n v="534.47940000000006"/>
    <s v="Weekend"/>
  </r>
  <r>
    <s v="M1793"/>
    <x v="0"/>
    <s v="Residential"/>
    <x v="55"/>
    <n v="45.9"/>
    <n v="4.0599999999999996"/>
    <n v="26"/>
    <x v="1"/>
    <n v="3.99"/>
    <x v="7"/>
    <n v="2024"/>
    <n v="183.14099999999999"/>
    <s v="Weekend"/>
  </r>
  <r>
    <s v="M1794"/>
    <x v="2"/>
    <s v="Commercial"/>
    <x v="94"/>
    <n v="90.6"/>
    <n v="9.14"/>
    <n v="45"/>
    <x v="0"/>
    <n v="3.77"/>
    <x v="10"/>
    <n v="2024"/>
    <n v="341.56199999999995"/>
    <s v="Weekday"/>
  </r>
  <r>
    <s v="M1795"/>
    <x v="1"/>
    <s v="Residential"/>
    <x v="308"/>
    <n v="6.03"/>
    <n v="1.86"/>
    <n v="57"/>
    <x v="0"/>
    <n v="8.44"/>
    <x v="8"/>
    <n v="2024"/>
    <n v="50.8932"/>
    <s v="Weekday"/>
  </r>
  <r>
    <s v="M1796"/>
    <x v="0"/>
    <s v="Industrial"/>
    <x v="275"/>
    <n v="85.81"/>
    <n v="9.08"/>
    <n v="66"/>
    <x v="1"/>
    <n v="7.73"/>
    <x v="11"/>
    <n v="2024"/>
    <n v="663.31130000000007"/>
    <s v="Weekend"/>
  </r>
  <r>
    <s v="M1797"/>
    <x v="1"/>
    <s v="Industrial"/>
    <x v="274"/>
    <n v="99.68"/>
    <n v="7.36"/>
    <n v="21"/>
    <x v="1"/>
    <n v="7.42"/>
    <x v="1"/>
    <n v="2024"/>
    <n v="739.62560000000008"/>
    <s v="Weekday"/>
  </r>
  <r>
    <s v="M1798"/>
    <x v="1"/>
    <s v="Commercial"/>
    <x v="41"/>
    <n v="99.58"/>
    <n v="4.6100000000000003"/>
    <n v="22"/>
    <x v="0"/>
    <n v="4.84"/>
    <x v="6"/>
    <n v="2024"/>
    <n v="481.96719999999999"/>
    <s v="Weekday"/>
  </r>
  <r>
    <s v="M1799"/>
    <x v="2"/>
    <s v="Industrial"/>
    <x v="115"/>
    <n v="89.99"/>
    <n v="5.34"/>
    <n v="117"/>
    <x v="1"/>
    <n v="8.2200000000000006"/>
    <x v="9"/>
    <n v="2024"/>
    <n v="739.71780000000001"/>
    <s v="Weekday"/>
  </r>
  <r>
    <s v="M1800"/>
    <x v="2"/>
    <s v="Industrial"/>
    <x v="90"/>
    <n v="22.34"/>
    <n v="8.01"/>
    <n v="117"/>
    <x v="1"/>
    <n v="9.51"/>
    <x v="4"/>
    <n v="2024"/>
    <n v="212.45339999999999"/>
    <s v="Weekday"/>
  </r>
  <r>
    <s v="M1801"/>
    <x v="0"/>
    <s v="Commercial"/>
    <x v="314"/>
    <n v="24.32"/>
    <n v="4.1500000000000004"/>
    <n v="114"/>
    <x v="1"/>
    <n v="3.53"/>
    <x v="1"/>
    <n v="2024"/>
    <n v="85.849599999999995"/>
    <s v="Weekend"/>
  </r>
  <r>
    <s v="M1802"/>
    <x v="0"/>
    <s v="Commercial"/>
    <x v="327"/>
    <n v="30.05"/>
    <n v="3.07"/>
    <n v="39"/>
    <x v="0"/>
    <n v="8.83"/>
    <x v="1"/>
    <n v="2024"/>
    <n v="265.3415"/>
    <s v="Weekday"/>
  </r>
  <r>
    <s v="M1803"/>
    <x v="0"/>
    <s v="Industrial"/>
    <x v="11"/>
    <n v="64.650000000000006"/>
    <n v="8.83"/>
    <n v="118"/>
    <x v="1"/>
    <n v="4.53"/>
    <x v="3"/>
    <n v="2024"/>
    <n v="292.86450000000002"/>
    <s v="Weekend"/>
  </r>
  <r>
    <s v="M1804"/>
    <x v="1"/>
    <s v="Industrial"/>
    <x v="104"/>
    <n v="20.43"/>
    <n v="8.51"/>
    <n v="43"/>
    <x v="0"/>
    <n v="5.05"/>
    <x v="11"/>
    <n v="2024"/>
    <n v="103.17149999999999"/>
    <s v="Weekday"/>
  </r>
  <r>
    <s v="M1805"/>
    <x v="2"/>
    <s v="Commercial"/>
    <x v="2"/>
    <n v="56.32"/>
    <n v="9.64"/>
    <n v="117"/>
    <x v="0"/>
    <n v="5.1100000000000003"/>
    <x v="0"/>
    <n v="2024"/>
    <n v="287.79520000000002"/>
    <s v="Weekend"/>
  </r>
  <r>
    <s v="M1806"/>
    <x v="0"/>
    <s v="Industrial"/>
    <x v="328"/>
    <n v="30.04"/>
    <n v="9.4700000000000006"/>
    <n v="7"/>
    <x v="0"/>
    <n v="6.86"/>
    <x v="6"/>
    <n v="2024"/>
    <n v="206.0744"/>
    <s v="Weekday"/>
  </r>
  <r>
    <s v="M1807"/>
    <x v="0"/>
    <s v="Residential"/>
    <x v="52"/>
    <n v="34.92"/>
    <n v="2.65"/>
    <n v="101"/>
    <x v="0"/>
    <n v="6.31"/>
    <x v="5"/>
    <n v="2024"/>
    <n v="220.34520000000001"/>
    <s v="Weekday"/>
  </r>
  <r>
    <s v="M1808"/>
    <x v="1"/>
    <s v="Residential"/>
    <x v="12"/>
    <n v="72.12"/>
    <n v="4.4400000000000004"/>
    <n v="45"/>
    <x v="0"/>
    <n v="4.16"/>
    <x v="7"/>
    <n v="2024"/>
    <n v="300.01920000000001"/>
    <s v="Weekday"/>
  </r>
  <r>
    <s v="M1809"/>
    <x v="2"/>
    <s v="Residential"/>
    <x v="105"/>
    <n v="18.09"/>
    <n v="7.28"/>
    <n v="29"/>
    <x v="0"/>
    <n v="9.17"/>
    <x v="8"/>
    <n v="2024"/>
    <n v="165.8853"/>
    <s v="Weekday"/>
  </r>
  <r>
    <s v="M1810"/>
    <x v="2"/>
    <s v="Industrial"/>
    <x v="280"/>
    <n v="97.92"/>
    <n v="8.48"/>
    <n v="117"/>
    <x v="1"/>
    <n v="5.25"/>
    <x v="5"/>
    <n v="2024"/>
    <n v="514.08000000000004"/>
    <s v="Weekday"/>
  </r>
  <r>
    <s v="M1811"/>
    <x v="2"/>
    <s v="Commercial"/>
    <x v="32"/>
    <n v="38.409999999999997"/>
    <n v="5.48"/>
    <n v="6"/>
    <x v="0"/>
    <n v="4.29"/>
    <x v="11"/>
    <n v="2024"/>
    <n v="164.77889999999999"/>
    <s v="Weekend"/>
  </r>
  <r>
    <s v="M1812"/>
    <x v="2"/>
    <s v="Residential"/>
    <x v="39"/>
    <n v="5.57"/>
    <n v="6.84"/>
    <n v="71"/>
    <x v="1"/>
    <n v="8.8699999999999992"/>
    <x v="2"/>
    <n v="2024"/>
    <n v="49.405899999999995"/>
    <s v="Weekday"/>
  </r>
  <r>
    <s v="M1813"/>
    <x v="0"/>
    <s v="Residential"/>
    <x v="113"/>
    <n v="17.72"/>
    <n v="6.57"/>
    <n v="112"/>
    <x v="1"/>
    <n v="6.78"/>
    <x v="11"/>
    <n v="2024"/>
    <n v="120.1416"/>
    <s v="Weekday"/>
  </r>
  <r>
    <s v="M1814"/>
    <x v="2"/>
    <s v="Commercial"/>
    <x v="205"/>
    <n v="83.56"/>
    <n v="1.1200000000000001"/>
    <n v="69"/>
    <x v="0"/>
    <n v="6.05"/>
    <x v="11"/>
    <n v="2024"/>
    <n v="505.53800000000001"/>
    <s v="Weekday"/>
  </r>
  <r>
    <s v="M1815"/>
    <x v="2"/>
    <s v="Commercial"/>
    <x v="207"/>
    <n v="30.08"/>
    <n v="7.61"/>
    <n v="11"/>
    <x v="1"/>
    <n v="5.36"/>
    <x v="9"/>
    <n v="2024"/>
    <n v="161.22880000000001"/>
    <s v="Weekday"/>
  </r>
  <r>
    <s v="M1816"/>
    <x v="2"/>
    <s v="Industrial"/>
    <x v="27"/>
    <n v="75.38"/>
    <n v="7.08"/>
    <n v="112"/>
    <x v="1"/>
    <n v="9.7200000000000006"/>
    <x v="2"/>
    <n v="2024"/>
    <n v="732.69360000000006"/>
    <s v="Weekday"/>
  </r>
  <r>
    <s v="M1817"/>
    <x v="2"/>
    <s v="Industrial"/>
    <x v="271"/>
    <n v="75.48"/>
    <n v="8.4600000000000009"/>
    <n v="103"/>
    <x v="1"/>
    <n v="3.81"/>
    <x v="9"/>
    <n v="2024"/>
    <n v="287.5788"/>
    <s v="Weekday"/>
  </r>
  <r>
    <s v="M1818"/>
    <x v="2"/>
    <s v="Commercial"/>
    <x v="170"/>
    <n v="14.07"/>
    <n v="1.26"/>
    <n v="22"/>
    <x v="1"/>
    <n v="7.99"/>
    <x v="8"/>
    <n v="2024"/>
    <n v="112.41930000000001"/>
    <s v="Weekend"/>
  </r>
  <r>
    <s v="M1819"/>
    <x v="1"/>
    <s v="Commercial"/>
    <x v="151"/>
    <n v="85.64"/>
    <n v="3.86"/>
    <n v="37"/>
    <x v="1"/>
    <n v="6.71"/>
    <x v="11"/>
    <n v="2024"/>
    <n v="574.64440000000002"/>
    <s v="Weekday"/>
  </r>
  <r>
    <s v="M1820"/>
    <x v="2"/>
    <s v="Commercial"/>
    <x v="63"/>
    <n v="59.36"/>
    <n v="8.42"/>
    <n v="69"/>
    <x v="0"/>
    <n v="4.4000000000000004"/>
    <x v="0"/>
    <n v="2024"/>
    <n v="261.18400000000003"/>
    <s v="Weekend"/>
  </r>
  <r>
    <s v="M1821"/>
    <x v="1"/>
    <s v="Commercial"/>
    <x v="66"/>
    <n v="92.55"/>
    <n v="5.22"/>
    <n v="79"/>
    <x v="0"/>
    <n v="8.77"/>
    <x v="4"/>
    <n v="2024"/>
    <n v="811.66349999999989"/>
    <s v="Weekday"/>
  </r>
  <r>
    <s v="M1822"/>
    <x v="2"/>
    <s v="Commercial"/>
    <x v="37"/>
    <n v="65.86"/>
    <n v="6.4"/>
    <n v="54"/>
    <x v="1"/>
    <n v="3.69"/>
    <x v="10"/>
    <n v="2024"/>
    <n v="243.02339999999998"/>
    <s v="Weekend"/>
  </r>
  <r>
    <s v="M1823"/>
    <x v="1"/>
    <s v="Residential"/>
    <x v="82"/>
    <n v="48.32"/>
    <n v="8.4"/>
    <n v="20"/>
    <x v="1"/>
    <n v="4.6399999999999997"/>
    <x v="6"/>
    <n v="2024"/>
    <n v="224.20479999999998"/>
    <s v="Weekend"/>
  </r>
  <r>
    <s v="M1824"/>
    <x v="0"/>
    <s v="Industrial"/>
    <x v="294"/>
    <n v="27.66"/>
    <n v="2.48"/>
    <n v="63"/>
    <x v="0"/>
    <n v="3.42"/>
    <x v="3"/>
    <n v="2024"/>
    <n v="94.597200000000001"/>
    <s v="Weekday"/>
  </r>
  <r>
    <s v="M1825"/>
    <x v="2"/>
    <s v="Industrial"/>
    <x v="329"/>
    <n v="32.64"/>
    <n v="8.4"/>
    <n v="54"/>
    <x v="0"/>
    <n v="8.9499999999999993"/>
    <x v="4"/>
    <n v="2024"/>
    <n v="292.12799999999999"/>
    <s v="Weekday"/>
  </r>
  <r>
    <s v="M1826"/>
    <x v="1"/>
    <s v="Residential"/>
    <x v="25"/>
    <n v="5.33"/>
    <n v="4.38"/>
    <n v="42"/>
    <x v="1"/>
    <n v="4.6900000000000004"/>
    <x v="6"/>
    <n v="2024"/>
    <n v="24.997700000000002"/>
    <s v="Weekday"/>
  </r>
  <r>
    <s v="M1827"/>
    <x v="0"/>
    <s v="Residential"/>
    <x v="250"/>
    <n v="41.28"/>
    <n v="9.89"/>
    <n v="38"/>
    <x v="0"/>
    <n v="8.66"/>
    <x v="10"/>
    <n v="2024"/>
    <n v="357.48480000000001"/>
    <s v="Weekday"/>
  </r>
  <r>
    <s v="M1828"/>
    <x v="2"/>
    <s v="Commercial"/>
    <x v="113"/>
    <n v="69.099999999999994"/>
    <n v="5.15"/>
    <n v="75"/>
    <x v="0"/>
    <n v="8.68"/>
    <x v="11"/>
    <n v="2024"/>
    <n v="599.7879999999999"/>
    <s v="Weekday"/>
  </r>
  <r>
    <s v="M1829"/>
    <x v="0"/>
    <s v="Industrial"/>
    <x v="263"/>
    <n v="95.64"/>
    <n v="2.56"/>
    <n v="70"/>
    <x v="1"/>
    <n v="8.7100000000000009"/>
    <x v="11"/>
    <n v="2024"/>
    <n v="833.02440000000013"/>
    <s v="Weekday"/>
  </r>
  <r>
    <s v="M1830"/>
    <x v="2"/>
    <s v="Residential"/>
    <x v="11"/>
    <n v="37.04"/>
    <n v="6.62"/>
    <n v="113"/>
    <x v="0"/>
    <n v="5.89"/>
    <x v="3"/>
    <n v="2024"/>
    <n v="218.16559999999998"/>
    <s v="Weekend"/>
  </r>
  <r>
    <s v="M1831"/>
    <x v="0"/>
    <s v="Industrial"/>
    <x v="177"/>
    <n v="23.34"/>
    <n v="4.29"/>
    <n v="119"/>
    <x v="0"/>
    <n v="5.47"/>
    <x v="0"/>
    <n v="2024"/>
    <n v="127.6698"/>
    <s v="Weekday"/>
  </r>
  <r>
    <s v="M1832"/>
    <x v="1"/>
    <s v="Residential"/>
    <x v="147"/>
    <n v="53.33"/>
    <n v="8.52"/>
    <n v="22"/>
    <x v="0"/>
    <n v="6.01"/>
    <x v="5"/>
    <n v="2024"/>
    <n v="320.51329999999996"/>
    <s v="Weekday"/>
  </r>
  <r>
    <s v="M1833"/>
    <x v="2"/>
    <s v="Residential"/>
    <x v="89"/>
    <n v="33.94"/>
    <n v="2.02"/>
    <n v="18"/>
    <x v="1"/>
    <n v="3.94"/>
    <x v="5"/>
    <n v="2024"/>
    <n v="133.72359999999998"/>
    <s v="Weekday"/>
  </r>
  <r>
    <s v="M1834"/>
    <x v="1"/>
    <s v="Residential"/>
    <x v="49"/>
    <n v="93.39"/>
    <n v="5"/>
    <n v="64"/>
    <x v="0"/>
    <n v="6.07"/>
    <x v="2"/>
    <n v="2024"/>
    <n v="566.87729999999999"/>
    <s v="Weekday"/>
  </r>
  <r>
    <s v="M1835"/>
    <x v="2"/>
    <s v="Commercial"/>
    <x v="71"/>
    <n v="71.900000000000006"/>
    <n v="8.39"/>
    <n v="101"/>
    <x v="1"/>
    <n v="8.7899999999999991"/>
    <x v="0"/>
    <n v="2024"/>
    <n v="632.00099999999998"/>
    <s v="Weekday"/>
  </r>
  <r>
    <s v="M1836"/>
    <x v="1"/>
    <s v="Commercial"/>
    <x v="18"/>
    <n v="82.17"/>
    <n v="5.14"/>
    <n v="91"/>
    <x v="0"/>
    <n v="5.74"/>
    <x v="10"/>
    <n v="2024"/>
    <n v="471.6558"/>
    <s v="Weekday"/>
  </r>
  <r>
    <s v="M1837"/>
    <x v="0"/>
    <s v="Residential"/>
    <x v="306"/>
    <n v="82.26"/>
    <n v="8.51"/>
    <n v="82"/>
    <x v="0"/>
    <n v="5.42"/>
    <x v="1"/>
    <n v="2024"/>
    <n v="445.8492"/>
    <s v="Weekend"/>
  </r>
  <r>
    <s v="M1838"/>
    <x v="1"/>
    <s v="Industrial"/>
    <x v="119"/>
    <n v="28.35"/>
    <n v="1.68"/>
    <n v="74"/>
    <x v="0"/>
    <n v="3.63"/>
    <x v="8"/>
    <n v="2024"/>
    <n v="102.9105"/>
    <s v="Weekday"/>
  </r>
  <r>
    <s v="M1839"/>
    <x v="2"/>
    <s v="Residential"/>
    <x v="86"/>
    <n v="89.56"/>
    <n v="4.6900000000000004"/>
    <n v="85"/>
    <x v="1"/>
    <n v="3.87"/>
    <x v="7"/>
    <n v="2024"/>
    <n v="346.59720000000004"/>
    <s v="Weekday"/>
  </r>
  <r>
    <s v="M1840"/>
    <x v="0"/>
    <s v="Industrial"/>
    <x v="179"/>
    <n v="25.31"/>
    <n v="8.2200000000000006"/>
    <n v="73"/>
    <x v="0"/>
    <n v="7.23"/>
    <x v="8"/>
    <n v="2024"/>
    <n v="182.9913"/>
    <s v="Weekday"/>
  </r>
  <r>
    <s v="M1841"/>
    <x v="2"/>
    <s v="Commercial"/>
    <x v="133"/>
    <n v="92.52"/>
    <n v="8.01"/>
    <n v="53"/>
    <x v="0"/>
    <n v="6.79"/>
    <x v="11"/>
    <n v="2024"/>
    <n v="628.21079999999995"/>
    <s v="Weekday"/>
  </r>
  <r>
    <s v="M1842"/>
    <x v="0"/>
    <s v="Industrial"/>
    <x v="172"/>
    <n v="78.48"/>
    <n v="5.63"/>
    <n v="40"/>
    <x v="1"/>
    <n v="4.8499999999999996"/>
    <x v="9"/>
    <n v="2024"/>
    <n v="380.62799999999999"/>
    <s v="Weekday"/>
  </r>
  <r>
    <s v="M1843"/>
    <x v="0"/>
    <s v="Commercial"/>
    <x v="318"/>
    <n v="60.05"/>
    <n v="9.8800000000000008"/>
    <n v="25"/>
    <x v="0"/>
    <n v="4.63"/>
    <x v="10"/>
    <n v="2024"/>
    <n v="278.03149999999999"/>
    <s v="Weekday"/>
  </r>
  <r>
    <s v="M1844"/>
    <x v="0"/>
    <s v="Residential"/>
    <x v="218"/>
    <n v="83.48"/>
    <n v="5.14"/>
    <n v="67"/>
    <x v="0"/>
    <n v="6.02"/>
    <x v="0"/>
    <n v="2024"/>
    <n v="502.5496"/>
    <s v="Weekend"/>
  </r>
  <r>
    <s v="M1845"/>
    <x v="0"/>
    <s v="Commercial"/>
    <x v="212"/>
    <n v="41.66"/>
    <n v="9.06"/>
    <n v="69"/>
    <x v="1"/>
    <n v="6.96"/>
    <x v="8"/>
    <n v="2024"/>
    <n v="289.95359999999999"/>
    <s v="Weekday"/>
  </r>
  <r>
    <s v="M1846"/>
    <x v="2"/>
    <s v="Commercial"/>
    <x v="209"/>
    <n v="66.510000000000005"/>
    <n v="4.88"/>
    <n v="1"/>
    <x v="0"/>
    <n v="8.9700000000000006"/>
    <x v="4"/>
    <n v="2024"/>
    <n v="596.5947000000001"/>
    <s v="Weekday"/>
  </r>
  <r>
    <s v="M1847"/>
    <x v="0"/>
    <s v="Industrial"/>
    <x v="30"/>
    <n v="59.63"/>
    <n v="1.04"/>
    <n v="55"/>
    <x v="0"/>
    <n v="6.48"/>
    <x v="0"/>
    <n v="2024"/>
    <n v="386.40240000000006"/>
    <s v="Weekday"/>
  </r>
  <r>
    <s v="M1848"/>
    <x v="0"/>
    <s v="Industrial"/>
    <x v="159"/>
    <n v="52.95"/>
    <n v="9.89"/>
    <n v="83"/>
    <x v="1"/>
    <n v="9.2100000000000009"/>
    <x v="0"/>
    <n v="2024"/>
    <n v="487.66950000000008"/>
    <s v="Weekday"/>
  </r>
  <r>
    <s v="M1849"/>
    <x v="1"/>
    <s v="Residential"/>
    <x v="71"/>
    <n v="25.43"/>
    <n v="9.11"/>
    <n v="61"/>
    <x v="1"/>
    <n v="7.41"/>
    <x v="0"/>
    <n v="2024"/>
    <n v="188.43629999999999"/>
    <s v="Weekday"/>
  </r>
  <r>
    <s v="M1850"/>
    <x v="2"/>
    <s v="Commercial"/>
    <x v="73"/>
    <n v="81.25"/>
    <n v="7.91"/>
    <n v="49"/>
    <x v="0"/>
    <n v="4.07"/>
    <x v="5"/>
    <n v="2024"/>
    <n v="330.6875"/>
    <s v="Weekday"/>
  </r>
  <r>
    <s v="M1851"/>
    <x v="0"/>
    <s v="Residential"/>
    <x v="77"/>
    <n v="94.96"/>
    <n v="1.95"/>
    <n v="4"/>
    <x v="1"/>
    <n v="5.61"/>
    <x v="2"/>
    <n v="2024"/>
    <n v="532.72559999999999"/>
    <s v="Weekday"/>
  </r>
  <r>
    <s v="M1852"/>
    <x v="0"/>
    <s v="Industrial"/>
    <x v="330"/>
    <n v="30.1"/>
    <n v="4.4400000000000004"/>
    <n v="64"/>
    <x v="0"/>
    <n v="4.47"/>
    <x v="3"/>
    <n v="2024"/>
    <n v="134.547"/>
    <s v="Weekday"/>
  </r>
  <r>
    <s v="M1853"/>
    <x v="1"/>
    <s v="Industrial"/>
    <x v="188"/>
    <n v="82.7"/>
    <n v="2.16"/>
    <n v="41"/>
    <x v="0"/>
    <n v="5.24"/>
    <x v="6"/>
    <n v="2024"/>
    <n v="433.34800000000001"/>
    <s v="Weekend"/>
  </r>
  <r>
    <s v="M1854"/>
    <x v="2"/>
    <s v="Commercial"/>
    <x v="128"/>
    <n v="62.66"/>
    <n v="1.53"/>
    <n v="35"/>
    <x v="1"/>
    <n v="9.81"/>
    <x v="11"/>
    <n v="2024"/>
    <n v="614.69460000000004"/>
    <s v="Weekday"/>
  </r>
  <r>
    <s v="M1855"/>
    <x v="1"/>
    <s v="Residential"/>
    <x v="329"/>
    <n v="46.24"/>
    <n v="5.79"/>
    <n v="96"/>
    <x v="0"/>
    <n v="4.21"/>
    <x v="4"/>
    <n v="2024"/>
    <n v="194.6704"/>
    <s v="Weekday"/>
  </r>
  <r>
    <s v="M1856"/>
    <x v="0"/>
    <s v="Residential"/>
    <x v="95"/>
    <n v="48.28"/>
    <n v="5.64"/>
    <n v="93"/>
    <x v="1"/>
    <n v="9.1999999999999993"/>
    <x v="3"/>
    <n v="2024"/>
    <n v="444.17599999999999"/>
    <s v="Weekend"/>
  </r>
  <r>
    <s v="M1857"/>
    <x v="2"/>
    <s v="Industrial"/>
    <x v="170"/>
    <n v="54.1"/>
    <n v="5.07"/>
    <n v="102"/>
    <x v="1"/>
    <n v="9.0299999999999994"/>
    <x v="8"/>
    <n v="2024"/>
    <n v="488.52299999999997"/>
    <s v="Weekend"/>
  </r>
  <r>
    <s v="M1858"/>
    <x v="0"/>
    <s v="Residential"/>
    <x v="331"/>
    <n v="41.02"/>
    <n v="4.63"/>
    <n v="108"/>
    <x v="1"/>
    <n v="4.5199999999999996"/>
    <x v="10"/>
    <n v="2024"/>
    <n v="185.41040000000001"/>
    <s v="Weekday"/>
  </r>
  <r>
    <s v="M1859"/>
    <x v="1"/>
    <s v="Residential"/>
    <x v="291"/>
    <n v="75.12"/>
    <n v="8.56"/>
    <n v="57"/>
    <x v="0"/>
    <n v="5.7"/>
    <x v="10"/>
    <n v="2024"/>
    <n v="428.18400000000003"/>
    <s v="Weekday"/>
  </r>
  <r>
    <s v="M1860"/>
    <x v="0"/>
    <s v="Residential"/>
    <x v="30"/>
    <n v="36.6"/>
    <n v="3.83"/>
    <n v="104"/>
    <x v="0"/>
    <n v="7.74"/>
    <x v="0"/>
    <n v="2024"/>
    <n v="283.28399999999999"/>
    <s v="Weekday"/>
  </r>
  <r>
    <s v="M1861"/>
    <x v="2"/>
    <s v="Industrial"/>
    <x v="292"/>
    <n v="10.58"/>
    <n v="9.41"/>
    <n v="37"/>
    <x v="1"/>
    <n v="7.48"/>
    <x v="9"/>
    <n v="2024"/>
    <n v="79.138400000000004"/>
    <s v="Weekday"/>
  </r>
  <r>
    <s v="M1862"/>
    <x v="0"/>
    <s v="Commercial"/>
    <x v="300"/>
    <n v="96.55"/>
    <n v="2.0299999999999998"/>
    <n v="97"/>
    <x v="0"/>
    <n v="6.9"/>
    <x v="11"/>
    <n v="2024"/>
    <n v="666.19500000000005"/>
    <s v="Weekend"/>
  </r>
  <r>
    <s v="M1863"/>
    <x v="1"/>
    <s v="Industrial"/>
    <x v="76"/>
    <n v="80.06"/>
    <n v="4.75"/>
    <n v="30"/>
    <x v="0"/>
    <n v="4.0199999999999996"/>
    <x v="7"/>
    <n v="2024"/>
    <n v="321.84119999999996"/>
    <s v="Weekend"/>
  </r>
  <r>
    <s v="M1864"/>
    <x v="2"/>
    <s v="Residential"/>
    <x v="182"/>
    <n v="78.88"/>
    <n v="4.8499999999999996"/>
    <n v="107"/>
    <x v="1"/>
    <n v="6.26"/>
    <x v="9"/>
    <n v="2024"/>
    <n v="493.78879999999998"/>
    <s v="Weekday"/>
  </r>
  <r>
    <s v="M1865"/>
    <x v="2"/>
    <s v="Industrial"/>
    <x v="217"/>
    <n v="85.57"/>
    <n v="9.3800000000000008"/>
    <n v="88"/>
    <x v="1"/>
    <n v="6.75"/>
    <x v="10"/>
    <n v="2024"/>
    <n v="577.59749999999997"/>
    <s v="Weekday"/>
  </r>
  <r>
    <s v="M1866"/>
    <x v="2"/>
    <s v="Residential"/>
    <x v="211"/>
    <n v="35.42"/>
    <n v="7.75"/>
    <n v="78"/>
    <x v="0"/>
    <n v="6.17"/>
    <x v="7"/>
    <n v="2024"/>
    <n v="218.54140000000001"/>
    <s v="Weekday"/>
  </r>
  <r>
    <s v="M1867"/>
    <x v="2"/>
    <s v="Industrial"/>
    <x v="162"/>
    <n v="12.57"/>
    <n v="9.69"/>
    <n v="10"/>
    <x v="1"/>
    <n v="5.91"/>
    <x v="7"/>
    <n v="2024"/>
    <n v="74.288700000000006"/>
    <s v="Weekday"/>
  </r>
  <r>
    <s v="M1868"/>
    <x v="0"/>
    <s v="Industrial"/>
    <x v="299"/>
    <n v="91.84"/>
    <n v="3.41"/>
    <n v="92"/>
    <x v="1"/>
    <n v="6.25"/>
    <x v="6"/>
    <n v="2024"/>
    <n v="574"/>
    <s v="Weekend"/>
  </r>
  <r>
    <s v="M1869"/>
    <x v="1"/>
    <s v="Industrial"/>
    <x v="247"/>
    <n v="12.6"/>
    <n v="3.81"/>
    <n v="106"/>
    <x v="1"/>
    <n v="8.2200000000000006"/>
    <x v="2"/>
    <n v="2024"/>
    <n v="103.572"/>
    <s v="Weekday"/>
  </r>
  <r>
    <s v="M1870"/>
    <x v="2"/>
    <s v="Residential"/>
    <x v="332"/>
    <n v="93.94"/>
    <n v="4.21"/>
    <n v="2"/>
    <x v="1"/>
    <n v="8.43"/>
    <x v="2"/>
    <n v="2024"/>
    <n v="791.91419999999994"/>
    <s v="Weekend"/>
  </r>
  <r>
    <s v="M1871"/>
    <x v="0"/>
    <s v="Residential"/>
    <x v="166"/>
    <n v="56.73"/>
    <n v="7.15"/>
    <n v="72"/>
    <x v="0"/>
    <n v="4.71"/>
    <x v="2"/>
    <n v="2024"/>
    <n v="267.19829999999996"/>
    <s v="Weekday"/>
  </r>
  <r>
    <s v="M1872"/>
    <x v="2"/>
    <s v="Commercial"/>
    <x v="143"/>
    <n v="45.35"/>
    <n v="9.92"/>
    <n v="96"/>
    <x v="0"/>
    <n v="5.58"/>
    <x v="5"/>
    <n v="2024"/>
    <n v="253.053"/>
    <s v="Weekday"/>
  </r>
  <r>
    <s v="M1873"/>
    <x v="1"/>
    <s v="Commercial"/>
    <x v="155"/>
    <n v="99.38"/>
    <n v="1.39"/>
    <n v="87"/>
    <x v="0"/>
    <n v="6.78"/>
    <x v="4"/>
    <n v="2024"/>
    <n v="673.79639999999995"/>
    <s v="Weekday"/>
  </r>
  <r>
    <s v="M1874"/>
    <x v="1"/>
    <s v="Industrial"/>
    <x v="37"/>
    <n v="95.38"/>
    <n v="3.48"/>
    <n v="120"/>
    <x v="0"/>
    <n v="3.31"/>
    <x v="10"/>
    <n v="2024"/>
    <n v="315.70779999999996"/>
    <s v="Weekend"/>
  </r>
  <r>
    <s v="M1875"/>
    <x v="2"/>
    <s v="Residential"/>
    <x v="121"/>
    <n v="68.77"/>
    <n v="9.39"/>
    <n v="43"/>
    <x v="0"/>
    <n v="8.1300000000000008"/>
    <x v="6"/>
    <n v="2024"/>
    <n v="559.1001"/>
    <s v="Weekday"/>
  </r>
  <r>
    <s v="M1876"/>
    <x v="0"/>
    <s v="Residential"/>
    <x v="333"/>
    <n v="61.73"/>
    <n v="3.41"/>
    <n v="66"/>
    <x v="1"/>
    <n v="8.7200000000000006"/>
    <x v="1"/>
    <n v="2024"/>
    <n v="538.28560000000004"/>
    <s v="Weekday"/>
  </r>
  <r>
    <s v="M1877"/>
    <x v="1"/>
    <s v="Industrial"/>
    <x v="236"/>
    <n v="38.090000000000003"/>
    <n v="2.6"/>
    <n v="10"/>
    <x v="0"/>
    <n v="6.56"/>
    <x v="1"/>
    <n v="2024"/>
    <n v="249.87040000000002"/>
    <s v="Weekday"/>
  </r>
  <r>
    <s v="M1878"/>
    <x v="2"/>
    <s v="Industrial"/>
    <x v="334"/>
    <n v="99.63"/>
    <n v="4.8099999999999996"/>
    <n v="0"/>
    <x v="1"/>
    <n v="4.3"/>
    <x v="5"/>
    <n v="2024"/>
    <n v="428.40899999999993"/>
    <s v="Weekday"/>
  </r>
  <r>
    <s v="M1879"/>
    <x v="1"/>
    <s v="Industrial"/>
    <x v="72"/>
    <n v="54.45"/>
    <n v="3.87"/>
    <n v="66"/>
    <x v="1"/>
    <n v="4.42"/>
    <x v="9"/>
    <n v="2024"/>
    <n v="240.66900000000001"/>
    <s v="Weekend"/>
  </r>
  <r>
    <s v="M1880"/>
    <x v="1"/>
    <s v="Residential"/>
    <x v="283"/>
    <n v="17.93"/>
    <n v="4.7300000000000004"/>
    <n v="48"/>
    <x v="1"/>
    <n v="9.64"/>
    <x v="10"/>
    <n v="2024"/>
    <n v="172.84520000000001"/>
    <s v="Weekday"/>
  </r>
  <r>
    <s v="M1881"/>
    <x v="1"/>
    <s v="Residential"/>
    <x v="335"/>
    <n v="81.16"/>
    <n v="9.77"/>
    <n v="30"/>
    <x v="0"/>
    <n v="7.68"/>
    <x v="4"/>
    <n v="2024"/>
    <n v="623.30879999999991"/>
    <s v="Weekday"/>
  </r>
  <r>
    <s v="M1882"/>
    <x v="2"/>
    <s v="Industrial"/>
    <x v="70"/>
    <n v="6.81"/>
    <n v="9.75"/>
    <n v="39"/>
    <x v="0"/>
    <n v="6.54"/>
    <x v="4"/>
    <n v="2024"/>
    <n v="44.537399999999998"/>
    <s v="Weekend"/>
  </r>
  <r>
    <s v="M1883"/>
    <x v="0"/>
    <s v="Industrial"/>
    <x v="328"/>
    <n v="30.78"/>
    <n v="2.1"/>
    <n v="117"/>
    <x v="1"/>
    <n v="5.53"/>
    <x v="6"/>
    <n v="2024"/>
    <n v="170.21340000000001"/>
    <s v="Weekday"/>
  </r>
  <r>
    <s v="M1884"/>
    <x v="2"/>
    <s v="Residential"/>
    <x v="255"/>
    <n v="28.91"/>
    <n v="5.19"/>
    <n v="113"/>
    <x v="0"/>
    <n v="9.86"/>
    <x v="4"/>
    <n v="2024"/>
    <n v="285.05259999999998"/>
    <s v="Weekday"/>
  </r>
  <r>
    <s v="M1885"/>
    <x v="1"/>
    <s v="Residential"/>
    <x v="4"/>
    <n v="51.61"/>
    <n v="9.25"/>
    <n v="28"/>
    <x v="0"/>
    <n v="3.57"/>
    <x v="3"/>
    <n v="2024"/>
    <n v="184.24769999999998"/>
    <s v="Weekday"/>
  </r>
  <r>
    <s v="M1886"/>
    <x v="2"/>
    <s v="Residential"/>
    <x v="136"/>
    <n v="19.98"/>
    <n v="5.23"/>
    <n v="63"/>
    <x v="1"/>
    <n v="6.93"/>
    <x v="11"/>
    <n v="2024"/>
    <n v="138.4614"/>
    <s v="Weekend"/>
  </r>
  <r>
    <s v="M1887"/>
    <x v="1"/>
    <s v="Commercial"/>
    <x v="114"/>
    <n v="16.059999999999999"/>
    <n v="6.15"/>
    <n v="38"/>
    <x v="0"/>
    <n v="9.18"/>
    <x v="11"/>
    <n v="2024"/>
    <n v="147.43079999999998"/>
    <s v="Weekday"/>
  </r>
  <r>
    <s v="M1888"/>
    <x v="2"/>
    <s v="Residential"/>
    <x v="182"/>
    <n v="62.2"/>
    <n v="4.8600000000000003"/>
    <n v="46"/>
    <x v="1"/>
    <n v="3"/>
    <x v="9"/>
    <n v="2024"/>
    <n v="186.60000000000002"/>
    <s v="Weekday"/>
  </r>
  <r>
    <s v="M1889"/>
    <x v="1"/>
    <s v="Industrial"/>
    <x v="32"/>
    <n v="46.56"/>
    <n v="2.58"/>
    <n v="43"/>
    <x v="1"/>
    <n v="5.96"/>
    <x v="11"/>
    <n v="2024"/>
    <n v="277.49760000000003"/>
    <s v="Weekend"/>
  </r>
  <r>
    <s v="M1890"/>
    <x v="0"/>
    <s v="Residential"/>
    <x v="93"/>
    <n v="56.51"/>
    <n v="6.84"/>
    <n v="4"/>
    <x v="1"/>
    <n v="7.18"/>
    <x v="9"/>
    <n v="2024"/>
    <n v="405.74179999999996"/>
    <s v="Weekday"/>
  </r>
  <r>
    <s v="M1891"/>
    <x v="0"/>
    <s v="Residential"/>
    <x v="203"/>
    <n v="13.31"/>
    <n v="3.43"/>
    <n v="9"/>
    <x v="1"/>
    <n v="9.57"/>
    <x v="11"/>
    <n v="2024"/>
    <n v="127.37670000000001"/>
    <s v="Weekday"/>
  </r>
  <r>
    <s v="M1892"/>
    <x v="2"/>
    <s v="Residential"/>
    <x v="148"/>
    <n v="22.01"/>
    <n v="2.29"/>
    <n v="34"/>
    <x v="0"/>
    <n v="7.56"/>
    <x v="5"/>
    <n v="2024"/>
    <n v="166.3956"/>
    <s v="Weekday"/>
  </r>
  <r>
    <s v="M1893"/>
    <x v="1"/>
    <s v="Industrial"/>
    <x v="267"/>
    <n v="54.3"/>
    <n v="3.31"/>
    <n v="92"/>
    <x v="1"/>
    <n v="6.89"/>
    <x v="5"/>
    <n v="2024"/>
    <n v="374.12699999999995"/>
    <s v="Weekday"/>
  </r>
  <r>
    <s v="M1894"/>
    <x v="1"/>
    <s v="Industrial"/>
    <x v="28"/>
    <n v="31.17"/>
    <n v="3.64"/>
    <n v="37"/>
    <x v="0"/>
    <n v="7.22"/>
    <x v="2"/>
    <n v="2024"/>
    <n v="225.04740000000001"/>
    <s v="Weekday"/>
  </r>
  <r>
    <s v="M1895"/>
    <x v="2"/>
    <s v="Commercial"/>
    <x v="163"/>
    <n v="38.19"/>
    <n v="9.7100000000000009"/>
    <n v="44"/>
    <x v="0"/>
    <n v="6.14"/>
    <x v="4"/>
    <n v="2024"/>
    <n v="234.48659999999998"/>
    <s v="Weekday"/>
  </r>
  <r>
    <s v="M1896"/>
    <x v="2"/>
    <s v="Residential"/>
    <x v="35"/>
    <n v="94.55"/>
    <n v="5.48"/>
    <n v="8"/>
    <x v="0"/>
    <n v="6.79"/>
    <x v="7"/>
    <n v="2024"/>
    <n v="641.99450000000002"/>
    <s v="Weekday"/>
  </r>
  <r>
    <s v="M1897"/>
    <x v="0"/>
    <s v="Industrial"/>
    <x v="49"/>
    <n v="53.68"/>
    <n v="5.36"/>
    <n v="24"/>
    <x v="0"/>
    <n v="6.88"/>
    <x v="2"/>
    <n v="2024"/>
    <n v="369.3184"/>
    <s v="Weekday"/>
  </r>
  <r>
    <s v="M1898"/>
    <x v="1"/>
    <s v="Residential"/>
    <x v="240"/>
    <n v="21.15"/>
    <n v="3.78"/>
    <n v="51"/>
    <x v="1"/>
    <n v="6.8"/>
    <x v="6"/>
    <n v="2024"/>
    <n v="143.82"/>
    <s v="Weekday"/>
  </r>
  <r>
    <s v="M1899"/>
    <x v="0"/>
    <s v="Residential"/>
    <x v="35"/>
    <n v="21.44"/>
    <n v="2.25"/>
    <n v="93"/>
    <x v="0"/>
    <n v="3.72"/>
    <x v="7"/>
    <n v="2024"/>
    <n v="79.756800000000013"/>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3F60D1-0793-48A9-A5C5-DE09F91539E7}" name="PivotTable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F66:G72" firstHeaderRow="1" firstDataRow="1" firstDataCol="1"/>
  <pivotFields count="13">
    <pivotField showAll="0"/>
    <pivotField showAll="0"/>
    <pivotField showAll="0"/>
    <pivotField numFmtId="14" showAll="0">
      <items count="337">
        <item x="307"/>
        <item x="276"/>
        <item x="230"/>
        <item x="328"/>
        <item x="302"/>
        <item x="188"/>
        <item x="260"/>
        <item x="161"/>
        <item x="41"/>
        <item x="167"/>
        <item x="97"/>
        <item x="257"/>
        <item x="24"/>
        <item x="299"/>
        <item x="25"/>
        <item x="121"/>
        <item x="295"/>
        <item x="109"/>
        <item x="96"/>
        <item x="34"/>
        <item x="7"/>
        <item x="240"/>
        <item x="99"/>
        <item x="322"/>
        <item x="215"/>
        <item x="82"/>
        <item x="284"/>
        <item x="279"/>
        <item x="278"/>
        <item x="310"/>
        <item x="120"/>
        <item x="252"/>
        <item x="80"/>
        <item x="33"/>
        <item x="294"/>
        <item x="146"/>
        <item x="186"/>
        <item x="130"/>
        <item x="11"/>
        <item x="95"/>
        <item x="4"/>
        <item x="145"/>
        <item x="61"/>
        <item x="285"/>
        <item x="330"/>
        <item x="156"/>
        <item x="19"/>
        <item x="78"/>
        <item x="106"/>
        <item x="286"/>
        <item x="272"/>
        <item x="213"/>
        <item x="165"/>
        <item x="103"/>
        <item x="195"/>
        <item x="127"/>
        <item x="59"/>
        <item x="155"/>
        <item x="122"/>
        <item x="142"/>
        <item x="244"/>
        <item x="335"/>
        <item x="70"/>
        <item x="23"/>
        <item x="90"/>
        <item x="209"/>
        <item x="163"/>
        <item x="234"/>
        <item x="20"/>
        <item x="265"/>
        <item x="266"/>
        <item x="184"/>
        <item x="227"/>
        <item x="66"/>
        <item x="329"/>
        <item x="5"/>
        <item x="255"/>
        <item x="311"/>
        <item x="185"/>
        <item x="157"/>
        <item x="223"/>
        <item x="67"/>
        <item x="199"/>
        <item x="231"/>
        <item x="92"/>
        <item x="303"/>
        <item x="0"/>
        <item x="218"/>
        <item x="191"/>
        <item x="88"/>
        <item x="30"/>
        <item x="71"/>
        <item x="289"/>
        <item x="63"/>
        <item x="22"/>
        <item x="251"/>
        <item x="159"/>
        <item x="177"/>
        <item x="2"/>
        <item x="192"/>
        <item x="141"/>
        <item x="181"/>
        <item x="111"/>
        <item x="189"/>
        <item x="178"/>
        <item x="38"/>
        <item x="60"/>
        <item x="151"/>
        <item x="57"/>
        <item x="136"/>
        <item x="237"/>
        <item x="262"/>
        <item x="114"/>
        <item x="133"/>
        <item x="263"/>
        <item x="104"/>
        <item x="275"/>
        <item x="43"/>
        <item x="153"/>
        <item x="281"/>
        <item x="202"/>
        <item x="32"/>
        <item x="100"/>
        <item x="128"/>
        <item x="158"/>
        <item x="200"/>
        <item x="205"/>
        <item x="110"/>
        <item x="300"/>
        <item x="221"/>
        <item x="113"/>
        <item x="203"/>
        <item x="194"/>
        <item x="176"/>
        <item x="254"/>
        <item x="164"/>
        <item x="27"/>
        <item x="325"/>
        <item x="49"/>
        <item x="39"/>
        <item x="317"/>
        <item x="224"/>
        <item x="242"/>
        <item x="247"/>
        <item x="28"/>
        <item x="3"/>
        <item x="229"/>
        <item x="258"/>
        <item x="13"/>
        <item x="166"/>
        <item x="77"/>
        <item x="180"/>
        <item x="36"/>
        <item x="204"/>
        <item x="51"/>
        <item x="332"/>
        <item x="261"/>
        <item x="31"/>
        <item x="259"/>
        <item x="79"/>
        <item x="46"/>
        <item x="84"/>
        <item x="152"/>
        <item x="62"/>
        <item x="143"/>
        <item x="89"/>
        <item x="235"/>
        <item x="206"/>
        <item x="321"/>
        <item x="58"/>
        <item x="256"/>
        <item x="147"/>
        <item x="270"/>
        <item x="6"/>
        <item x="160"/>
        <item x="334"/>
        <item x="17"/>
        <item x="21"/>
        <item x="148"/>
        <item x="326"/>
        <item x="83"/>
        <item x="280"/>
        <item x="73"/>
        <item x="267"/>
        <item x="174"/>
        <item x="296"/>
        <item x="140"/>
        <item x="233"/>
        <item x="52"/>
        <item x="123"/>
        <item x="137"/>
        <item x="318"/>
        <item x="283"/>
        <item x="198"/>
        <item x="290"/>
        <item x="135"/>
        <item x="81"/>
        <item x="291"/>
        <item x="37"/>
        <item x="319"/>
        <item x="250"/>
        <item x="94"/>
        <item x="139"/>
        <item x="217"/>
        <item x="75"/>
        <item x="40"/>
        <item x="183"/>
        <item x="331"/>
        <item x="282"/>
        <item x="45"/>
        <item x="107"/>
        <item x="126"/>
        <item x="277"/>
        <item x="118"/>
        <item x="54"/>
        <item x="87"/>
        <item x="18"/>
        <item x="190"/>
        <item x="171"/>
        <item x="68"/>
        <item x="226"/>
        <item x="119"/>
        <item x="228"/>
        <item x="105"/>
        <item x="308"/>
        <item x="44"/>
        <item x="248"/>
        <item x="124"/>
        <item x="168"/>
        <item x="29"/>
        <item x="108"/>
        <item x="170"/>
        <item x="287"/>
        <item x="212"/>
        <item x="47"/>
        <item x="150"/>
        <item x="249"/>
        <item x="323"/>
        <item x="243"/>
        <item x="241"/>
        <item x="208"/>
        <item x="9"/>
        <item x="131"/>
        <item x="48"/>
        <item x="193"/>
        <item x="264"/>
        <item x="179"/>
        <item x="236"/>
        <item x="129"/>
        <item x="238"/>
        <item x="269"/>
        <item x="222"/>
        <item x="101"/>
        <item x="301"/>
        <item x="14"/>
        <item x="274"/>
        <item x="246"/>
        <item x="298"/>
        <item x="42"/>
        <item x="314"/>
        <item x="320"/>
        <item x="64"/>
        <item x="327"/>
        <item x="117"/>
        <item x="219"/>
        <item x="306"/>
        <item x="268"/>
        <item x="1"/>
        <item x="304"/>
        <item x="214"/>
        <item x="232"/>
        <item x="74"/>
        <item x="98"/>
        <item x="333"/>
        <item x="65"/>
        <item x="239"/>
        <item x="312"/>
        <item x="173"/>
        <item x="91"/>
        <item x="56"/>
        <item x="93"/>
        <item x="154"/>
        <item x="15"/>
        <item x="207"/>
        <item x="112"/>
        <item x="220"/>
        <item x="172"/>
        <item x="271"/>
        <item x="182"/>
        <item x="273"/>
        <item x="225"/>
        <item x="72"/>
        <item x="125"/>
        <item x="102"/>
        <item x="115"/>
        <item x="253"/>
        <item x="292"/>
        <item x="197"/>
        <item x="149"/>
        <item x="175"/>
        <item x="316"/>
        <item x="210"/>
        <item x="293"/>
        <item x="16"/>
        <item x="187"/>
        <item x="53"/>
        <item x="76"/>
        <item x="309"/>
        <item x="196"/>
        <item x="297"/>
        <item x="69"/>
        <item x="55"/>
        <item x="138"/>
        <item x="245"/>
        <item x="162"/>
        <item x="8"/>
        <item x="86"/>
        <item x="313"/>
        <item x="201"/>
        <item x="324"/>
        <item x="305"/>
        <item x="315"/>
        <item x="216"/>
        <item x="12"/>
        <item x="211"/>
        <item x="169"/>
        <item x="26"/>
        <item x="288"/>
        <item x="132"/>
        <item x="144"/>
        <item x="35"/>
        <item x="50"/>
        <item x="134"/>
        <item x="10"/>
        <item x="85"/>
        <item x="116"/>
        <item t="default"/>
      </items>
    </pivotField>
    <pivotField showAll="0"/>
    <pivotField showAll="0"/>
    <pivotField showAll="0"/>
    <pivotField showAll="0"/>
    <pivotField showAll="0"/>
    <pivotField axis="axisRow" showAll="0">
      <items count="13">
        <item x="6"/>
        <item x="3"/>
        <item x="4"/>
        <item x="0"/>
        <item x="11"/>
        <item x="2"/>
        <item x="5"/>
        <item x="10"/>
        <item x="8"/>
        <item x="1"/>
        <item x="9"/>
        <item x="7"/>
        <item t="default"/>
      </items>
    </pivotField>
    <pivotField showAll="0"/>
    <pivotField dataField="1" showAll="0"/>
    <pivotField showAll="0"/>
  </pivotFields>
  <rowFields count="1">
    <field x="9"/>
  </rowFields>
  <rowItems count="6">
    <i>
      <x/>
    </i>
    <i>
      <x v="1"/>
    </i>
    <i>
      <x v="2"/>
    </i>
    <i>
      <x v="3"/>
    </i>
    <i>
      <x v="4"/>
    </i>
    <i t="grand">
      <x/>
    </i>
  </rowItems>
  <colItems count="1">
    <i/>
  </colItems>
  <dataFields count="1">
    <dataField name="Sum of Cost"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7"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D36DA-6DD8-4428-9460-3096CBA5E1E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1:G55" firstHeaderRow="1" firstDataRow="1" firstDataCol="1"/>
  <pivotFields count="13">
    <pivotField showAll="0"/>
    <pivotField axis="axisRow" showAll="0">
      <items count="4">
        <item x="0"/>
        <item x="1"/>
        <item x="2"/>
        <item t="default"/>
      </items>
    </pivotField>
    <pivotField showAll="0"/>
    <pivotField numFmtId="14" showAll="0"/>
    <pivotField showAll="0"/>
    <pivotField showAll="0"/>
    <pivotField dataField="1"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OutageMinut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A9815-BFA2-4262-844C-FF127D9622C2}"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5:J39" firstHeaderRow="1" firstDataRow="2" firstDataCol="1"/>
  <pivotFields count="13">
    <pivotField showAll="0"/>
    <pivotField axis="axisCol" showAll="0">
      <items count="4">
        <item x="0"/>
        <item x="1"/>
        <item x="2"/>
        <item t="default"/>
      </items>
    </pivotField>
    <pivotField showAll="0"/>
    <pivotField numFmtId="14"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s>
  <rowFields count="1">
    <field x="7"/>
  </rowFields>
  <rowItems count="3">
    <i>
      <x/>
    </i>
    <i>
      <x v="1"/>
    </i>
    <i t="grand">
      <x/>
    </i>
  </rowItems>
  <colFields count="1">
    <field x="1"/>
  </colFields>
  <colItems count="4">
    <i>
      <x/>
    </i>
    <i>
      <x v="1"/>
    </i>
    <i>
      <x v="2"/>
    </i>
    <i t="grand">
      <x/>
    </i>
  </colItems>
  <dataFields count="1">
    <dataField name="Count of MeterStatus" fld="7" subtotal="count" baseField="0" baseItem="0"/>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3">
          <reference field="4294967294" count="1" selected="0">
            <x v="0"/>
          </reference>
          <reference field="1" count="1" selected="0">
            <x v="0"/>
          </reference>
          <reference field="7" count="1" selected="0">
            <x v="0"/>
          </reference>
        </references>
      </pivotArea>
    </chartFormat>
    <chartFormat chart="0" format="5">
      <pivotArea type="data" outline="0" fieldPosition="0">
        <references count="3">
          <reference field="4294967294" count="1" selected="0">
            <x v="0"/>
          </reference>
          <reference field="1" count="1" selected="0">
            <x v="0"/>
          </reference>
          <reference field="7" count="1" selected="0">
            <x v="1"/>
          </reference>
        </references>
      </pivotArea>
    </chartFormat>
    <chartFormat chart="0" format="6">
      <pivotArea type="data" outline="0" fieldPosition="0">
        <references count="3">
          <reference field="4294967294" count="1" selected="0">
            <x v="0"/>
          </reference>
          <reference field="1" count="1" selected="0">
            <x v="1"/>
          </reference>
          <reference field="7" count="1" selected="0">
            <x v="0"/>
          </reference>
        </references>
      </pivotArea>
    </chartFormat>
    <chartFormat chart="0" format="7">
      <pivotArea type="data" outline="0" fieldPosition="0">
        <references count="3">
          <reference field="4294967294" count="1" selected="0">
            <x v="0"/>
          </reference>
          <reference field="1" count="1" selected="0">
            <x v="1"/>
          </reference>
          <reference field="7" count="1" selected="0">
            <x v="1"/>
          </reference>
        </references>
      </pivotArea>
    </chartFormat>
    <chartFormat chart="0" format="8">
      <pivotArea type="data" outline="0" fieldPosition="0">
        <references count="3">
          <reference field="4294967294" count="1" selected="0">
            <x v="0"/>
          </reference>
          <reference field="1" count="1" selected="0">
            <x v="2"/>
          </reference>
          <reference field="7" count="1" selected="0">
            <x v="0"/>
          </reference>
        </references>
      </pivotArea>
    </chartFormat>
    <chartFormat chart="0" format="9">
      <pivotArea type="data" outline="0" fieldPosition="0">
        <references count="3">
          <reference field="4294967294" count="1" selected="0">
            <x v="0"/>
          </reference>
          <reference field="1" count="1" selected="0">
            <x v="2"/>
          </reference>
          <reference field="7" count="1" selected="0">
            <x v="1"/>
          </reference>
        </references>
      </pivotArea>
    </chartFormat>
    <chartFormat chart="5" format="19" series="1">
      <pivotArea type="data" outline="0" fieldPosition="0">
        <references count="2">
          <reference field="4294967294" count="1" selected="0">
            <x v="0"/>
          </reference>
          <reference field="1" count="1" selected="0">
            <x v="0"/>
          </reference>
        </references>
      </pivotArea>
    </chartFormat>
    <chartFormat chart="5" format="20">
      <pivotArea type="data" outline="0" fieldPosition="0">
        <references count="3">
          <reference field="4294967294" count="1" selected="0">
            <x v="0"/>
          </reference>
          <reference field="1" count="1" selected="0">
            <x v="0"/>
          </reference>
          <reference field="7" count="1" selected="0">
            <x v="0"/>
          </reference>
        </references>
      </pivotArea>
    </chartFormat>
    <chartFormat chart="5" format="21">
      <pivotArea type="data" outline="0" fieldPosition="0">
        <references count="3">
          <reference field="4294967294" count="1" selected="0">
            <x v="0"/>
          </reference>
          <reference field="1" count="1" selected="0">
            <x v="0"/>
          </reference>
          <reference field="7" count="1" selected="0">
            <x v="1"/>
          </reference>
        </references>
      </pivotArea>
    </chartFormat>
    <chartFormat chart="5" format="22" series="1">
      <pivotArea type="data" outline="0" fieldPosition="0">
        <references count="2">
          <reference field="4294967294" count="1" selected="0">
            <x v="0"/>
          </reference>
          <reference field="1" count="1" selected="0">
            <x v="1"/>
          </reference>
        </references>
      </pivotArea>
    </chartFormat>
    <chartFormat chart="5" format="23">
      <pivotArea type="data" outline="0" fieldPosition="0">
        <references count="3">
          <reference field="4294967294" count="1" selected="0">
            <x v="0"/>
          </reference>
          <reference field="1" count="1" selected="0">
            <x v="1"/>
          </reference>
          <reference field="7" count="1" selected="0">
            <x v="0"/>
          </reference>
        </references>
      </pivotArea>
    </chartFormat>
    <chartFormat chart="5" format="24">
      <pivotArea type="data" outline="0" fieldPosition="0">
        <references count="3">
          <reference field="4294967294" count="1" selected="0">
            <x v="0"/>
          </reference>
          <reference field="1" count="1" selected="0">
            <x v="1"/>
          </reference>
          <reference field="7" count="1" selected="0">
            <x v="1"/>
          </reference>
        </references>
      </pivotArea>
    </chartFormat>
    <chartFormat chart="5" format="25" series="1">
      <pivotArea type="data" outline="0" fieldPosition="0">
        <references count="2">
          <reference field="4294967294" count="1" selected="0">
            <x v="0"/>
          </reference>
          <reference field="1" count="1" selected="0">
            <x v="2"/>
          </reference>
        </references>
      </pivotArea>
    </chartFormat>
    <chartFormat chart="5" format="26">
      <pivotArea type="data" outline="0" fieldPosition="0">
        <references count="3">
          <reference field="4294967294" count="1" selected="0">
            <x v="0"/>
          </reference>
          <reference field="1" count="1" selected="0">
            <x v="2"/>
          </reference>
          <reference field="7" count="1" selected="0">
            <x v="0"/>
          </reference>
        </references>
      </pivotArea>
    </chartFormat>
    <chartFormat chart="5" format="27">
      <pivotArea type="data" outline="0" fieldPosition="0">
        <references count="3">
          <reference field="4294967294" count="1" selected="0">
            <x v="0"/>
          </reference>
          <reference field="1" count="1" selected="0">
            <x v="2"/>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43CDE3-C268-427F-A24F-E3DCE0CC3031}"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F19:G25" firstHeaderRow="1" firstDataRow="1" firstDataCol="1"/>
  <pivotFields count="13">
    <pivotField showAll="0"/>
    <pivotField showAll="0"/>
    <pivotField showAll="0"/>
    <pivotField numFmtId="14" showAll="0">
      <items count="337">
        <item x="307"/>
        <item x="276"/>
        <item x="230"/>
        <item x="328"/>
        <item x="302"/>
        <item x="188"/>
        <item x="260"/>
        <item x="161"/>
        <item x="41"/>
        <item x="167"/>
        <item x="97"/>
        <item x="257"/>
        <item x="24"/>
        <item x="299"/>
        <item x="25"/>
        <item x="121"/>
        <item x="295"/>
        <item x="109"/>
        <item x="96"/>
        <item x="34"/>
        <item x="7"/>
        <item x="240"/>
        <item x="99"/>
        <item x="322"/>
        <item x="215"/>
        <item x="82"/>
        <item x="284"/>
        <item x="279"/>
        <item x="278"/>
        <item x="310"/>
        <item x="120"/>
        <item x="252"/>
        <item x="80"/>
        <item x="33"/>
        <item x="294"/>
        <item x="146"/>
        <item x="186"/>
        <item x="130"/>
        <item x="11"/>
        <item x="95"/>
        <item x="4"/>
        <item x="145"/>
        <item x="61"/>
        <item x="285"/>
        <item x="330"/>
        <item x="156"/>
        <item x="19"/>
        <item x="78"/>
        <item x="106"/>
        <item x="286"/>
        <item x="272"/>
        <item x="213"/>
        <item x="165"/>
        <item x="103"/>
        <item x="195"/>
        <item x="127"/>
        <item x="59"/>
        <item x="155"/>
        <item x="122"/>
        <item x="142"/>
        <item x="244"/>
        <item x="335"/>
        <item x="70"/>
        <item x="23"/>
        <item x="90"/>
        <item x="209"/>
        <item x="163"/>
        <item x="234"/>
        <item x="20"/>
        <item x="265"/>
        <item x="266"/>
        <item x="184"/>
        <item x="227"/>
        <item x="66"/>
        <item x="329"/>
        <item x="5"/>
        <item x="255"/>
        <item x="311"/>
        <item x="185"/>
        <item x="157"/>
        <item x="223"/>
        <item x="67"/>
        <item x="199"/>
        <item x="231"/>
        <item x="92"/>
        <item x="303"/>
        <item x="0"/>
        <item x="218"/>
        <item x="191"/>
        <item x="88"/>
        <item x="30"/>
        <item x="71"/>
        <item x="289"/>
        <item x="63"/>
        <item x="22"/>
        <item x="251"/>
        <item x="159"/>
        <item x="177"/>
        <item x="2"/>
        <item x="192"/>
        <item x="141"/>
        <item x="181"/>
        <item x="111"/>
        <item x="189"/>
        <item x="178"/>
        <item x="38"/>
        <item x="60"/>
        <item x="151"/>
        <item x="57"/>
        <item x="136"/>
        <item x="237"/>
        <item x="262"/>
        <item x="114"/>
        <item x="133"/>
        <item x="263"/>
        <item x="104"/>
        <item x="275"/>
        <item x="43"/>
        <item x="153"/>
        <item x="281"/>
        <item x="202"/>
        <item x="32"/>
        <item x="100"/>
        <item x="128"/>
        <item x="158"/>
        <item x="200"/>
        <item x="205"/>
        <item x="110"/>
        <item x="300"/>
        <item x="221"/>
        <item x="113"/>
        <item x="203"/>
        <item x="194"/>
        <item x="176"/>
        <item x="254"/>
        <item x="164"/>
        <item x="27"/>
        <item x="325"/>
        <item x="49"/>
        <item x="39"/>
        <item x="317"/>
        <item x="224"/>
        <item x="242"/>
        <item x="247"/>
        <item x="28"/>
        <item x="3"/>
        <item x="229"/>
        <item x="258"/>
        <item x="13"/>
        <item x="166"/>
        <item x="77"/>
        <item x="180"/>
        <item x="36"/>
        <item x="204"/>
        <item x="51"/>
        <item x="332"/>
        <item x="261"/>
        <item x="31"/>
        <item x="259"/>
        <item x="79"/>
        <item x="46"/>
        <item x="84"/>
        <item x="152"/>
        <item x="62"/>
        <item x="143"/>
        <item x="89"/>
        <item x="235"/>
        <item x="206"/>
        <item x="321"/>
        <item x="58"/>
        <item x="256"/>
        <item x="147"/>
        <item x="270"/>
        <item x="6"/>
        <item x="160"/>
        <item x="334"/>
        <item x="17"/>
        <item x="21"/>
        <item x="148"/>
        <item x="326"/>
        <item x="83"/>
        <item x="280"/>
        <item x="73"/>
        <item x="267"/>
        <item x="174"/>
        <item x="296"/>
        <item x="140"/>
        <item x="233"/>
        <item x="52"/>
        <item x="123"/>
        <item x="137"/>
        <item x="318"/>
        <item x="283"/>
        <item x="198"/>
        <item x="290"/>
        <item x="135"/>
        <item x="81"/>
        <item x="291"/>
        <item x="37"/>
        <item x="319"/>
        <item x="250"/>
        <item x="94"/>
        <item x="139"/>
        <item x="217"/>
        <item x="75"/>
        <item x="40"/>
        <item x="183"/>
        <item x="331"/>
        <item x="282"/>
        <item x="45"/>
        <item x="107"/>
        <item x="126"/>
        <item x="277"/>
        <item x="118"/>
        <item x="54"/>
        <item x="87"/>
        <item x="18"/>
        <item x="190"/>
        <item x="171"/>
        <item x="68"/>
        <item x="226"/>
        <item x="119"/>
        <item x="228"/>
        <item x="105"/>
        <item x="308"/>
        <item x="44"/>
        <item x="248"/>
        <item x="124"/>
        <item x="168"/>
        <item x="29"/>
        <item x="108"/>
        <item x="170"/>
        <item x="287"/>
        <item x="212"/>
        <item x="47"/>
        <item x="150"/>
        <item x="249"/>
        <item x="323"/>
        <item x="243"/>
        <item x="241"/>
        <item x="208"/>
        <item x="9"/>
        <item x="131"/>
        <item x="48"/>
        <item x="193"/>
        <item x="264"/>
        <item x="179"/>
        <item x="236"/>
        <item x="129"/>
        <item x="238"/>
        <item x="269"/>
        <item x="222"/>
        <item x="101"/>
        <item x="301"/>
        <item x="14"/>
        <item x="274"/>
        <item x="246"/>
        <item x="298"/>
        <item x="42"/>
        <item x="314"/>
        <item x="320"/>
        <item x="64"/>
        <item x="327"/>
        <item x="117"/>
        <item x="219"/>
        <item x="306"/>
        <item x="268"/>
        <item x="1"/>
        <item x="304"/>
        <item x="214"/>
        <item x="232"/>
        <item x="74"/>
        <item x="98"/>
        <item x="333"/>
        <item x="65"/>
        <item x="239"/>
        <item x="312"/>
        <item x="173"/>
        <item x="91"/>
        <item x="56"/>
        <item x="93"/>
        <item x="154"/>
        <item x="15"/>
        <item x="207"/>
        <item x="112"/>
        <item x="220"/>
        <item x="172"/>
        <item x="271"/>
        <item x="182"/>
        <item x="273"/>
        <item x="225"/>
        <item x="72"/>
        <item x="125"/>
        <item x="102"/>
        <item x="115"/>
        <item x="253"/>
        <item x="292"/>
        <item x="197"/>
        <item x="149"/>
        <item x="175"/>
        <item x="316"/>
        <item x="210"/>
        <item x="293"/>
        <item x="16"/>
        <item x="187"/>
        <item x="53"/>
        <item x="76"/>
        <item x="309"/>
        <item x="196"/>
        <item x="297"/>
        <item x="69"/>
        <item x="55"/>
        <item x="138"/>
        <item x="245"/>
        <item x="162"/>
        <item x="8"/>
        <item x="86"/>
        <item x="313"/>
        <item x="201"/>
        <item x="324"/>
        <item x="305"/>
        <item x="315"/>
        <item x="216"/>
        <item x="12"/>
        <item x="211"/>
        <item x="169"/>
        <item x="26"/>
        <item x="288"/>
        <item x="132"/>
        <item x="144"/>
        <item x="35"/>
        <item x="50"/>
        <item x="134"/>
        <item x="10"/>
        <item x="85"/>
        <item x="116"/>
        <item t="default"/>
      </items>
    </pivotField>
    <pivotField dataField="1" showAll="0"/>
    <pivotField showAll="0"/>
    <pivotField showAll="0"/>
    <pivotField showAll="0"/>
    <pivotField showAll="0"/>
    <pivotField axis="axisRow" showAll="0">
      <items count="13">
        <item x="6"/>
        <item x="3"/>
        <item x="4"/>
        <item x="0"/>
        <item x="11"/>
        <item x="2"/>
        <item x="5"/>
        <item x="10"/>
        <item x="8"/>
        <item x="1"/>
        <item x="9"/>
        <item x="7"/>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EnergyConsumed_kWh"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4"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0F1E0D-231F-4183-BAE0-650A1AB28ACC}"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G5" firstHeaderRow="1" firstDataRow="1" firstDataCol="1"/>
  <pivotFields count="13">
    <pivotField showAll="0"/>
    <pivotField axis="axisRow" showAll="0">
      <items count="4">
        <item x="0"/>
        <item x="1"/>
        <item x="2"/>
        <item t="default"/>
      </items>
    </pivotField>
    <pivotField showAll="0"/>
    <pivotField numFmtId="14" showAll="0"/>
    <pivotField dataField="1"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EnergyConsumed_kWh"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43978B6F-A89A-4A5A-8359-E9563D790CD4}" sourceName="Zone">
  <pivotTables>
    <pivotTable tabId="2" name="PivotTable2"/>
    <pivotTable tabId="2" name="PivotTable5"/>
    <pivotTable tabId="2" name="PivotTable4"/>
  </pivotTables>
  <data>
    <tabular pivotCacheId="5990977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9ECF5528-F88C-422B-8333-B55C2E445018}" cache="Slicer_Zone" caption="Zone"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B4F47D8F-4014-44B8-8473-CFBDB739929F}" cache="Slicer_Zone" caption="Zone" columnCount="3"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DE097C5-D305-4164-86FC-9679C80A0F89}" sourceName="Date">
  <pivotTables>
    <pivotTable tabId="2" name="PivotTable3"/>
    <pivotTable tabId="2" name="PivotTable6"/>
  </pivotTables>
  <state minimalRefreshVersion="6" lastRefreshVersion="6" pivotCacheId="599097764" filterType="dateBetween">
    <selection startDate="2024-01-01T00:00:00" endDate="2024-05-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8DF3D2F-CA9B-490F-B61D-89C427CB5A2B}"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730F30E-F724-48EC-AB70-4DBEB951494B}" cache="NativeTimeline_Date" caption="Date" level="2" selectionLevel="2" scrollPosition="2024-01-01T00:00:00" style="TimeSlicerStyleDark5"/>
</timeline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518F-118E-46FB-898E-CF9344F8FCEF}">
  <dimension ref="A1:M901"/>
  <sheetViews>
    <sheetView workbookViewId="0">
      <selection sqref="A1:M901"/>
    </sheetView>
  </sheetViews>
  <sheetFormatPr defaultRowHeight="14.5" x14ac:dyDescent="0.35"/>
  <cols>
    <col min="1" max="4" width="11.1796875" customWidth="1"/>
  </cols>
  <sheetData>
    <row r="1" spans="1:13" x14ac:dyDescent="0.35">
      <c r="A1" t="s">
        <v>0</v>
      </c>
      <c r="B1" t="s">
        <v>1</v>
      </c>
      <c r="C1" t="s">
        <v>2</v>
      </c>
      <c r="D1" t="s">
        <v>3</v>
      </c>
      <c r="E1" t="s">
        <v>4</v>
      </c>
      <c r="F1" t="s">
        <v>5</v>
      </c>
      <c r="G1" t="s">
        <v>6</v>
      </c>
      <c r="H1" t="s">
        <v>7</v>
      </c>
      <c r="I1" t="s">
        <v>8</v>
      </c>
      <c r="J1" t="s">
        <v>917</v>
      </c>
      <c r="K1" t="s">
        <v>918</v>
      </c>
      <c r="L1" t="s">
        <v>919</v>
      </c>
      <c r="M1" t="s">
        <v>920</v>
      </c>
    </row>
    <row r="2" spans="1:13" x14ac:dyDescent="0.35">
      <c r="A2" t="s">
        <v>9</v>
      </c>
      <c r="B2" t="s">
        <v>10</v>
      </c>
      <c r="C2" t="s">
        <v>11</v>
      </c>
      <c r="D2" s="1">
        <v>45387</v>
      </c>
      <c r="E2">
        <v>85.81</v>
      </c>
      <c r="F2">
        <v>1.01</v>
      </c>
      <c r="G2">
        <v>106</v>
      </c>
      <c r="H2" t="s">
        <v>12</v>
      </c>
      <c r="I2">
        <v>3.91</v>
      </c>
      <c r="J2" t="str">
        <f>TEXT(D2,"mmm")</f>
        <v>Apr</v>
      </c>
      <c r="K2">
        <f>YEAR(D2)</f>
        <v>2024</v>
      </c>
      <c r="L2">
        <f>E2*I2</f>
        <v>335.51710000000003</v>
      </c>
      <c r="M2" t="str">
        <f>IF(OR(WEEKDAY(D2)=1,WEEKDAY(D2)=7),"Weekend","Weekday")</f>
        <v>Weekday</v>
      </c>
    </row>
    <row r="3" spans="1:13" x14ac:dyDescent="0.35">
      <c r="A3" t="s">
        <v>13</v>
      </c>
      <c r="B3" t="s">
        <v>14</v>
      </c>
      <c r="C3" t="s">
        <v>15</v>
      </c>
      <c r="D3" s="1">
        <v>45587</v>
      </c>
      <c r="E3">
        <v>17.95</v>
      </c>
      <c r="F3">
        <v>3.01</v>
      </c>
      <c r="G3">
        <v>56</v>
      </c>
      <c r="H3" t="s">
        <v>12</v>
      </c>
      <c r="I3">
        <v>4.8099999999999996</v>
      </c>
      <c r="J3" t="str">
        <f t="shared" ref="J3:J66" si="0">TEXT(D3,"mmm")</f>
        <v>Oct</v>
      </c>
      <c r="K3">
        <f t="shared" ref="K3:K66" si="1">YEAR(D3)</f>
        <v>2024</v>
      </c>
      <c r="L3">
        <f t="shared" ref="L3:L66" si="2">E3*I3</f>
        <v>86.339499999999987</v>
      </c>
      <c r="M3" t="str">
        <f t="shared" ref="M3:M66" si="3">IF(OR(WEEKDAY(D3)=1,WEEKDAY(D3)=7),"Weekend","Weekday")</f>
        <v>Weekday</v>
      </c>
    </row>
    <row r="4" spans="1:13" x14ac:dyDescent="0.35">
      <c r="A4" t="s">
        <v>16</v>
      </c>
      <c r="B4" t="s">
        <v>17</v>
      </c>
      <c r="C4" t="s">
        <v>11</v>
      </c>
      <c r="D4" s="1">
        <v>45402</v>
      </c>
      <c r="E4">
        <v>6.42</v>
      </c>
      <c r="F4">
        <v>9.31</v>
      </c>
      <c r="G4">
        <v>118</v>
      </c>
      <c r="H4" t="s">
        <v>18</v>
      </c>
      <c r="I4">
        <v>6.48</v>
      </c>
      <c r="J4" t="str">
        <f t="shared" si="0"/>
        <v>Apr</v>
      </c>
      <c r="K4">
        <f t="shared" si="1"/>
        <v>2024</v>
      </c>
      <c r="L4">
        <f t="shared" si="2"/>
        <v>41.601600000000005</v>
      </c>
      <c r="M4" t="str">
        <f t="shared" si="3"/>
        <v>Weekend</v>
      </c>
    </row>
    <row r="5" spans="1:13" x14ac:dyDescent="0.35">
      <c r="A5" t="s">
        <v>19</v>
      </c>
      <c r="B5" t="s">
        <v>14</v>
      </c>
      <c r="C5" t="s">
        <v>15</v>
      </c>
      <c r="D5" s="1">
        <v>45456</v>
      </c>
      <c r="E5">
        <v>97.88</v>
      </c>
      <c r="F5">
        <v>5.69</v>
      </c>
      <c r="G5">
        <v>37</v>
      </c>
      <c r="H5" t="s">
        <v>12</v>
      </c>
      <c r="I5">
        <v>5.76</v>
      </c>
      <c r="J5" t="str">
        <f t="shared" si="0"/>
        <v>Jun</v>
      </c>
      <c r="K5">
        <f t="shared" si="1"/>
        <v>2024</v>
      </c>
      <c r="L5">
        <f t="shared" si="2"/>
        <v>563.78879999999992</v>
      </c>
      <c r="M5" t="str">
        <f t="shared" si="3"/>
        <v>Weekday</v>
      </c>
    </row>
    <row r="6" spans="1:13" x14ac:dyDescent="0.35">
      <c r="A6" t="s">
        <v>20</v>
      </c>
      <c r="B6" t="s">
        <v>14</v>
      </c>
      <c r="C6" t="s">
        <v>11</v>
      </c>
      <c r="D6" s="1">
        <v>45334</v>
      </c>
      <c r="E6">
        <v>29.49</v>
      </c>
      <c r="F6">
        <v>3.11</v>
      </c>
      <c r="G6">
        <v>12</v>
      </c>
      <c r="H6" t="s">
        <v>12</v>
      </c>
      <c r="I6">
        <v>5.97</v>
      </c>
      <c r="J6" t="str">
        <f t="shared" si="0"/>
        <v>Feb</v>
      </c>
      <c r="K6">
        <f t="shared" si="1"/>
        <v>2024</v>
      </c>
      <c r="L6">
        <f t="shared" si="2"/>
        <v>176.05529999999999</v>
      </c>
      <c r="M6" t="str">
        <f t="shared" si="3"/>
        <v>Weekday</v>
      </c>
    </row>
    <row r="7" spans="1:13" x14ac:dyDescent="0.35">
      <c r="A7" t="s">
        <v>21</v>
      </c>
      <c r="B7" t="s">
        <v>10</v>
      </c>
      <c r="C7" t="s">
        <v>11</v>
      </c>
      <c r="D7" s="1">
        <v>45373</v>
      </c>
      <c r="E7">
        <v>95.67</v>
      </c>
      <c r="F7">
        <v>6.34</v>
      </c>
      <c r="G7">
        <v>105</v>
      </c>
      <c r="H7" t="s">
        <v>12</v>
      </c>
      <c r="I7">
        <v>8.94</v>
      </c>
      <c r="J7" t="str">
        <f t="shared" si="0"/>
        <v>Mar</v>
      </c>
      <c r="K7">
        <f t="shared" si="1"/>
        <v>2024</v>
      </c>
      <c r="L7">
        <f t="shared" si="2"/>
        <v>855.28980000000001</v>
      </c>
      <c r="M7" t="str">
        <f t="shared" si="3"/>
        <v>Weekday</v>
      </c>
    </row>
    <row r="8" spans="1:13" x14ac:dyDescent="0.35">
      <c r="A8" t="s">
        <v>22</v>
      </c>
      <c r="B8" t="s">
        <v>14</v>
      </c>
      <c r="C8" t="s">
        <v>11</v>
      </c>
      <c r="D8" s="1">
        <v>45487</v>
      </c>
      <c r="E8">
        <v>13.87</v>
      </c>
      <c r="F8">
        <v>2.59</v>
      </c>
      <c r="G8">
        <v>56</v>
      </c>
      <c r="H8" t="s">
        <v>18</v>
      </c>
      <c r="I8">
        <v>4.53</v>
      </c>
      <c r="J8" t="str">
        <f t="shared" si="0"/>
        <v>Jul</v>
      </c>
      <c r="K8">
        <f t="shared" si="1"/>
        <v>2024</v>
      </c>
      <c r="L8">
        <f t="shared" si="2"/>
        <v>62.831099999999999</v>
      </c>
      <c r="M8" t="str">
        <f t="shared" si="3"/>
        <v>Weekend</v>
      </c>
    </row>
    <row r="9" spans="1:13" x14ac:dyDescent="0.35">
      <c r="A9" t="s">
        <v>23</v>
      </c>
      <c r="B9" t="s">
        <v>10</v>
      </c>
      <c r="C9" t="s">
        <v>24</v>
      </c>
      <c r="D9" s="1">
        <v>45312</v>
      </c>
      <c r="E9">
        <v>45.04</v>
      </c>
      <c r="F9">
        <v>2.57</v>
      </c>
      <c r="G9">
        <v>40</v>
      </c>
      <c r="H9" t="s">
        <v>12</v>
      </c>
      <c r="I9">
        <v>6.43</v>
      </c>
      <c r="J9" t="str">
        <f t="shared" si="0"/>
        <v>Jan</v>
      </c>
      <c r="K9">
        <f t="shared" si="1"/>
        <v>2024</v>
      </c>
      <c r="L9">
        <f t="shared" si="2"/>
        <v>289.60719999999998</v>
      </c>
      <c r="M9" t="str">
        <f t="shared" si="3"/>
        <v>Weekend</v>
      </c>
    </row>
    <row r="10" spans="1:13" x14ac:dyDescent="0.35">
      <c r="A10" t="s">
        <v>25</v>
      </c>
      <c r="B10" t="s">
        <v>14</v>
      </c>
      <c r="C10" t="s">
        <v>15</v>
      </c>
      <c r="D10" s="1">
        <v>45637</v>
      </c>
      <c r="E10">
        <v>84.13</v>
      </c>
      <c r="F10">
        <v>7.69</v>
      </c>
      <c r="G10">
        <v>91</v>
      </c>
      <c r="H10" t="s">
        <v>18</v>
      </c>
      <c r="I10">
        <v>4.24</v>
      </c>
      <c r="J10" t="str">
        <f t="shared" si="0"/>
        <v>Dec</v>
      </c>
      <c r="K10">
        <f t="shared" si="1"/>
        <v>2024</v>
      </c>
      <c r="L10">
        <f t="shared" si="2"/>
        <v>356.71120000000002</v>
      </c>
      <c r="M10" t="str">
        <f t="shared" si="3"/>
        <v>Weekday</v>
      </c>
    </row>
    <row r="11" spans="1:13" x14ac:dyDescent="0.35">
      <c r="A11" t="s">
        <v>26</v>
      </c>
      <c r="B11" t="s">
        <v>14</v>
      </c>
      <c r="C11" t="s">
        <v>24</v>
      </c>
      <c r="D11" s="1">
        <v>45560</v>
      </c>
      <c r="E11">
        <v>18.36</v>
      </c>
      <c r="F11">
        <v>2.21</v>
      </c>
      <c r="G11">
        <v>56</v>
      </c>
      <c r="H11" t="s">
        <v>18</v>
      </c>
      <c r="I11">
        <v>9.43</v>
      </c>
      <c r="J11" t="str">
        <f t="shared" si="0"/>
        <v>Sep</v>
      </c>
      <c r="K11">
        <f t="shared" si="1"/>
        <v>2024</v>
      </c>
      <c r="L11">
        <f t="shared" si="2"/>
        <v>173.13479999999998</v>
      </c>
      <c r="M11" t="str">
        <f t="shared" si="3"/>
        <v>Weekday</v>
      </c>
    </row>
    <row r="12" spans="1:13" x14ac:dyDescent="0.35">
      <c r="A12" t="s">
        <v>27</v>
      </c>
      <c r="B12" t="s">
        <v>10</v>
      </c>
      <c r="C12" t="s">
        <v>11</v>
      </c>
      <c r="D12" s="1">
        <v>45655</v>
      </c>
      <c r="E12">
        <v>75.88</v>
      </c>
      <c r="F12">
        <v>7.09</v>
      </c>
      <c r="G12">
        <v>44</v>
      </c>
      <c r="H12" t="s">
        <v>12</v>
      </c>
      <c r="I12">
        <v>9.3800000000000008</v>
      </c>
      <c r="J12" t="str">
        <f t="shared" si="0"/>
        <v>Dec</v>
      </c>
      <c r="K12">
        <f t="shared" si="1"/>
        <v>2024</v>
      </c>
      <c r="L12">
        <f t="shared" si="2"/>
        <v>711.75440000000003</v>
      </c>
      <c r="M12" t="str">
        <f t="shared" si="3"/>
        <v>Weekend</v>
      </c>
    </row>
    <row r="13" spans="1:13" x14ac:dyDescent="0.35">
      <c r="A13" t="s">
        <v>28</v>
      </c>
      <c r="B13" t="s">
        <v>17</v>
      </c>
      <c r="C13" t="s">
        <v>24</v>
      </c>
      <c r="D13" s="1">
        <v>45332</v>
      </c>
      <c r="E13">
        <v>80.77</v>
      </c>
      <c r="F13">
        <v>8.67</v>
      </c>
      <c r="G13">
        <v>33</v>
      </c>
      <c r="H13" t="s">
        <v>12</v>
      </c>
      <c r="I13">
        <v>7.24</v>
      </c>
      <c r="J13" t="str">
        <f t="shared" si="0"/>
        <v>Feb</v>
      </c>
      <c r="K13">
        <f t="shared" si="1"/>
        <v>2024</v>
      </c>
      <c r="L13">
        <f t="shared" si="2"/>
        <v>584.77480000000003</v>
      </c>
      <c r="M13" t="str">
        <f t="shared" si="3"/>
        <v>Weekend</v>
      </c>
    </row>
    <row r="14" spans="1:13" x14ac:dyDescent="0.35">
      <c r="A14" t="s">
        <v>29</v>
      </c>
      <c r="B14" t="s">
        <v>17</v>
      </c>
      <c r="C14" t="s">
        <v>11</v>
      </c>
      <c r="D14" s="1">
        <v>45645</v>
      </c>
      <c r="E14">
        <v>41.03</v>
      </c>
      <c r="F14">
        <v>4.0599999999999996</v>
      </c>
      <c r="G14">
        <v>76</v>
      </c>
      <c r="H14" t="s">
        <v>18</v>
      </c>
      <c r="I14">
        <v>5.31</v>
      </c>
      <c r="J14" t="str">
        <f t="shared" si="0"/>
        <v>Dec</v>
      </c>
      <c r="K14">
        <f t="shared" si="1"/>
        <v>2024</v>
      </c>
      <c r="L14">
        <f t="shared" si="2"/>
        <v>217.86929999999998</v>
      </c>
      <c r="M14" t="str">
        <f t="shared" si="3"/>
        <v>Weekday</v>
      </c>
    </row>
    <row r="15" spans="1:13" x14ac:dyDescent="0.35">
      <c r="A15" t="s">
        <v>30</v>
      </c>
      <c r="B15" t="s">
        <v>14</v>
      </c>
      <c r="C15" t="s">
        <v>24</v>
      </c>
      <c r="D15" s="1">
        <v>45459</v>
      </c>
      <c r="E15">
        <v>36.54</v>
      </c>
      <c r="F15">
        <v>8.73</v>
      </c>
      <c r="G15">
        <v>106</v>
      </c>
      <c r="H15" t="s">
        <v>18</v>
      </c>
      <c r="I15">
        <v>6.64</v>
      </c>
      <c r="J15" t="str">
        <f t="shared" si="0"/>
        <v>Jun</v>
      </c>
      <c r="K15">
        <f t="shared" si="1"/>
        <v>2024</v>
      </c>
      <c r="L15">
        <f t="shared" si="2"/>
        <v>242.62559999999999</v>
      </c>
      <c r="M15" t="str">
        <f t="shared" si="3"/>
        <v>Weekend</v>
      </c>
    </row>
    <row r="16" spans="1:13" x14ac:dyDescent="0.35">
      <c r="A16" t="s">
        <v>31</v>
      </c>
      <c r="B16" t="s">
        <v>14</v>
      </c>
      <c r="C16" t="s">
        <v>24</v>
      </c>
      <c r="D16" s="1">
        <v>45573</v>
      </c>
      <c r="E16">
        <v>72.209999999999994</v>
      </c>
      <c r="F16">
        <v>8.67</v>
      </c>
      <c r="G16">
        <v>58</v>
      </c>
      <c r="H16" t="s">
        <v>12</v>
      </c>
      <c r="I16">
        <v>8.85</v>
      </c>
      <c r="J16" t="str">
        <f t="shared" si="0"/>
        <v>Oct</v>
      </c>
      <c r="K16">
        <f t="shared" si="1"/>
        <v>2024</v>
      </c>
      <c r="L16">
        <f t="shared" si="2"/>
        <v>639.05849999999987</v>
      </c>
      <c r="M16" t="str">
        <f t="shared" si="3"/>
        <v>Weekday</v>
      </c>
    </row>
    <row r="17" spans="1:13" x14ac:dyDescent="0.35">
      <c r="A17" t="s">
        <v>32</v>
      </c>
      <c r="B17" t="s">
        <v>17</v>
      </c>
      <c r="C17" t="s">
        <v>11</v>
      </c>
      <c r="D17" s="1">
        <v>45312</v>
      </c>
      <c r="E17">
        <v>95.98</v>
      </c>
      <c r="F17">
        <v>9</v>
      </c>
      <c r="G17">
        <v>98</v>
      </c>
      <c r="H17" t="s">
        <v>18</v>
      </c>
      <c r="I17">
        <v>7.78</v>
      </c>
      <c r="J17" t="str">
        <f t="shared" si="0"/>
        <v>Jan</v>
      </c>
      <c r="K17">
        <f t="shared" si="1"/>
        <v>2024</v>
      </c>
      <c r="L17">
        <f t="shared" si="2"/>
        <v>746.72440000000006</v>
      </c>
      <c r="M17" t="str">
        <f t="shared" si="3"/>
        <v>Weekend</v>
      </c>
    </row>
    <row r="18" spans="1:13" x14ac:dyDescent="0.35">
      <c r="A18" t="s">
        <v>33</v>
      </c>
      <c r="B18" t="s">
        <v>10</v>
      </c>
      <c r="C18" t="s">
        <v>15</v>
      </c>
      <c r="D18" s="1">
        <v>45603</v>
      </c>
      <c r="E18">
        <v>9.7899999999999991</v>
      </c>
      <c r="F18">
        <v>7.06</v>
      </c>
      <c r="G18">
        <v>38</v>
      </c>
      <c r="H18" t="s">
        <v>12</v>
      </c>
      <c r="I18">
        <v>6.54</v>
      </c>
      <c r="J18" t="str">
        <f t="shared" si="0"/>
        <v>Nov</v>
      </c>
      <c r="K18">
        <f t="shared" si="1"/>
        <v>2024</v>
      </c>
      <c r="L18">
        <f t="shared" si="2"/>
        <v>64.026599999999988</v>
      </c>
      <c r="M18" t="str">
        <f t="shared" si="3"/>
        <v>Weekday</v>
      </c>
    </row>
    <row r="19" spans="1:13" x14ac:dyDescent="0.35">
      <c r="A19" t="s">
        <v>34</v>
      </c>
      <c r="B19" t="s">
        <v>17</v>
      </c>
      <c r="C19" t="s">
        <v>15</v>
      </c>
      <c r="D19" s="1">
        <v>45624</v>
      </c>
      <c r="E19">
        <v>19.62</v>
      </c>
      <c r="F19">
        <v>5.14</v>
      </c>
      <c r="G19">
        <v>62</v>
      </c>
      <c r="H19" t="s">
        <v>12</v>
      </c>
      <c r="I19">
        <v>5.08</v>
      </c>
      <c r="J19" t="str">
        <f t="shared" si="0"/>
        <v>Nov</v>
      </c>
      <c r="K19">
        <f t="shared" si="1"/>
        <v>2024</v>
      </c>
      <c r="L19">
        <f t="shared" si="2"/>
        <v>99.669600000000003</v>
      </c>
      <c r="M19" t="str">
        <f t="shared" si="3"/>
        <v>Weekday</v>
      </c>
    </row>
    <row r="20" spans="1:13" x14ac:dyDescent="0.35">
      <c r="A20" t="s">
        <v>35</v>
      </c>
      <c r="B20" t="s">
        <v>10</v>
      </c>
      <c r="C20" t="s">
        <v>11</v>
      </c>
      <c r="D20" s="1">
        <v>45490</v>
      </c>
      <c r="E20">
        <v>64.55</v>
      </c>
      <c r="F20">
        <v>3.78</v>
      </c>
      <c r="G20">
        <v>5</v>
      </c>
      <c r="H20" t="s">
        <v>18</v>
      </c>
      <c r="I20">
        <v>6</v>
      </c>
      <c r="J20" t="str">
        <f t="shared" si="0"/>
        <v>Jul</v>
      </c>
      <c r="K20">
        <f t="shared" si="1"/>
        <v>2024</v>
      </c>
      <c r="L20">
        <f t="shared" si="2"/>
        <v>387.29999999999995</v>
      </c>
      <c r="M20" t="str">
        <f t="shared" si="3"/>
        <v>Weekday</v>
      </c>
    </row>
    <row r="21" spans="1:13" x14ac:dyDescent="0.35">
      <c r="A21" t="s">
        <v>36</v>
      </c>
      <c r="B21" t="s">
        <v>10</v>
      </c>
      <c r="C21" t="s">
        <v>15</v>
      </c>
      <c r="D21" s="1">
        <v>45533</v>
      </c>
      <c r="E21">
        <v>68.89</v>
      </c>
      <c r="F21">
        <v>5.93</v>
      </c>
      <c r="G21">
        <v>16</v>
      </c>
      <c r="H21" t="s">
        <v>12</v>
      </c>
      <c r="I21">
        <v>8.44</v>
      </c>
      <c r="J21" t="str">
        <f t="shared" si="0"/>
        <v>Aug</v>
      </c>
      <c r="K21">
        <f t="shared" si="1"/>
        <v>2024</v>
      </c>
      <c r="L21">
        <f t="shared" si="2"/>
        <v>581.4316</v>
      </c>
      <c r="M21" t="str">
        <f t="shared" si="3"/>
        <v>Weekday</v>
      </c>
    </row>
    <row r="22" spans="1:13" x14ac:dyDescent="0.35">
      <c r="A22" t="s">
        <v>37</v>
      </c>
      <c r="B22" t="s">
        <v>10</v>
      </c>
      <c r="C22" t="s">
        <v>24</v>
      </c>
      <c r="D22" s="1">
        <v>45342</v>
      </c>
      <c r="E22">
        <v>17.3</v>
      </c>
      <c r="F22">
        <v>3.53</v>
      </c>
      <c r="G22">
        <v>29</v>
      </c>
      <c r="H22" t="s">
        <v>18</v>
      </c>
      <c r="I22">
        <v>5.04</v>
      </c>
      <c r="J22" t="str">
        <f t="shared" si="0"/>
        <v>Feb</v>
      </c>
      <c r="K22">
        <f t="shared" si="1"/>
        <v>2024</v>
      </c>
      <c r="L22">
        <f t="shared" si="2"/>
        <v>87.192000000000007</v>
      </c>
      <c r="M22" t="str">
        <f t="shared" si="3"/>
        <v>Weekday</v>
      </c>
    </row>
    <row r="23" spans="1:13" x14ac:dyDescent="0.35">
      <c r="A23" t="s">
        <v>38</v>
      </c>
      <c r="B23" t="s">
        <v>10</v>
      </c>
      <c r="C23" t="s">
        <v>24</v>
      </c>
      <c r="D23" s="1">
        <v>45366</v>
      </c>
      <c r="E23">
        <v>85.44</v>
      </c>
      <c r="F23">
        <v>3.1</v>
      </c>
      <c r="G23">
        <v>69</v>
      </c>
      <c r="H23" t="s">
        <v>12</v>
      </c>
      <c r="I23">
        <v>9.39</v>
      </c>
      <c r="J23" t="str">
        <f t="shared" si="0"/>
        <v>Mar</v>
      </c>
      <c r="K23">
        <f t="shared" si="1"/>
        <v>2024</v>
      </c>
      <c r="L23">
        <f t="shared" si="2"/>
        <v>802.28160000000003</v>
      </c>
      <c r="M23" t="str">
        <f t="shared" si="3"/>
        <v>Weekday</v>
      </c>
    </row>
    <row r="24" spans="1:13" x14ac:dyDescent="0.35">
      <c r="A24" t="s">
        <v>39</v>
      </c>
      <c r="B24" t="s">
        <v>17</v>
      </c>
      <c r="C24" t="s">
        <v>15</v>
      </c>
      <c r="D24" s="1">
        <v>45491</v>
      </c>
      <c r="E24">
        <v>6.66</v>
      </c>
      <c r="F24">
        <v>9.11</v>
      </c>
      <c r="G24">
        <v>87</v>
      </c>
      <c r="H24" t="s">
        <v>12</v>
      </c>
      <c r="I24">
        <v>3.66</v>
      </c>
      <c r="J24" t="str">
        <f t="shared" si="0"/>
        <v>Jul</v>
      </c>
      <c r="K24">
        <f t="shared" si="1"/>
        <v>2024</v>
      </c>
      <c r="L24">
        <f t="shared" si="2"/>
        <v>24.375600000000002</v>
      </c>
      <c r="M24" t="str">
        <f t="shared" si="3"/>
        <v>Weekday</v>
      </c>
    </row>
    <row r="25" spans="1:13" x14ac:dyDescent="0.35">
      <c r="A25" t="s">
        <v>40</v>
      </c>
      <c r="B25" t="s">
        <v>17</v>
      </c>
      <c r="C25" t="s">
        <v>15</v>
      </c>
      <c r="D25" s="1">
        <v>45397</v>
      </c>
      <c r="E25">
        <v>44.61</v>
      </c>
      <c r="F25">
        <v>1.42</v>
      </c>
      <c r="G25">
        <v>66</v>
      </c>
      <c r="H25" t="s">
        <v>12</v>
      </c>
      <c r="I25">
        <v>8.83</v>
      </c>
      <c r="J25" t="str">
        <f t="shared" si="0"/>
        <v>Apr</v>
      </c>
      <c r="K25">
        <f t="shared" si="1"/>
        <v>2024</v>
      </c>
      <c r="L25">
        <f t="shared" si="2"/>
        <v>393.90629999999999</v>
      </c>
      <c r="M25" t="str">
        <f t="shared" si="3"/>
        <v>Weekday</v>
      </c>
    </row>
    <row r="26" spans="1:13" x14ac:dyDescent="0.35">
      <c r="A26" t="s">
        <v>41</v>
      </c>
      <c r="B26" t="s">
        <v>10</v>
      </c>
      <c r="C26" t="s">
        <v>11</v>
      </c>
      <c r="D26" s="1">
        <v>45361</v>
      </c>
      <c r="E26">
        <v>68.349999999999994</v>
      </c>
      <c r="F26">
        <v>8.75</v>
      </c>
      <c r="G26">
        <v>30</v>
      </c>
      <c r="H26" t="s">
        <v>12</v>
      </c>
      <c r="I26">
        <v>6.3</v>
      </c>
      <c r="J26" t="str">
        <f t="shared" si="0"/>
        <v>Mar</v>
      </c>
      <c r="K26">
        <f t="shared" si="1"/>
        <v>2024</v>
      </c>
      <c r="L26">
        <f t="shared" si="2"/>
        <v>430.60499999999996</v>
      </c>
      <c r="M26" t="str">
        <f t="shared" si="3"/>
        <v>Weekend</v>
      </c>
    </row>
    <row r="27" spans="1:13" x14ac:dyDescent="0.35">
      <c r="A27" t="s">
        <v>42</v>
      </c>
      <c r="B27" t="s">
        <v>17</v>
      </c>
      <c r="C27" t="s">
        <v>11</v>
      </c>
      <c r="D27" s="1">
        <v>45304</v>
      </c>
      <c r="E27">
        <v>93.18</v>
      </c>
      <c r="F27">
        <v>2.1800000000000002</v>
      </c>
      <c r="G27">
        <v>13</v>
      </c>
      <c r="H27" t="s">
        <v>12</v>
      </c>
      <c r="I27">
        <v>4.3099999999999996</v>
      </c>
      <c r="J27" t="str">
        <f t="shared" si="0"/>
        <v>Jan</v>
      </c>
      <c r="K27">
        <f t="shared" si="1"/>
        <v>2024</v>
      </c>
      <c r="L27">
        <f t="shared" si="2"/>
        <v>401.60579999999999</v>
      </c>
      <c r="M27" t="str">
        <f t="shared" si="3"/>
        <v>Weekend</v>
      </c>
    </row>
    <row r="28" spans="1:13" x14ac:dyDescent="0.35">
      <c r="A28" t="s">
        <v>43</v>
      </c>
      <c r="B28" t="s">
        <v>14</v>
      </c>
      <c r="C28" t="s">
        <v>15</v>
      </c>
      <c r="D28" s="1">
        <v>45306</v>
      </c>
      <c r="E28">
        <v>43.81</v>
      </c>
      <c r="F28">
        <v>9.9499999999999993</v>
      </c>
      <c r="G28">
        <v>79</v>
      </c>
      <c r="H28" t="s">
        <v>18</v>
      </c>
      <c r="I28">
        <v>9.64</v>
      </c>
      <c r="J28" t="str">
        <f t="shared" si="0"/>
        <v>Jan</v>
      </c>
      <c r="K28">
        <f t="shared" si="1"/>
        <v>2024</v>
      </c>
      <c r="L28">
        <f t="shared" si="2"/>
        <v>422.32840000000004</v>
      </c>
      <c r="M28" t="str">
        <f t="shared" si="3"/>
        <v>Weekday</v>
      </c>
    </row>
    <row r="29" spans="1:13" x14ac:dyDescent="0.35">
      <c r="A29" t="s">
        <v>44</v>
      </c>
      <c r="B29" t="s">
        <v>17</v>
      </c>
      <c r="C29" t="s">
        <v>24</v>
      </c>
      <c r="D29" s="1">
        <v>45648</v>
      </c>
      <c r="E29">
        <v>48.89</v>
      </c>
      <c r="F29">
        <v>2.0499999999999998</v>
      </c>
      <c r="G29">
        <v>72</v>
      </c>
      <c r="H29" t="s">
        <v>12</v>
      </c>
      <c r="I29">
        <v>4.95</v>
      </c>
      <c r="J29" t="str">
        <f t="shared" si="0"/>
        <v>Dec</v>
      </c>
      <c r="K29">
        <f t="shared" si="1"/>
        <v>2024</v>
      </c>
      <c r="L29">
        <f t="shared" si="2"/>
        <v>242.00550000000001</v>
      </c>
      <c r="M29" t="str">
        <f t="shared" si="3"/>
        <v>Weekend</v>
      </c>
    </row>
    <row r="30" spans="1:13" x14ac:dyDescent="0.35">
      <c r="A30" t="s">
        <v>45</v>
      </c>
      <c r="B30" t="s">
        <v>14</v>
      </c>
      <c r="C30" t="s">
        <v>15</v>
      </c>
      <c r="D30" s="1">
        <v>45446</v>
      </c>
      <c r="E30">
        <v>75.56</v>
      </c>
      <c r="F30">
        <v>1.81</v>
      </c>
      <c r="G30">
        <v>76</v>
      </c>
      <c r="H30" t="s">
        <v>18</v>
      </c>
      <c r="I30">
        <v>4.33</v>
      </c>
      <c r="J30" t="str">
        <f t="shared" si="0"/>
        <v>Jun</v>
      </c>
      <c r="K30">
        <f t="shared" si="1"/>
        <v>2024</v>
      </c>
      <c r="L30">
        <f t="shared" si="2"/>
        <v>327.1748</v>
      </c>
      <c r="M30" t="str">
        <f t="shared" si="3"/>
        <v>Weekday</v>
      </c>
    </row>
    <row r="31" spans="1:13" x14ac:dyDescent="0.35">
      <c r="A31" t="s">
        <v>46</v>
      </c>
      <c r="B31" t="s">
        <v>14</v>
      </c>
      <c r="C31" t="s">
        <v>24</v>
      </c>
      <c r="D31" s="1">
        <v>45455</v>
      </c>
      <c r="E31">
        <v>94.28</v>
      </c>
      <c r="F31">
        <v>3.91</v>
      </c>
      <c r="G31">
        <v>17</v>
      </c>
      <c r="H31" t="s">
        <v>18</v>
      </c>
      <c r="I31">
        <v>7.11</v>
      </c>
      <c r="J31" t="str">
        <f t="shared" si="0"/>
        <v>Jun</v>
      </c>
      <c r="K31">
        <f t="shared" si="1"/>
        <v>2024</v>
      </c>
      <c r="L31">
        <f t="shared" si="2"/>
        <v>670.33080000000007</v>
      </c>
      <c r="M31" t="str">
        <f t="shared" si="3"/>
        <v>Weekday</v>
      </c>
    </row>
    <row r="32" spans="1:13" x14ac:dyDescent="0.35">
      <c r="A32" t="s">
        <v>47</v>
      </c>
      <c r="B32" t="s">
        <v>17</v>
      </c>
      <c r="C32" t="s">
        <v>24</v>
      </c>
      <c r="D32" s="1">
        <v>45546</v>
      </c>
      <c r="E32">
        <v>32.46</v>
      </c>
      <c r="F32">
        <v>3.56</v>
      </c>
      <c r="G32">
        <v>40</v>
      </c>
      <c r="H32" t="s">
        <v>12</v>
      </c>
      <c r="I32">
        <v>7.03</v>
      </c>
      <c r="J32" t="str">
        <f t="shared" si="0"/>
        <v>Sep</v>
      </c>
      <c r="K32">
        <f t="shared" si="1"/>
        <v>2024</v>
      </c>
      <c r="L32">
        <f t="shared" si="2"/>
        <v>228.19380000000001</v>
      </c>
      <c r="M32" t="str">
        <f t="shared" si="3"/>
        <v>Weekday</v>
      </c>
    </row>
    <row r="33" spans="1:13" x14ac:dyDescent="0.35">
      <c r="A33" t="s">
        <v>48</v>
      </c>
      <c r="B33" t="s">
        <v>10</v>
      </c>
      <c r="C33" t="s">
        <v>24</v>
      </c>
      <c r="D33" s="1">
        <v>45393</v>
      </c>
      <c r="E33">
        <v>65.38</v>
      </c>
      <c r="F33">
        <v>6.38</v>
      </c>
      <c r="G33">
        <v>18</v>
      </c>
      <c r="H33" t="s">
        <v>18</v>
      </c>
      <c r="I33">
        <v>3.73</v>
      </c>
      <c r="J33" t="str">
        <f t="shared" si="0"/>
        <v>Apr</v>
      </c>
      <c r="K33">
        <f t="shared" si="1"/>
        <v>2024</v>
      </c>
      <c r="L33">
        <f t="shared" si="2"/>
        <v>243.86739999999998</v>
      </c>
      <c r="M33" t="str">
        <f t="shared" si="3"/>
        <v>Weekday</v>
      </c>
    </row>
    <row r="34" spans="1:13" x14ac:dyDescent="0.35">
      <c r="A34" t="s">
        <v>49</v>
      </c>
      <c r="B34" t="s">
        <v>14</v>
      </c>
      <c r="C34" t="s">
        <v>11</v>
      </c>
      <c r="D34" s="1">
        <v>45468</v>
      </c>
      <c r="E34">
        <v>12.81</v>
      </c>
      <c r="F34">
        <v>4.8899999999999997</v>
      </c>
      <c r="G34">
        <v>46</v>
      </c>
      <c r="H34" t="s">
        <v>12</v>
      </c>
      <c r="I34">
        <v>5.0999999999999996</v>
      </c>
      <c r="J34" t="str">
        <f t="shared" si="0"/>
        <v>Jun</v>
      </c>
      <c r="K34">
        <f t="shared" si="1"/>
        <v>2024</v>
      </c>
      <c r="L34">
        <f t="shared" si="2"/>
        <v>65.331000000000003</v>
      </c>
      <c r="M34" t="str">
        <f t="shared" si="3"/>
        <v>Weekday</v>
      </c>
    </row>
    <row r="35" spans="1:13" x14ac:dyDescent="0.35">
      <c r="A35" t="s">
        <v>50</v>
      </c>
      <c r="B35" t="s">
        <v>17</v>
      </c>
      <c r="C35" t="s">
        <v>15</v>
      </c>
      <c r="D35" s="1">
        <v>45402</v>
      </c>
      <c r="E35">
        <v>86.26</v>
      </c>
      <c r="F35">
        <v>2.4700000000000002</v>
      </c>
      <c r="G35">
        <v>13</v>
      </c>
      <c r="H35" t="s">
        <v>12</v>
      </c>
      <c r="I35">
        <v>8.3000000000000007</v>
      </c>
      <c r="J35" t="str">
        <f t="shared" si="0"/>
        <v>Apr</v>
      </c>
      <c r="K35">
        <f t="shared" si="1"/>
        <v>2024</v>
      </c>
      <c r="L35">
        <f t="shared" si="2"/>
        <v>715.95800000000008</v>
      </c>
      <c r="M35" t="str">
        <f t="shared" si="3"/>
        <v>Weekend</v>
      </c>
    </row>
    <row r="36" spans="1:13" x14ac:dyDescent="0.35">
      <c r="A36" t="s">
        <v>51</v>
      </c>
      <c r="B36" t="s">
        <v>17</v>
      </c>
      <c r="C36" t="s">
        <v>15</v>
      </c>
      <c r="D36" s="1">
        <v>45430</v>
      </c>
      <c r="E36">
        <v>21.29</v>
      </c>
      <c r="F36">
        <v>1.91</v>
      </c>
      <c r="G36">
        <v>110</v>
      </c>
      <c r="H36" t="s">
        <v>12</v>
      </c>
      <c r="I36">
        <v>6.32</v>
      </c>
      <c r="J36" t="str">
        <f t="shared" si="0"/>
        <v>May</v>
      </c>
      <c r="K36">
        <f t="shared" si="1"/>
        <v>2024</v>
      </c>
      <c r="L36">
        <f t="shared" si="2"/>
        <v>134.55279999999999</v>
      </c>
      <c r="M36" t="str">
        <f t="shared" si="3"/>
        <v>Weekend</v>
      </c>
    </row>
    <row r="37" spans="1:13" x14ac:dyDescent="0.35">
      <c r="A37" t="s">
        <v>52</v>
      </c>
      <c r="B37" t="s">
        <v>14</v>
      </c>
      <c r="C37" t="s">
        <v>11</v>
      </c>
      <c r="D37" s="1">
        <v>45326</v>
      </c>
      <c r="E37">
        <v>92.76</v>
      </c>
      <c r="F37">
        <v>1.96</v>
      </c>
      <c r="G37">
        <v>99</v>
      </c>
      <c r="H37" t="s">
        <v>18</v>
      </c>
      <c r="I37">
        <v>9.0500000000000007</v>
      </c>
      <c r="J37" t="str">
        <f t="shared" si="0"/>
        <v>Feb</v>
      </c>
      <c r="K37">
        <f t="shared" si="1"/>
        <v>2024</v>
      </c>
      <c r="L37">
        <f t="shared" si="2"/>
        <v>839.47800000000007</v>
      </c>
      <c r="M37" t="str">
        <f t="shared" si="3"/>
        <v>Weekend</v>
      </c>
    </row>
    <row r="38" spans="1:13" x14ac:dyDescent="0.35">
      <c r="A38" t="s">
        <v>53</v>
      </c>
      <c r="B38" t="s">
        <v>14</v>
      </c>
      <c r="C38" t="s">
        <v>15</v>
      </c>
      <c r="D38" s="1">
        <v>45311</v>
      </c>
      <c r="E38">
        <v>89.38</v>
      </c>
      <c r="F38">
        <v>4.3</v>
      </c>
      <c r="G38">
        <v>54</v>
      </c>
      <c r="H38" t="s">
        <v>12</v>
      </c>
      <c r="I38">
        <v>9.5299999999999994</v>
      </c>
      <c r="J38" t="str">
        <f t="shared" si="0"/>
        <v>Jan</v>
      </c>
      <c r="K38">
        <f t="shared" si="1"/>
        <v>2024</v>
      </c>
      <c r="L38">
        <f t="shared" si="2"/>
        <v>851.79139999999995</v>
      </c>
      <c r="M38" t="str">
        <f t="shared" si="3"/>
        <v>Weekend</v>
      </c>
    </row>
    <row r="39" spans="1:13" x14ac:dyDescent="0.35">
      <c r="A39" t="s">
        <v>54</v>
      </c>
      <c r="B39" t="s">
        <v>14</v>
      </c>
      <c r="C39" t="s">
        <v>15</v>
      </c>
      <c r="D39" s="1">
        <v>45652</v>
      </c>
      <c r="E39">
        <v>97.59</v>
      </c>
      <c r="F39">
        <v>3.76</v>
      </c>
      <c r="G39">
        <v>62</v>
      </c>
      <c r="H39" t="s">
        <v>12</v>
      </c>
      <c r="I39">
        <v>5.17</v>
      </c>
      <c r="J39" t="str">
        <f t="shared" si="0"/>
        <v>Dec</v>
      </c>
      <c r="K39">
        <f t="shared" si="1"/>
        <v>2024</v>
      </c>
      <c r="L39">
        <f t="shared" si="2"/>
        <v>504.5403</v>
      </c>
      <c r="M39" t="str">
        <f t="shared" si="3"/>
        <v>Weekday</v>
      </c>
    </row>
    <row r="40" spans="1:13" x14ac:dyDescent="0.35">
      <c r="A40" t="s">
        <v>55</v>
      </c>
      <c r="B40" t="s">
        <v>10</v>
      </c>
      <c r="C40" t="s">
        <v>15</v>
      </c>
      <c r="D40" s="1">
        <v>45463</v>
      </c>
      <c r="E40">
        <v>49.69</v>
      </c>
      <c r="F40">
        <v>2.46</v>
      </c>
      <c r="G40">
        <v>39</v>
      </c>
      <c r="H40" t="s">
        <v>12</v>
      </c>
      <c r="I40">
        <v>9.44</v>
      </c>
      <c r="J40" t="str">
        <f t="shared" si="0"/>
        <v>Jun</v>
      </c>
      <c r="K40">
        <f t="shared" si="1"/>
        <v>2024</v>
      </c>
      <c r="L40">
        <f t="shared" si="2"/>
        <v>469.07359999999994</v>
      </c>
      <c r="M40" t="str">
        <f t="shared" si="3"/>
        <v>Weekday</v>
      </c>
    </row>
    <row r="41" spans="1:13" x14ac:dyDescent="0.35">
      <c r="A41" t="s">
        <v>56</v>
      </c>
      <c r="B41" t="s">
        <v>17</v>
      </c>
      <c r="C41" t="s">
        <v>11</v>
      </c>
      <c r="D41" s="1">
        <v>45515</v>
      </c>
      <c r="E41">
        <v>70.06</v>
      </c>
      <c r="F41">
        <v>5.15</v>
      </c>
      <c r="G41">
        <v>77</v>
      </c>
      <c r="H41" t="s">
        <v>18</v>
      </c>
      <c r="I41">
        <v>7.86</v>
      </c>
      <c r="J41" t="str">
        <f t="shared" si="0"/>
        <v>Aug</v>
      </c>
      <c r="K41">
        <f t="shared" si="1"/>
        <v>2024</v>
      </c>
      <c r="L41">
        <f t="shared" si="2"/>
        <v>550.67160000000001</v>
      </c>
      <c r="M41" t="str">
        <f t="shared" si="3"/>
        <v>Weekend</v>
      </c>
    </row>
    <row r="42" spans="1:13" x14ac:dyDescent="0.35">
      <c r="A42" t="s">
        <v>57</v>
      </c>
      <c r="B42" t="s">
        <v>17</v>
      </c>
      <c r="C42" t="s">
        <v>11</v>
      </c>
      <c r="D42" s="1">
        <v>45411</v>
      </c>
      <c r="E42">
        <v>16.11</v>
      </c>
      <c r="F42">
        <v>2.09</v>
      </c>
      <c r="G42">
        <v>67</v>
      </c>
      <c r="H42" t="s">
        <v>12</v>
      </c>
      <c r="I42">
        <v>9.49</v>
      </c>
      <c r="J42" t="str">
        <f t="shared" si="0"/>
        <v>Apr</v>
      </c>
      <c r="K42">
        <f t="shared" si="1"/>
        <v>2024</v>
      </c>
      <c r="L42">
        <f t="shared" si="2"/>
        <v>152.88390000000001</v>
      </c>
      <c r="M42" t="str">
        <f t="shared" si="3"/>
        <v>Weekday</v>
      </c>
    </row>
    <row r="43" spans="1:13" x14ac:dyDescent="0.35">
      <c r="A43" t="s">
        <v>58</v>
      </c>
      <c r="B43" t="s">
        <v>17</v>
      </c>
      <c r="C43" t="s">
        <v>24</v>
      </c>
      <c r="D43" s="1">
        <v>45450</v>
      </c>
      <c r="E43">
        <v>52.97</v>
      </c>
      <c r="F43">
        <v>7.77</v>
      </c>
      <c r="G43">
        <v>27</v>
      </c>
      <c r="H43" t="s">
        <v>18</v>
      </c>
      <c r="I43">
        <v>4.03</v>
      </c>
      <c r="J43" t="str">
        <f t="shared" si="0"/>
        <v>Jun</v>
      </c>
      <c r="K43">
        <f t="shared" si="1"/>
        <v>2024</v>
      </c>
      <c r="L43">
        <f t="shared" si="2"/>
        <v>213.4691</v>
      </c>
      <c r="M43" t="str">
        <f t="shared" si="3"/>
        <v>Weekday</v>
      </c>
    </row>
    <row r="44" spans="1:13" x14ac:dyDescent="0.35">
      <c r="A44" t="s">
        <v>59</v>
      </c>
      <c r="B44" t="s">
        <v>14</v>
      </c>
      <c r="C44" t="s">
        <v>11</v>
      </c>
      <c r="D44" s="1">
        <v>45522</v>
      </c>
      <c r="E44">
        <v>50.65</v>
      </c>
      <c r="F44">
        <v>5.93</v>
      </c>
      <c r="G44">
        <v>93</v>
      </c>
      <c r="H44" t="s">
        <v>18</v>
      </c>
      <c r="I44">
        <v>6.79</v>
      </c>
      <c r="J44" t="str">
        <f t="shared" si="0"/>
        <v>Aug</v>
      </c>
      <c r="K44">
        <f t="shared" si="1"/>
        <v>2024</v>
      </c>
      <c r="L44">
        <f t="shared" si="2"/>
        <v>343.9135</v>
      </c>
      <c r="M44" t="str">
        <f t="shared" si="3"/>
        <v>Weekend</v>
      </c>
    </row>
    <row r="45" spans="1:13" x14ac:dyDescent="0.35">
      <c r="A45" t="s">
        <v>60</v>
      </c>
      <c r="B45" t="s">
        <v>17</v>
      </c>
      <c r="C45" t="s">
        <v>24</v>
      </c>
      <c r="D45" s="1">
        <v>45300</v>
      </c>
      <c r="E45">
        <v>65.150000000000006</v>
      </c>
      <c r="F45">
        <v>8.51</v>
      </c>
      <c r="G45">
        <v>119</v>
      </c>
      <c r="H45" t="s">
        <v>18</v>
      </c>
      <c r="I45">
        <v>4.0999999999999996</v>
      </c>
      <c r="J45" t="str">
        <f t="shared" si="0"/>
        <v>Jan</v>
      </c>
      <c r="K45">
        <f t="shared" si="1"/>
        <v>2024</v>
      </c>
      <c r="L45">
        <f t="shared" si="2"/>
        <v>267.11500000000001</v>
      </c>
      <c r="M45" t="str">
        <f t="shared" si="3"/>
        <v>Weekday</v>
      </c>
    </row>
    <row r="46" spans="1:13" x14ac:dyDescent="0.35">
      <c r="A46" t="s">
        <v>61</v>
      </c>
      <c r="B46" t="s">
        <v>14</v>
      </c>
      <c r="C46" t="s">
        <v>11</v>
      </c>
      <c r="D46" s="1">
        <v>45577</v>
      </c>
      <c r="E46">
        <v>87.55</v>
      </c>
      <c r="F46">
        <v>2.79</v>
      </c>
      <c r="G46">
        <v>44</v>
      </c>
      <c r="H46" t="s">
        <v>18</v>
      </c>
      <c r="I46">
        <v>3.52</v>
      </c>
      <c r="J46" t="str">
        <f t="shared" si="0"/>
        <v>Oct</v>
      </c>
      <c r="K46">
        <f t="shared" si="1"/>
        <v>2024</v>
      </c>
      <c r="L46">
        <f t="shared" si="2"/>
        <v>308.17599999999999</v>
      </c>
      <c r="M46" t="str">
        <f t="shared" si="3"/>
        <v>Weekend</v>
      </c>
    </row>
    <row r="47" spans="1:13" x14ac:dyDescent="0.35">
      <c r="A47" t="s">
        <v>62</v>
      </c>
      <c r="B47" t="s">
        <v>17</v>
      </c>
      <c r="C47" t="s">
        <v>24</v>
      </c>
      <c r="D47" s="1">
        <v>45450</v>
      </c>
      <c r="E47">
        <v>30.59</v>
      </c>
      <c r="F47">
        <v>1.99</v>
      </c>
      <c r="G47">
        <v>12</v>
      </c>
      <c r="H47" t="s">
        <v>18</v>
      </c>
      <c r="I47">
        <v>3.59</v>
      </c>
      <c r="J47" t="str">
        <f t="shared" si="0"/>
        <v>Jun</v>
      </c>
      <c r="K47">
        <f t="shared" si="1"/>
        <v>2024</v>
      </c>
      <c r="L47">
        <f t="shared" si="2"/>
        <v>109.8181</v>
      </c>
      <c r="M47" t="str">
        <f t="shared" si="3"/>
        <v>Weekday</v>
      </c>
    </row>
    <row r="48" spans="1:13" x14ac:dyDescent="0.35">
      <c r="A48" t="s">
        <v>63</v>
      </c>
      <c r="B48" t="s">
        <v>10</v>
      </c>
      <c r="C48" t="s">
        <v>24</v>
      </c>
      <c r="D48" s="1">
        <v>45425</v>
      </c>
      <c r="E48">
        <v>88.43</v>
      </c>
      <c r="F48">
        <v>8.6</v>
      </c>
      <c r="G48">
        <v>38</v>
      </c>
      <c r="H48" t="s">
        <v>18</v>
      </c>
      <c r="I48">
        <v>9.5299999999999994</v>
      </c>
      <c r="J48" t="str">
        <f t="shared" si="0"/>
        <v>May</v>
      </c>
      <c r="K48">
        <f t="shared" si="1"/>
        <v>2024</v>
      </c>
      <c r="L48">
        <f t="shared" si="2"/>
        <v>842.73789999999997</v>
      </c>
      <c r="M48" t="str">
        <f t="shared" si="3"/>
        <v>Weekday</v>
      </c>
    </row>
    <row r="49" spans="1:13" x14ac:dyDescent="0.35">
      <c r="A49" t="s">
        <v>64</v>
      </c>
      <c r="B49" t="s">
        <v>17</v>
      </c>
      <c r="C49" t="s">
        <v>24</v>
      </c>
      <c r="D49" s="1">
        <v>45542</v>
      </c>
      <c r="E49">
        <v>34.020000000000003</v>
      </c>
      <c r="F49">
        <v>2.2200000000000002</v>
      </c>
      <c r="G49">
        <v>29</v>
      </c>
      <c r="H49" t="s">
        <v>12</v>
      </c>
      <c r="I49">
        <v>7.34</v>
      </c>
      <c r="J49" t="str">
        <f t="shared" si="0"/>
        <v>Sep</v>
      </c>
      <c r="K49">
        <f t="shared" si="1"/>
        <v>2024</v>
      </c>
      <c r="L49">
        <f t="shared" si="2"/>
        <v>249.70680000000002</v>
      </c>
      <c r="M49" t="str">
        <f t="shared" si="3"/>
        <v>Weekend</v>
      </c>
    </row>
    <row r="50" spans="1:13" x14ac:dyDescent="0.35">
      <c r="A50" t="s">
        <v>65</v>
      </c>
      <c r="B50" t="s">
        <v>17</v>
      </c>
      <c r="C50" t="s">
        <v>15</v>
      </c>
      <c r="D50" s="1">
        <v>45526</v>
      </c>
      <c r="E50">
        <v>20.58</v>
      </c>
      <c r="F50">
        <v>5.74</v>
      </c>
      <c r="G50">
        <v>36</v>
      </c>
      <c r="H50" t="s">
        <v>12</v>
      </c>
      <c r="I50">
        <v>7.51</v>
      </c>
      <c r="J50" t="str">
        <f t="shared" si="0"/>
        <v>Aug</v>
      </c>
      <c r="K50">
        <f t="shared" si="1"/>
        <v>2024</v>
      </c>
      <c r="L50">
        <f t="shared" si="2"/>
        <v>154.55579999999998</v>
      </c>
      <c r="M50" t="str">
        <f t="shared" si="3"/>
        <v>Weekday</v>
      </c>
    </row>
    <row r="51" spans="1:13" x14ac:dyDescent="0.35">
      <c r="A51" t="s">
        <v>66</v>
      </c>
      <c r="B51" t="s">
        <v>14</v>
      </c>
      <c r="C51" t="s">
        <v>11</v>
      </c>
      <c r="D51" s="1">
        <v>45471</v>
      </c>
      <c r="E51">
        <v>83.78</v>
      </c>
      <c r="F51">
        <v>3.37</v>
      </c>
      <c r="G51">
        <v>101</v>
      </c>
      <c r="H51" t="s">
        <v>18</v>
      </c>
      <c r="I51">
        <v>8.93</v>
      </c>
      <c r="J51" t="str">
        <f t="shared" si="0"/>
        <v>Jun</v>
      </c>
      <c r="K51">
        <f t="shared" si="1"/>
        <v>2024</v>
      </c>
      <c r="L51">
        <f t="shared" si="2"/>
        <v>748.15539999999999</v>
      </c>
      <c r="M51" t="str">
        <f t="shared" si="3"/>
        <v>Weekday</v>
      </c>
    </row>
    <row r="52" spans="1:13" x14ac:dyDescent="0.35">
      <c r="A52" t="s">
        <v>67</v>
      </c>
      <c r="B52" t="s">
        <v>14</v>
      </c>
      <c r="C52" t="s">
        <v>15</v>
      </c>
      <c r="D52" s="1">
        <v>45552</v>
      </c>
      <c r="E52">
        <v>94.66</v>
      </c>
      <c r="F52">
        <v>4.3600000000000003</v>
      </c>
      <c r="G52">
        <v>73</v>
      </c>
      <c r="H52" t="s">
        <v>12</v>
      </c>
      <c r="I52">
        <v>8.52</v>
      </c>
      <c r="J52" t="str">
        <f t="shared" si="0"/>
        <v>Sep</v>
      </c>
      <c r="K52">
        <f t="shared" si="1"/>
        <v>2024</v>
      </c>
      <c r="L52">
        <f t="shared" si="2"/>
        <v>806.50319999999988</v>
      </c>
      <c r="M52" t="str">
        <f t="shared" si="3"/>
        <v>Weekday</v>
      </c>
    </row>
    <row r="53" spans="1:13" x14ac:dyDescent="0.35">
      <c r="A53" t="s">
        <v>68</v>
      </c>
      <c r="B53" t="s">
        <v>14</v>
      </c>
      <c r="C53" t="s">
        <v>11</v>
      </c>
      <c r="D53" s="1">
        <v>45402</v>
      </c>
      <c r="E53">
        <v>40.89</v>
      </c>
      <c r="F53">
        <v>2.1</v>
      </c>
      <c r="G53">
        <v>69</v>
      </c>
      <c r="H53" t="s">
        <v>18</v>
      </c>
      <c r="I53">
        <v>7.67</v>
      </c>
      <c r="J53" t="str">
        <f t="shared" si="0"/>
        <v>Apr</v>
      </c>
      <c r="K53">
        <f t="shared" si="1"/>
        <v>2024</v>
      </c>
      <c r="L53">
        <f t="shared" si="2"/>
        <v>313.62630000000001</v>
      </c>
      <c r="M53" t="str">
        <f t="shared" si="3"/>
        <v>Weekend</v>
      </c>
    </row>
    <row r="54" spans="1:13" x14ac:dyDescent="0.35">
      <c r="A54" t="s">
        <v>69</v>
      </c>
      <c r="B54" t="s">
        <v>14</v>
      </c>
      <c r="C54" t="s">
        <v>24</v>
      </c>
      <c r="D54" s="1">
        <v>45562</v>
      </c>
      <c r="E54">
        <v>63.09</v>
      </c>
      <c r="F54">
        <v>8.91</v>
      </c>
      <c r="G54">
        <v>4</v>
      </c>
      <c r="H54" t="s">
        <v>12</v>
      </c>
      <c r="I54">
        <v>9.41</v>
      </c>
      <c r="J54" t="str">
        <f t="shared" si="0"/>
        <v>Sep</v>
      </c>
      <c r="K54">
        <f t="shared" si="1"/>
        <v>2024</v>
      </c>
      <c r="L54">
        <f t="shared" si="2"/>
        <v>593.67690000000005</v>
      </c>
      <c r="M54" t="str">
        <f t="shared" si="3"/>
        <v>Weekday</v>
      </c>
    </row>
    <row r="55" spans="1:13" x14ac:dyDescent="0.35">
      <c r="A55" t="s">
        <v>70</v>
      </c>
      <c r="B55" t="s">
        <v>10</v>
      </c>
      <c r="C55" t="s">
        <v>11</v>
      </c>
      <c r="D55" s="1">
        <v>45449</v>
      </c>
      <c r="E55">
        <v>36.47</v>
      </c>
      <c r="F55">
        <v>4.37</v>
      </c>
      <c r="G55">
        <v>41</v>
      </c>
      <c r="H55" t="s">
        <v>18</v>
      </c>
      <c r="I55">
        <v>3.38</v>
      </c>
      <c r="J55" t="str">
        <f t="shared" si="0"/>
        <v>Jun</v>
      </c>
      <c r="K55">
        <f t="shared" si="1"/>
        <v>2024</v>
      </c>
      <c r="L55">
        <f t="shared" si="2"/>
        <v>123.26859999999999</v>
      </c>
      <c r="M55" t="str">
        <f t="shared" si="3"/>
        <v>Weekday</v>
      </c>
    </row>
    <row r="56" spans="1:13" x14ac:dyDescent="0.35">
      <c r="A56" t="s">
        <v>71</v>
      </c>
      <c r="B56" t="s">
        <v>10</v>
      </c>
      <c r="C56" t="s">
        <v>24</v>
      </c>
      <c r="D56" s="1">
        <v>45402</v>
      </c>
      <c r="E56">
        <v>18.78</v>
      </c>
      <c r="F56">
        <v>5.62</v>
      </c>
      <c r="G56">
        <v>104</v>
      </c>
      <c r="H56" t="s">
        <v>12</v>
      </c>
      <c r="I56">
        <v>4.34</v>
      </c>
      <c r="J56" t="str">
        <f t="shared" si="0"/>
        <v>Apr</v>
      </c>
      <c r="K56">
        <f t="shared" si="1"/>
        <v>2024</v>
      </c>
      <c r="L56">
        <f t="shared" si="2"/>
        <v>81.505200000000002</v>
      </c>
      <c r="M56" t="str">
        <f t="shared" si="3"/>
        <v>Weekend</v>
      </c>
    </row>
    <row r="57" spans="1:13" x14ac:dyDescent="0.35">
      <c r="A57" t="s">
        <v>72</v>
      </c>
      <c r="B57" t="s">
        <v>10</v>
      </c>
      <c r="C57" t="s">
        <v>15</v>
      </c>
      <c r="D57" s="1">
        <v>45653</v>
      </c>
      <c r="E57">
        <v>53.44</v>
      </c>
      <c r="F57">
        <v>3.28</v>
      </c>
      <c r="G57">
        <v>31</v>
      </c>
      <c r="H57" t="s">
        <v>12</v>
      </c>
      <c r="I57">
        <v>7.44</v>
      </c>
      <c r="J57" t="str">
        <f t="shared" si="0"/>
        <v>Dec</v>
      </c>
      <c r="K57">
        <f t="shared" si="1"/>
        <v>2024</v>
      </c>
      <c r="L57">
        <f t="shared" si="2"/>
        <v>397.59359999999998</v>
      </c>
      <c r="M57" t="str">
        <f t="shared" si="3"/>
        <v>Weekday</v>
      </c>
    </row>
    <row r="58" spans="1:13" x14ac:dyDescent="0.35">
      <c r="A58" t="s">
        <v>73</v>
      </c>
      <c r="B58" t="s">
        <v>10</v>
      </c>
      <c r="C58" t="s">
        <v>11</v>
      </c>
      <c r="D58" s="1">
        <v>45465</v>
      </c>
      <c r="E58">
        <v>19.61</v>
      </c>
      <c r="F58">
        <v>7.91</v>
      </c>
      <c r="G58">
        <v>13</v>
      </c>
      <c r="H58" t="s">
        <v>12</v>
      </c>
      <c r="I58">
        <v>6.98</v>
      </c>
      <c r="J58" t="str">
        <f t="shared" si="0"/>
        <v>Jun</v>
      </c>
      <c r="K58">
        <f t="shared" si="1"/>
        <v>2024</v>
      </c>
      <c r="L58">
        <f t="shared" si="2"/>
        <v>136.87780000000001</v>
      </c>
      <c r="M58" t="str">
        <f t="shared" si="3"/>
        <v>Weekend</v>
      </c>
    </row>
    <row r="59" spans="1:13" x14ac:dyDescent="0.35">
      <c r="A59" t="s">
        <v>74</v>
      </c>
      <c r="B59" t="s">
        <v>10</v>
      </c>
      <c r="C59" t="s">
        <v>15</v>
      </c>
      <c r="D59" s="1">
        <v>45393</v>
      </c>
      <c r="E59">
        <v>17.420000000000002</v>
      </c>
      <c r="F59">
        <v>3.86</v>
      </c>
      <c r="G59">
        <v>41</v>
      </c>
      <c r="H59" t="s">
        <v>18</v>
      </c>
      <c r="I59">
        <v>9.3800000000000008</v>
      </c>
      <c r="J59" t="str">
        <f t="shared" si="0"/>
        <v>Apr</v>
      </c>
      <c r="K59">
        <f t="shared" si="1"/>
        <v>2024</v>
      </c>
      <c r="L59">
        <f t="shared" si="2"/>
        <v>163.39960000000002</v>
      </c>
      <c r="M59" t="str">
        <f t="shared" si="3"/>
        <v>Weekday</v>
      </c>
    </row>
    <row r="60" spans="1:13" x14ac:dyDescent="0.35">
      <c r="A60" t="s">
        <v>75</v>
      </c>
      <c r="B60" t="s">
        <v>10</v>
      </c>
      <c r="C60" t="s">
        <v>11</v>
      </c>
      <c r="D60" s="1">
        <v>45502</v>
      </c>
      <c r="E60">
        <v>13.65</v>
      </c>
      <c r="F60">
        <v>1.95</v>
      </c>
      <c r="G60">
        <v>119</v>
      </c>
      <c r="H60" t="s">
        <v>18</v>
      </c>
      <c r="I60">
        <v>6.5</v>
      </c>
      <c r="J60" t="str">
        <f t="shared" si="0"/>
        <v>Jul</v>
      </c>
      <c r="K60">
        <f t="shared" si="1"/>
        <v>2024</v>
      </c>
      <c r="L60">
        <f t="shared" si="2"/>
        <v>88.725000000000009</v>
      </c>
      <c r="M60" t="str">
        <f t="shared" si="3"/>
        <v>Weekday</v>
      </c>
    </row>
    <row r="61" spans="1:13" x14ac:dyDescent="0.35">
      <c r="A61" t="s">
        <v>76</v>
      </c>
      <c r="B61" t="s">
        <v>10</v>
      </c>
      <c r="C61" t="s">
        <v>11</v>
      </c>
      <c r="D61" s="1">
        <v>45626</v>
      </c>
      <c r="E61">
        <v>32.799999999999997</v>
      </c>
      <c r="F61">
        <v>8.5500000000000007</v>
      </c>
      <c r="G61">
        <v>66</v>
      </c>
      <c r="H61" t="s">
        <v>12</v>
      </c>
      <c r="I61">
        <v>7.32</v>
      </c>
      <c r="J61" t="str">
        <f t="shared" si="0"/>
        <v>Nov</v>
      </c>
      <c r="K61">
        <f t="shared" si="1"/>
        <v>2024</v>
      </c>
      <c r="L61">
        <f t="shared" si="2"/>
        <v>240.09599999999998</v>
      </c>
      <c r="M61" t="str">
        <f t="shared" si="3"/>
        <v>Weekend</v>
      </c>
    </row>
    <row r="62" spans="1:13" x14ac:dyDescent="0.35">
      <c r="A62" t="s">
        <v>77</v>
      </c>
      <c r="B62" t="s">
        <v>14</v>
      </c>
      <c r="C62" t="s">
        <v>24</v>
      </c>
      <c r="D62" s="1">
        <v>45531</v>
      </c>
      <c r="E62">
        <v>7.99</v>
      </c>
      <c r="F62">
        <v>3.69</v>
      </c>
      <c r="G62">
        <v>48</v>
      </c>
      <c r="H62" t="s">
        <v>18</v>
      </c>
      <c r="I62">
        <v>8.16</v>
      </c>
      <c r="J62" t="str">
        <f t="shared" si="0"/>
        <v>Aug</v>
      </c>
      <c r="K62">
        <f t="shared" si="1"/>
        <v>2024</v>
      </c>
      <c r="L62">
        <f t="shared" si="2"/>
        <v>65.198400000000007</v>
      </c>
      <c r="M62" t="str">
        <f t="shared" si="3"/>
        <v>Weekday</v>
      </c>
    </row>
    <row r="63" spans="1:13" x14ac:dyDescent="0.35">
      <c r="A63" t="s">
        <v>78</v>
      </c>
      <c r="B63" t="s">
        <v>17</v>
      </c>
      <c r="C63" t="s">
        <v>11</v>
      </c>
      <c r="D63" s="1">
        <v>45633</v>
      </c>
      <c r="E63">
        <v>23.1</v>
      </c>
      <c r="F63">
        <v>2.73</v>
      </c>
      <c r="G63">
        <v>106</v>
      </c>
      <c r="H63" t="s">
        <v>12</v>
      </c>
      <c r="I63">
        <v>5.48</v>
      </c>
      <c r="J63" t="str">
        <f t="shared" si="0"/>
        <v>Dec</v>
      </c>
      <c r="K63">
        <f t="shared" si="1"/>
        <v>2024</v>
      </c>
      <c r="L63">
        <f t="shared" si="2"/>
        <v>126.58800000000002</v>
      </c>
      <c r="M63" t="str">
        <f t="shared" si="3"/>
        <v>Weekend</v>
      </c>
    </row>
    <row r="64" spans="1:13" x14ac:dyDescent="0.35">
      <c r="A64" t="s">
        <v>79</v>
      </c>
      <c r="B64" t="s">
        <v>17</v>
      </c>
      <c r="C64" t="s">
        <v>24</v>
      </c>
      <c r="D64" s="1">
        <v>45600</v>
      </c>
      <c r="E64">
        <v>22.62</v>
      </c>
      <c r="F64">
        <v>6.94</v>
      </c>
      <c r="G64">
        <v>74</v>
      </c>
      <c r="H64" t="s">
        <v>18</v>
      </c>
      <c r="I64">
        <v>3.44</v>
      </c>
      <c r="J64" t="str">
        <f t="shared" si="0"/>
        <v>Nov</v>
      </c>
      <c r="K64">
        <f t="shared" si="1"/>
        <v>2024</v>
      </c>
      <c r="L64">
        <f t="shared" si="2"/>
        <v>77.812799999999996</v>
      </c>
      <c r="M64" t="str">
        <f t="shared" si="3"/>
        <v>Weekday</v>
      </c>
    </row>
    <row r="65" spans="1:13" x14ac:dyDescent="0.35">
      <c r="A65" t="s">
        <v>80</v>
      </c>
      <c r="B65" t="s">
        <v>17</v>
      </c>
      <c r="C65" t="s">
        <v>11</v>
      </c>
      <c r="D65" s="1">
        <v>45415</v>
      </c>
      <c r="E65">
        <v>21.87</v>
      </c>
      <c r="F65">
        <v>6.81</v>
      </c>
      <c r="G65">
        <v>20</v>
      </c>
      <c r="H65" t="s">
        <v>12</v>
      </c>
      <c r="I65">
        <v>8.59</v>
      </c>
      <c r="J65" t="str">
        <f t="shared" si="0"/>
        <v>May</v>
      </c>
      <c r="K65">
        <f t="shared" si="1"/>
        <v>2024</v>
      </c>
      <c r="L65">
        <f t="shared" si="2"/>
        <v>187.86330000000001</v>
      </c>
      <c r="M65" t="str">
        <f t="shared" si="3"/>
        <v>Weekday</v>
      </c>
    </row>
    <row r="66" spans="1:13" x14ac:dyDescent="0.35">
      <c r="A66" t="s">
        <v>81</v>
      </c>
      <c r="B66" t="s">
        <v>14</v>
      </c>
      <c r="C66" t="s">
        <v>24</v>
      </c>
      <c r="D66" s="1">
        <v>45366</v>
      </c>
      <c r="E66">
        <v>23.56</v>
      </c>
      <c r="F66">
        <v>5.16</v>
      </c>
      <c r="G66">
        <v>59</v>
      </c>
      <c r="H66" t="s">
        <v>18</v>
      </c>
      <c r="I66">
        <v>5.16</v>
      </c>
      <c r="J66" t="str">
        <f t="shared" si="0"/>
        <v>Mar</v>
      </c>
      <c r="K66">
        <f t="shared" si="1"/>
        <v>2024</v>
      </c>
      <c r="L66">
        <f t="shared" si="2"/>
        <v>121.56959999999999</v>
      </c>
      <c r="M66" t="str">
        <f t="shared" si="3"/>
        <v>Weekday</v>
      </c>
    </row>
    <row r="67" spans="1:13" x14ac:dyDescent="0.35">
      <c r="A67" t="s">
        <v>82</v>
      </c>
      <c r="B67" t="s">
        <v>17</v>
      </c>
      <c r="C67" t="s">
        <v>15</v>
      </c>
      <c r="D67" s="1">
        <v>45482</v>
      </c>
      <c r="E67">
        <v>28.54</v>
      </c>
      <c r="F67">
        <v>6.08</v>
      </c>
      <c r="G67">
        <v>17</v>
      </c>
      <c r="H67" t="s">
        <v>12</v>
      </c>
      <c r="I67">
        <v>7.35</v>
      </c>
      <c r="J67" t="str">
        <f t="shared" ref="J67:J130" si="4">TEXT(D67,"mmm")</f>
        <v>Jul</v>
      </c>
      <c r="K67">
        <f t="shared" ref="K67:K130" si="5">YEAR(D67)</f>
        <v>2024</v>
      </c>
      <c r="L67">
        <f t="shared" ref="L67:L130" si="6">E67*I67</f>
        <v>209.76899999999998</v>
      </c>
      <c r="M67" t="str">
        <f t="shared" ref="M67:M130" si="7">IF(OR(WEEKDAY(D67)=1,WEEKDAY(D67)=7),"Weekend","Weekday")</f>
        <v>Weekday</v>
      </c>
    </row>
    <row r="68" spans="1:13" x14ac:dyDescent="0.35">
      <c r="A68" t="s">
        <v>83</v>
      </c>
      <c r="B68" t="s">
        <v>14</v>
      </c>
      <c r="C68" t="s">
        <v>11</v>
      </c>
      <c r="D68" s="1">
        <v>45353</v>
      </c>
      <c r="E68">
        <v>96.12</v>
      </c>
      <c r="F68">
        <v>6.83</v>
      </c>
      <c r="G68">
        <v>114</v>
      </c>
      <c r="H68" t="s">
        <v>12</v>
      </c>
      <c r="I68">
        <v>9.11</v>
      </c>
      <c r="J68" t="str">
        <f t="shared" si="4"/>
        <v>Mar</v>
      </c>
      <c r="K68">
        <f t="shared" si="5"/>
        <v>2024</v>
      </c>
      <c r="L68">
        <f t="shared" si="6"/>
        <v>875.65319999999997</v>
      </c>
      <c r="M68" t="str">
        <f t="shared" si="7"/>
        <v>Weekend</v>
      </c>
    </row>
    <row r="69" spans="1:13" x14ac:dyDescent="0.35">
      <c r="A69" t="s">
        <v>84</v>
      </c>
      <c r="B69" t="s">
        <v>14</v>
      </c>
      <c r="C69" t="s">
        <v>24</v>
      </c>
      <c r="D69" s="1">
        <v>45412</v>
      </c>
      <c r="E69">
        <v>70.040000000000006</v>
      </c>
      <c r="F69">
        <v>7.92</v>
      </c>
      <c r="G69">
        <v>39</v>
      </c>
      <c r="H69" t="s">
        <v>12</v>
      </c>
      <c r="I69">
        <v>6.49</v>
      </c>
      <c r="J69" t="str">
        <f t="shared" si="4"/>
        <v>Apr</v>
      </c>
      <c r="K69">
        <f t="shared" si="5"/>
        <v>2024</v>
      </c>
      <c r="L69">
        <f t="shared" si="6"/>
        <v>454.55960000000005</v>
      </c>
      <c r="M69" t="str">
        <f t="shared" si="7"/>
        <v>Weekday</v>
      </c>
    </row>
    <row r="70" spans="1:13" x14ac:dyDescent="0.35">
      <c r="A70" t="s">
        <v>85</v>
      </c>
      <c r="B70" t="s">
        <v>10</v>
      </c>
      <c r="C70" t="s">
        <v>24</v>
      </c>
      <c r="D70" s="1">
        <v>45304</v>
      </c>
      <c r="E70">
        <v>16</v>
      </c>
      <c r="F70">
        <v>5.73</v>
      </c>
      <c r="G70">
        <v>13</v>
      </c>
      <c r="H70" t="s">
        <v>12</v>
      </c>
      <c r="I70">
        <v>6.48</v>
      </c>
      <c r="J70" t="str">
        <f t="shared" si="4"/>
        <v>Jan</v>
      </c>
      <c r="K70">
        <f t="shared" si="5"/>
        <v>2024</v>
      </c>
      <c r="L70">
        <f t="shared" si="6"/>
        <v>103.68</v>
      </c>
      <c r="M70" t="str">
        <f t="shared" si="7"/>
        <v>Weekend</v>
      </c>
    </row>
    <row r="71" spans="1:13" x14ac:dyDescent="0.35">
      <c r="A71" t="s">
        <v>86</v>
      </c>
      <c r="B71" t="s">
        <v>14</v>
      </c>
      <c r="C71" t="s">
        <v>11</v>
      </c>
      <c r="D71" s="1">
        <v>45336</v>
      </c>
      <c r="E71">
        <v>32.6</v>
      </c>
      <c r="F71">
        <v>7.33</v>
      </c>
      <c r="G71">
        <v>41</v>
      </c>
      <c r="H71" t="s">
        <v>18</v>
      </c>
      <c r="I71">
        <v>7.31</v>
      </c>
      <c r="J71" t="str">
        <f t="shared" si="4"/>
        <v>Feb</v>
      </c>
      <c r="K71">
        <f t="shared" si="5"/>
        <v>2024</v>
      </c>
      <c r="L71">
        <f t="shared" si="6"/>
        <v>238.30600000000001</v>
      </c>
      <c r="M71" t="str">
        <f t="shared" si="7"/>
        <v>Weekday</v>
      </c>
    </row>
    <row r="72" spans="1:13" x14ac:dyDescent="0.35">
      <c r="A72" t="s">
        <v>87</v>
      </c>
      <c r="B72" t="s">
        <v>14</v>
      </c>
      <c r="C72" t="s">
        <v>15</v>
      </c>
      <c r="D72" s="1">
        <v>45474</v>
      </c>
      <c r="E72">
        <v>86.88</v>
      </c>
      <c r="F72">
        <v>9.18</v>
      </c>
      <c r="G72">
        <v>81</v>
      </c>
      <c r="H72" t="s">
        <v>12</v>
      </c>
      <c r="I72">
        <v>9.43</v>
      </c>
      <c r="J72" t="str">
        <f t="shared" si="4"/>
        <v>Jul</v>
      </c>
      <c r="K72">
        <f t="shared" si="5"/>
        <v>2024</v>
      </c>
      <c r="L72">
        <f t="shared" si="6"/>
        <v>819.27839999999992</v>
      </c>
      <c r="M72" t="str">
        <f t="shared" si="7"/>
        <v>Weekday</v>
      </c>
    </row>
    <row r="73" spans="1:13" x14ac:dyDescent="0.35">
      <c r="A73" t="s">
        <v>88</v>
      </c>
      <c r="B73" t="s">
        <v>14</v>
      </c>
      <c r="C73" t="s">
        <v>11</v>
      </c>
      <c r="D73" s="1">
        <v>45626</v>
      </c>
      <c r="E73">
        <v>99.37</v>
      </c>
      <c r="F73">
        <v>4.84</v>
      </c>
      <c r="G73">
        <v>23</v>
      </c>
      <c r="H73" t="s">
        <v>12</v>
      </c>
      <c r="I73">
        <v>4.63</v>
      </c>
      <c r="J73" t="str">
        <f t="shared" si="4"/>
        <v>Nov</v>
      </c>
      <c r="K73">
        <f t="shared" si="5"/>
        <v>2024</v>
      </c>
      <c r="L73">
        <f t="shared" si="6"/>
        <v>460.0831</v>
      </c>
      <c r="M73" t="str">
        <f t="shared" si="7"/>
        <v>Weekend</v>
      </c>
    </row>
    <row r="74" spans="1:13" x14ac:dyDescent="0.35">
      <c r="A74" t="s">
        <v>89</v>
      </c>
      <c r="B74" t="s">
        <v>10</v>
      </c>
      <c r="C74" t="s">
        <v>15</v>
      </c>
      <c r="D74" s="1">
        <v>45396</v>
      </c>
      <c r="E74">
        <v>73.25</v>
      </c>
      <c r="F74">
        <v>6.7</v>
      </c>
      <c r="G74">
        <v>95</v>
      </c>
      <c r="H74" t="s">
        <v>12</v>
      </c>
      <c r="I74">
        <v>6.77</v>
      </c>
      <c r="J74" t="str">
        <f t="shared" si="4"/>
        <v>Apr</v>
      </c>
      <c r="K74">
        <f t="shared" si="5"/>
        <v>2024</v>
      </c>
      <c r="L74">
        <f t="shared" si="6"/>
        <v>495.90249999999997</v>
      </c>
      <c r="M74" t="str">
        <f t="shared" si="7"/>
        <v>Weekend</v>
      </c>
    </row>
    <row r="75" spans="1:13" x14ac:dyDescent="0.35">
      <c r="A75" t="s">
        <v>90</v>
      </c>
      <c r="B75" t="s">
        <v>10</v>
      </c>
      <c r="C75" t="s">
        <v>11</v>
      </c>
      <c r="D75" s="1">
        <v>45580</v>
      </c>
      <c r="E75">
        <v>51.77</v>
      </c>
      <c r="F75">
        <v>3.08</v>
      </c>
      <c r="G75">
        <v>117</v>
      </c>
      <c r="H75" t="s">
        <v>18</v>
      </c>
      <c r="I75">
        <v>5.04</v>
      </c>
      <c r="J75" t="str">
        <f t="shared" si="4"/>
        <v>Oct</v>
      </c>
      <c r="K75">
        <f t="shared" si="5"/>
        <v>2024</v>
      </c>
      <c r="L75">
        <f t="shared" si="6"/>
        <v>260.92080000000004</v>
      </c>
      <c r="M75" t="str">
        <f t="shared" si="7"/>
        <v>Weekday</v>
      </c>
    </row>
    <row r="76" spans="1:13" x14ac:dyDescent="0.35">
      <c r="A76" t="s">
        <v>91</v>
      </c>
      <c r="B76" t="s">
        <v>10</v>
      </c>
      <c r="C76" t="s">
        <v>15</v>
      </c>
      <c r="D76" s="1">
        <v>45594</v>
      </c>
      <c r="E76">
        <v>65.150000000000006</v>
      </c>
      <c r="F76">
        <v>7.91</v>
      </c>
      <c r="G76">
        <v>3</v>
      </c>
      <c r="H76" t="s">
        <v>18</v>
      </c>
      <c r="I76">
        <v>6.08</v>
      </c>
      <c r="J76" t="str">
        <f t="shared" si="4"/>
        <v>Oct</v>
      </c>
      <c r="K76">
        <f t="shared" si="5"/>
        <v>2024</v>
      </c>
      <c r="L76">
        <f t="shared" si="6"/>
        <v>396.11200000000002</v>
      </c>
      <c r="M76" t="str">
        <f t="shared" si="7"/>
        <v>Weekday</v>
      </c>
    </row>
    <row r="77" spans="1:13" x14ac:dyDescent="0.35">
      <c r="A77" t="s">
        <v>92</v>
      </c>
      <c r="B77" t="s">
        <v>10</v>
      </c>
      <c r="C77" t="s">
        <v>24</v>
      </c>
      <c r="D77" s="1">
        <v>45371</v>
      </c>
      <c r="E77">
        <v>24.8</v>
      </c>
      <c r="F77">
        <v>6.78</v>
      </c>
      <c r="G77">
        <v>50</v>
      </c>
      <c r="H77" t="s">
        <v>12</v>
      </c>
      <c r="I77">
        <v>9.99</v>
      </c>
      <c r="J77" t="str">
        <f t="shared" si="4"/>
        <v>Mar</v>
      </c>
      <c r="K77">
        <f t="shared" si="5"/>
        <v>2024</v>
      </c>
      <c r="L77">
        <f t="shared" si="6"/>
        <v>247.75200000000001</v>
      </c>
      <c r="M77" t="str">
        <f t="shared" si="7"/>
        <v>Weekday</v>
      </c>
    </row>
    <row r="78" spans="1:13" x14ac:dyDescent="0.35">
      <c r="A78" t="s">
        <v>93</v>
      </c>
      <c r="B78" t="s">
        <v>10</v>
      </c>
      <c r="C78" t="s">
        <v>24</v>
      </c>
      <c r="D78" s="1">
        <v>45382</v>
      </c>
      <c r="E78">
        <v>43.54</v>
      </c>
      <c r="F78">
        <v>7.84</v>
      </c>
      <c r="G78">
        <v>59</v>
      </c>
      <c r="H78" t="s">
        <v>18</v>
      </c>
      <c r="I78">
        <v>7.43</v>
      </c>
      <c r="J78" t="str">
        <f t="shared" si="4"/>
        <v>Mar</v>
      </c>
      <c r="K78">
        <f t="shared" si="5"/>
        <v>2024</v>
      </c>
      <c r="L78">
        <f t="shared" si="6"/>
        <v>323.50219999999996</v>
      </c>
      <c r="M78" t="str">
        <f t="shared" si="7"/>
        <v>Weekend</v>
      </c>
    </row>
    <row r="79" spans="1:13" x14ac:dyDescent="0.35">
      <c r="A79" t="s">
        <v>94</v>
      </c>
      <c r="B79" t="s">
        <v>14</v>
      </c>
      <c r="C79" t="s">
        <v>24</v>
      </c>
      <c r="D79" s="1">
        <v>45536</v>
      </c>
      <c r="E79">
        <v>79.42</v>
      </c>
      <c r="F79">
        <v>8.3800000000000008</v>
      </c>
      <c r="G79">
        <v>55</v>
      </c>
      <c r="H79" t="s">
        <v>18</v>
      </c>
      <c r="I79">
        <v>4.7</v>
      </c>
      <c r="J79" t="str">
        <f t="shared" si="4"/>
        <v>Sep</v>
      </c>
      <c r="K79">
        <f t="shared" si="5"/>
        <v>2024</v>
      </c>
      <c r="L79">
        <f t="shared" si="6"/>
        <v>373.274</v>
      </c>
      <c r="M79" t="str">
        <f t="shared" si="7"/>
        <v>Weekend</v>
      </c>
    </row>
    <row r="80" spans="1:13" x14ac:dyDescent="0.35">
      <c r="A80" t="s">
        <v>95</v>
      </c>
      <c r="B80" t="s">
        <v>14</v>
      </c>
      <c r="C80" t="s">
        <v>15</v>
      </c>
      <c r="D80" s="1">
        <v>45632</v>
      </c>
      <c r="E80">
        <v>51.64</v>
      </c>
      <c r="F80">
        <v>4.4000000000000004</v>
      </c>
      <c r="G80">
        <v>88</v>
      </c>
      <c r="H80" t="s">
        <v>12</v>
      </c>
      <c r="I80">
        <v>9.2200000000000006</v>
      </c>
      <c r="J80" t="str">
        <f t="shared" si="4"/>
        <v>Dec</v>
      </c>
      <c r="K80">
        <f t="shared" si="5"/>
        <v>2024</v>
      </c>
      <c r="L80">
        <f t="shared" si="6"/>
        <v>476.12080000000003</v>
      </c>
      <c r="M80" t="str">
        <f t="shared" si="7"/>
        <v>Weekday</v>
      </c>
    </row>
    <row r="81" spans="1:13" x14ac:dyDescent="0.35">
      <c r="A81" t="s">
        <v>96</v>
      </c>
      <c r="B81" t="s">
        <v>10</v>
      </c>
      <c r="C81" t="s">
        <v>11</v>
      </c>
      <c r="D81" s="1">
        <v>45360</v>
      </c>
      <c r="E81">
        <v>86.19</v>
      </c>
      <c r="F81">
        <v>9.0299999999999994</v>
      </c>
      <c r="G81">
        <v>1</v>
      </c>
      <c r="H81" t="s">
        <v>12</v>
      </c>
      <c r="I81">
        <v>7.96</v>
      </c>
      <c r="J81" t="str">
        <f t="shared" si="4"/>
        <v>Mar</v>
      </c>
      <c r="K81">
        <f t="shared" si="5"/>
        <v>2024</v>
      </c>
      <c r="L81">
        <f t="shared" si="6"/>
        <v>686.07240000000002</v>
      </c>
      <c r="M81" t="str">
        <f t="shared" si="7"/>
        <v>Weekend</v>
      </c>
    </row>
    <row r="82" spans="1:13" x14ac:dyDescent="0.35">
      <c r="A82" t="s">
        <v>97</v>
      </c>
      <c r="B82" t="s">
        <v>17</v>
      </c>
      <c r="C82" t="s">
        <v>24</v>
      </c>
      <c r="D82" s="1">
        <v>45394</v>
      </c>
      <c r="E82">
        <v>76.48</v>
      </c>
      <c r="F82">
        <v>4.51</v>
      </c>
      <c r="G82">
        <v>83</v>
      </c>
      <c r="H82" t="s">
        <v>12</v>
      </c>
      <c r="I82">
        <v>3.94</v>
      </c>
      <c r="J82" t="str">
        <f t="shared" si="4"/>
        <v>Apr</v>
      </c>
      <c r="K82">
        <f t="shared" si="5"/>
        <v>2024</v>
      </c>
      <c r="L82">
        <f t="shared" si="6"/>
        <v>301.33120000000002</v>
      </c>
      <c r="M82" t="str">
        <f t="shared" si="7"/>
        <v>Weekday</v>
      </c>
    </row>
    <row r="83" spans="1:13" x14ac:dyDescent="0.35">
      <c r="A83" t="s">
        <v>98</v>
      </c>
      <c r="B83" t="s">
        <v>10</v>
      </c>
      <c r="C83" t="s">
        <v>24</v>
      </c>
      <c r="D83" s="1">
        <v>45612</v>
      </c>
      <c r="E83">
        <v>20.98</v>
      </c>
      <c r="F83">
        <v>4.25</v>
      </c>
      <c r="G83">
        <v>21</v>
      </c>
      <c r="H83" t="s">
        <v>18</v>
      </c>
      <c r="I83">
        <v>7.06</v>
      </c>
      <c r="J83" t="str">
        <f t="shared" si="4"/>
        <v>Nov</v>
      </c>
      <c r="K83">
        <f t="shared" si="5"/>
        <v>2024</v>
      </c>
      <c r="L83">
        <f t="shared" si="6"/>
        <v>148.11879999999999</v>
      </c>
      <c r="M83" t="str">
        <f t="shared" si="7"/>
        <v>Weekend</v>
      </c>
    </row>
    <row r="84" spans="1:13" x14ac:dyDescent="0.35">
      <c r="A84" t="s">
        <v>99</v>
      </c>
      <c r="B84" t="s">
        <v>17</v>
      </c>
      <c r="C84" t="s">
        <v>24</v>
      </c>
      <c r="D84" s="1">
        <v>45496</v>
      </c>
      <c r="E84">
        <v>57.77</v>
      </c>
      <c r="F84">
        <v>4.8</v>
      </c>
      <c r="G84">
        <v>113</v>
      </c>
      <c r="H84" t="s">
        <v>18</v>
      </c>
      <c r="I84">
        <v>7.41</v>
      </c>
      <c r="J84" t="str">
        <f t="shared" si="4"/>
        <v>Jul</v>
      </c>
      <c r="K84">
        <f t="shared" si="5"/>
        <v>2024</v>
      </c>
      <c r="L84">
        <f t="shared" si="6"/>
        <v>428.07570000000004</v>
      </c>
      <c r="M84" t="str">
        <f t="shared" si="7"/>
        <v>Weekday</v>
      </c>
    </row>
    <row r="85" spans="1:13" x14ac:dyDescent="0.35">
      <c r="A85" t="s">
        <v>100</v>
      </c>
      <c r="B85" t="s">
        <v>17</v>
      </c>
      <c r="C85" t="s">
        <v>11</v>
      </c>
      <c r="D85" s="1">
        <v>45591</v>
      </c>
      <c r="E85">
        <v>12.84</v>
      </c>
      <c r="F85">
        <v>4.25</v>
      </c>
      <c r="G85">
        <v>36</v>
      </c>
      <c r="H85" t="s">
        <v>18</v>
      </c>
      <c r="I85">
        <v>9.92</v>
      </c>
      <c r="J85" t="str">
        <f t="shared" si="4"/>
        <v>Oct</v>
      </c>
      <c r="K85">
        <f t="shared" si="5"/>
        <v>2024</v>
      </c>
      <c r="L85">
        <f t="shared" si="6"/>
        <v>127.3728</v>
      </c>
      <c r="M85" t="str">
        <f t="shared" si="7"/>
        <v>Weekend</v>
      </c>
    </row>
    <row r="86" spans="1:13" x14ac:dyDescent="0.35">
      <c r="A86" t="s">
        <v>101</v>
      </c>
      <c r="B86" t="s">
        <v>10</v>
      </c>
      <c r="C86" t="s">
        <v>11</v>
      </c>
      <c r="D86" s="1">
        <v>45521</v>
      </c>
      <c r="E86">
        <v>31.48</v>
      </c>
      <c r="F86">
        <v>4.8600000000000003</v>
      </c>
      <c r="G86">
        <v>91</v>
      </c>
      <c r="H86" t="s">
        <v>18</v>
      </c>
      <c r="I86">
        <v>7.17</v>
      </c>
      <c r="J86" t="str">
        <f t="shared" si="4"/>
        <v>Aug</v>
      </c>
      <c r="K86">
        <f t="shared" si="5"/>
        <v>2024</v>
      </c>
      <c r="L86">
        <f t="shared" si="6"/>
        <v>225.7116</v>
      </c>
      <c r="M86" t="str">
        <f t="shared" si="7"/>
        <v>Weekend</v>
      </c>
    </row>
    <row r="87" spans="1:13" x14ac:dyDescent="0.35">
      <c r="A87" t="s">
        <v>102</v>
      </c>
      <c r="B87" t="s">
        <v>17</v>
      </c>
      <c r="C87" t="s">
        <v>15</v>
      </c>
      <c r="D87" s="1">
        <v>45627</v>
      </c>
      <c r="E87">
        <v>97.27</v>
      </c>
      <c r="F87">
        <v>5.29</v>
      </c>
      <c r="G87">
        <v>18</v>
      </c>
      <c r="H87" t="s">
        <v>12</v>
      </c>
      <c r="I87">
        <v>9.2899999999999991</v>
      </c>
      <c r="J87" t="str">
        <f t="shared" si="4"/>
        <v>Dec</v>
      </c>
      <c r="K87">
        <f t="shared" si="5"/>
        <v>2024</v>
      </c>
      <c r="L87">
        <f t="shared" si="6"/>
        <v>903.63829999999984</v>
      </c>
      <c r="M87" t="str">
        <f t="shared" si="7"/>
        <v>Weekend</v>
      </c>
    </row>
    <row r="88" spans="1:13" x14ac:dyDescent="0.35">
      <c r="A88" t="s">
        <v>103</v>
      </c>
      <c r="B88" t="s">
        <v>14</v>
      </c>
      <c r="C88" t="s">
        <v>11</v>
      </c>
      <c r="D88" s="1">
        <v>45461</v>
      </c>
      <c r="E88">
        <v>84.77</v>
      </c>
      <c r="F88">
        <v>3.72</v>
      </c>
      <c r="G88">
        <v>39</v>
      </c>
      <c r="H88" t="s">
        <v>12</v>
      </c>
      <c r="I88">
        <v>5.97</v>
      </c>
      <c r="J88" t="str">
        <f t="shared" si="4"/>
        <v>Jun</v>
      </c>
      <c r="K88">
        <f t="shared" si="5"/>
        <v>2024</v>
      </c>
      <c r="L88">
        <f t="shared" si="6"/>
        <v>506.07689999999997</v>
      </c>
      <c r="M88" t="str">
        <f t="shared" si="7"/>
        <v>Weekday</v>
      </c>
    </row>
    <row r="89" spans="1:13" x14ac:dyDescent="0.35">
      <c r="A89" t="s">
        <v>104</v>
      </c>
      <c r="B89" t="s">
        <v>14</v>
      </c>
      <c r="C89" t="s">
        <v>11</v>
      </c>
      <c r="D89" s="1">
        <v>45343</v>
      </c>
      <c r="E89">
        <v>54.94</v>
      </c>
      <c r="F89">
        <v>9.27</v>
      </c>
      <c r="G89">
        <v>30</v>
      </c>
      <c r="H89" t="s">
        <v>18</v>
      </c>
      <c r="I89">
        <v>7.23</v>
      </c>
      <c r="J89" t="str">
        <f t="shared" si="4"/>
        <v>Feb</v>
      </c>
      <c r="K89">
        <f t="shared" si="5"/>
        <v>2024</v>
      </c>
      <c r="L89">
        <f t="shared" si="6"/>
        <v>397.21620000000001</v>
      </c>
      <c r="M89" t="str">
        <f t="shared" si="7"/>
        <v>Weekday</v>
      </c>
    </row>
    <row r="90" spans="1:13" x14ac:dyDescent="0.35">
      <c r="A90" t="s">
        <v>105</v>
      </c>
      <c r="B90" t="s">
        <v>17</v>
      </c>
      <c r="C90" t="s">
        <v>11</v>
      </c>
      <c r="D90" s="1">
        <v>45470</v>
      </c>
      <c r="E90">
        <v>78.95</v>
      </c>
      <c r="F90">
        <v>2.4900000000000002</v>
      </c>
      <c r="G90">
        <v>105</v>
      </c>
      <c r="H90" t="s">
        <v>12</v>
      </c>
      <c r="I90">
        <v>6.16</v>
      </c>
      <c r="J90" t="str">
        <f t="shared" si="4"/>
        <v>Jun</v>
      </c>
      <c r="K90">
        <f t="shared" si="5"/>
        <v>2024</v>
      </c>
      <c r="L90">
        <f t="shared" si="6"/>
        <v>486.33200000000005</v>
      </c>
      <c r="M90" t="str">
        <f t="shared" si="7"/>
        <v>Weekday</v>
      </c>
    </row>
    <row r="91" spans="1:13" x14ac:dyDescent="0.35">
      <c r="A91" t="s">
        <v>106</v>
      </c>
      <c r="B91" t="s">
        <v>17</v>
      </c>
      <c r="C91" t="s">
        <v>11</v>
      </c>
      <c r="D91" s="1">
        <v>45325</v>
      </c>
      <c r="E91">
        <v>61.54</v>
      </c>
      <c r="F91">
        <v>6.06</v>
      </c>
      <c r="G91">
        <v>15</v>
      </c>
      <c r="H91" t="s">
        <v>12</v>
      </c>
      <c r="I91">
        <v>5.45</v>
      </c>
      <c r="J91" t="str">
        <f t="shared" si="4"/>
        <v>Feb</v>
      </c>
      <c r="K91">
        <f t="shared" si="5"/>
        <v>2024</v>
      </c>
      <c r="L91">
        <f t="shared" si="6"/>
        <v>335.39300000000003</v>
      </c>
      <c r="M91" t="str">
        <f t="shared" si="7"/>
        <v>Weekend</v>
      </c>
    </row>
    <row r="92" spans="1:13" x14ac:dyDescent="0.35">
      <c r="A92" t="s">
        <v>107</v>
      </c>
      <c r="B92" t="s">
        <v>14</v>
      </c>
      <c r="C92" t="s">
        <v>24</v>
      </c>
      <c r="D92" s="1">
        <v>45512</v>
      </c>
      <c r="E92">
        <v>76.48</v>
      </c>
      <c r="F92">
        <v>9.74</v>
      </c>
      <c r="G92">
        <v>58</v>
      </c>
      <c r="H92" t="s">
        <v>18</v>
      </c>
      <c r="I92">
        <v>9.61</v>
      </c>
      <c r="J92" t="str">
        <f t="shared" si="4"/>
        <v>Aug</v>
      </c>
      <c r="K92">
        <f t="shared" si="5"/>
        <v>2024</v>
      </c>
      <c r="L92">
        <f t="shared" si="6"/>
        <v>734.97280000000001</v>
      </c>
      <c r="M92" t="str">
        <f t="shared" si="7"/>
        <v>Weekday</v>
      </c>
    </row>
    <row r="93" spans="1:13" x14ac:dyDescent="0.35">
      <c r="A93" t="s">
        <v>108</v>
      </c>
      <c r="B93" t="s">
        <v>17</v>
      </c>
      <c r="C93" t="s">
        <v>15</v>
      </c>
      <c r="D93" s="1">
        <v>45318</v>
      </c>
      <c r="E93">
        <v>47.53</v>
      </c>
      <c r="F93">
        <v>4.45</v>
      </c>
      <c r="G93">
        <v>58</v>
      </c>
      <c r="H93" t="s">
        <v>18</v>
      </c>
      <c r="I93">
        <v>9.8800000000000008</v>
      </c>
      <c r="J93" t="str">
        <f t="shared" si="4"/>
        <v>Jan</v>
      </c>
      <c r="K93">
        <f t="shared" si="5"/>
        <v>2024</v>
      </c>
      <c r="L93">
        <f t="shared" si="6"/>
        <v>469.59640000000007</v>
      </c>
      <c r="M93" t="str">
        <f t="shared" si="7"/>
        <v>Weekend</v>
      </c>
    </row>
    <row r="94" spans="1:13" x14ac:dyDescent="0.35">
      <c r="A94" t="s">
        <v>109</v>
      </c>
      <c r="B94" t="s">
        <v>10</v>
      </c>
      <c r="C94" t="s">
        <v>15</v>
      </c>
      <c r="D94" s="1">
        <v>45470</v>
      </c>
      <c r="E94">
        <v>6.27</v>
      </c>
      <c r="F94">
        <v>1.1000000000000001</v>
      </c>
      <c r="G94">
        <v>46</v>
      </c>
      <c r="H94" t="s">
        <v>18</v>
      </c>
      <c r="I94">
        <v>7.7</v>
      </c>
      <c r="J94" t="str">
        <f t="shared" si="4"/>
        <v>Jun</v>
      </c>
      <c r="K94">
        <f t="shared" si="5"/>
        <v>2024</v>
      </c>
      <c r="L94">
        <f t="shared" si="6"/>
        <v>48.278999999999996</v>
      </c>
      <c r="M94" t="str">
        <f t="shared" si="7"/>
        <v>Weekday</v>
      </c>
    </row>
    <row r="95" spans="1:13" x14ac:dyDescent="0.35">
      <c r="A95" t="s">
        <v>110</v>
      </c>
      <c r="B95" t="s">
        <v>10</v>
      </c>
      <c r="C95" t="s">
        <v>24</v>
      </c>
      <c r="D95" s="1">
        <v>45494</v>
      </c>
      <c r="E95">
        <v>78.430000000000007</v>
      </c>
      <c r="F95">
        <v>8.7799999999999994</v>
      </c>
      <c r="G95">
        <v>69</v>
      </c>
      <c r="H95" t="s">
        <v>12</v>
      </c>
      <c r="I95">
        <v>4.05</v>
      </c>
      <c r="J95" t="str">
        <f t="shared" si="4"/>
        <v>Jul</v>
      </c>
      <c r="K95">
        <f t="shared" si="5"/>
        <v>2024</v>
      </c>
      <c r="L95">
        <f t="shared" si="6"/>
        <v>317.64150000000001</v>
      </c>
      <c r="M95" t="str">
        <f t="shared" si="7"/>
        <v>Weekend</v>
      </c>
    </row>
    <row r="96" spans="1:13" x14ac:dyDescent="0.35">
      <c r="A96" t="s">
        <v>111</v>
      </c>
      <c r="B96" t="s">
        <v>10</v>
      </c>
      <c r="C96" t="s">
        <v>24</v>
      </c>
      <c r="D96" s="1">
        <v>45472</v>
      </c>
      <c r="E96">
        <v>23.7</v>
      </c>
      <c r="F96">
        <v>4.25</v>
      </c>
      <c r="G96">
        <v>60</v>
      </c>
      <c r="H96" t="s">
        <v>12</v>
      </c>
      <c r="I96">
        <v>7.27</v>
      </c>
      <c r="J96" t="str">
        <f t="shared" si="4"/>
        <v>Jun</v>
      </c>
      <c r="K96">
        <f t="shared" si="5"/>
        <v>2024</v>
      </c>
      <c r="L96">
        <f t="shared" si="6"/>
        <v>172.29899999999998</v>
      </c>
      <c r="M96" t="str">
        <f t="shared" si="7"/>
        <v>Weekend</v>
      </c>
    </row>
    <row r="97" spans="1:13" x14ac:dyDescent="0.35">
      <c r="A97" t="s">
        <v>112</v>
      </c>
      <c r="B97" t="s">
        <v>17</v>
      </c>
      <c r="C97" t="s">
        <v>15</v>
      </c>
      <c r="D97" s="1">
        <v>45656</v>
      </c>
      <c r="E97">
        <v>42.39</v>
      </c>
      <c r="F97">
        <v>3.74</v>
      </c>
      <c r="G97">
        <v>103</v>
      </c>
      <c r="H97" t="s">
        <v>18</v>
      </c>
      <c r="I97">
        <v>7.41</v>
      </c>
      <c r="J97" t="str">
        <f t="shared" si="4"/>
        <v>Dec</v>
      </c>
      <c r="K97">
        <f t="shared" si="5"/>
        <v>2024</v>
      </c>
      <c r="L97">
        <f t="shared" si="6"/>
        <v>314.10989999999998</v>
      </c>
      <c r="M97" t="str">
        <f t="shared" si="7"/>
        <v>Weekday</v>
      </c>
    </row>
    <row r="98" spans="1:13" x14ac:dyDescent="0.35">
      <c r="A98" t="s">
        <v>113</v>
      </c>
      <c r="B98" t="s">
        <v>14</v>
      </c>
      <c r="C98" t="s">
        <v>24</v>
      </c>
      <c r="D98" s="1">
        <v>45638</v>
      </c>
      <c r="E98">
        <v>59.52</v>
      </c>
      <c r="F98">
        <v>1.1100000000000001</v>
      </c>
      <c r="G98">
        <v>99</v>
      </c>
      <c r="H98" t="s">
        <v>18</v>
      </c>
      <c r="I98">
        <v>3.86</v>
      </c>
      <c r="J98" t="str">
        <f t="shared" si="4"/>
        <v>Dec</v>
      </c>
      <c r="K98">
        <f t="shared" si="5"/>
        <v>2024</v>
      </c>
      <c r="L98">
        <f t="shared" si="6"/>
        <v>229.74719999999999</v>
      </c>
      <c r="M98" t="str">
        <f t="shared" si="7"/>
        <v>Weekday</v>
      </c>
    </row>
    <row r="99" spans="1:13" x14ac:dyDescent="0.35">
      <c r="A99" t="s">
        <v>114</v>
      </c>
      <c r="B99" t="s">
        <v>14</v>
      </c>
      <c r="C99" t="s">
        <v>11</v>
      </c>
      <c r="D99" s="1">
        <v>45532</v>
      </c>
      <c r="E99">
        <v>68.22</v>
      </c>
      <c r="F99">
        <v>1.0900000000000001</v>
      </c>
      <c r="G99">
        <v>110</v>
      </c>
      <c r="H99" t="s">
        <v>12</v>
      </c>
      <c r="I99">
        <v>6.04</v>
      </c>
      <c r="J99" t="str">
        <f t="shared" si="4"/>
        <v>Aug</v>
      </c>
      <c r="K99">
        <f t="shared" si="5"/>
        <v>2024</v>
      </c>
      <c r="L99">
        <f t="shared" si="6"/>
        <v>412.04879999999997</v>
      </c>
      <c r="M99" t="str">
        <f t="shared" si="7"/>
        <v>Weekday</v>
      </c>
    </row>
    <row r="100" spans="1:13" x14ac:dyDescent="0.35">
      <c r="A100" t="s">
        <v>115</v>
      </c>
      <c r="B100" t="s">
        <v>10</v>
      </c>
      <c r="C100" t="s">
        <v>24</v>
      </c>
      <c r="D100" s="1">
        <v>45633</v>
      </c>
      <c r="E100">
        <v>66.3</v>
      </c>
      <c r="F100">
        <v>7.43</v>
      </c>
      <c r="G100">
        <v>38</v>
      </c>
      <c r="H100" t="s">
        <v>18</v>
      </c>
      <c r="I100">
        <v>8.18</v>
      </c>
      <c r="J100" t="str">
        <f t="shared" si="4"/>
        <v>Dec</v>
      </c>
      <c r="K100">
        <f t="shared" si="5"/>
        <v>2024</v>
      </c>
      <c r="L100">
        <f t="shared" si="6"/>
        <v>542.33399999999995</v>
      </c>
      <c r="M100" t="str">
        <f t="shared" si="7"/>
        <v>Weekend</v>
      </c>
    </row>
    <row r="101" spans="1:13" x14ac:dyDescent="0.35">
      <c r="A101" t="s">
        <v>116</v>
      </c>
      <c r="B101" t="s">
        <v>10</v>
      </c>
      <c r="C101" t="s">
        <v>11</v>
      </c>
      <c r="D101" s="1">
        <v>45392</v>
      </c>
      <c r="E101">
        <v>93.89</v>
      </c>
      <c r="F101">
        <v>10</v>
      </c>
      <c r="G101">
        <v>33</v>
      </c>
      <c r="H101" t="s">
        <v>12</v>
      </c>
      <c r="I101">
        <v>9.81</v>
      </c>
      <c r="J101" t="str">
        <f t="shared" si="4"/>
        <v>Apr</v>
      </c>
      <c r="K101">
        <f t="shared" si="5"/>
        <v>2024</v>
      </c>
      <c r="L101">
        <f t="shared" si="6"/>
        <v>921.06090000000006</v>
      </c>
      <c r="M101" t="str">
        <f t="shared" si="7"/>
        <v>Weekday</v>
      </c>
    </row>
    <row r="102" spans="1:13" x14ac:dyDescent="0.35">
      <c r="A102" t="s">
        <v>117</v>
      </c>
      <c r="B102" t="s">
        <v>17</v>
      </c>
      <c r="C102" t="s">
        <v>24</v>
      </c>
      <c r="D102" s="1">
        <v>45476</v>
      </c>
      <c r="E102">
        <v>48.46</v>
      </c>
      <c r="F102">
        <v>2.48</v>
      </c>
      <c r="G102">
        <v>48</v>
      </c>
      <c r="H102" t="s">
        <v>12</v>
      </c>
      <c r="I102">
        <v>4.08</v>
      </c>
      <c r="J102" t="str">
        <f t="shared" si="4"/>
        <v>Jul</v>
      </c>
      <c r="K102">
        <f t="shared" si="5"/>
        <v>2024</v>
      </c>
      <c r="L102">
        <f t="shared" si="6"/>
        <v>197.71680000000001</v>
      </c>
      <c r="M102" t="str">
        <f t="shared" si="7"/>
        <v>Weekday</v>
      </c>
    </row>
    <row r="103" spans="1:13" x14ac:dyDescent="0.35">
      <c r="A103" t="s">
        <v>118</v>
      </c>
      <c r="B103" t="s">
        <v>10</v>
      </c>
      <c r="C103" t="s">
        <v>24</v>
      </c>
      <c r="D103" s="1">
        <v>45362</v>
      </c>
      <c r="E103">
        <v>52.85</v>
      </c>
      <c r="F103">
        <v>4.04</v>
      </c>
      <c r="G103">
        <v>47</v>
      </c>
      <c r="H103" t="s">
        <v>12</v>
      </c>
      <c r="I103">
        <v>3.29</v>
      </c>
      <c r="J103" t="str">
        <f t="shared" si="4"/>
        <v>Mar</v>
      </c>
      <c r="K103">
        <f t="shared" si="5"/>
        <v>2024</v>
      </c>
      <c r="L103">
        <f t="shared" si="6"/>
        <v>173.87649999999999</v>
      </c>
      <c r="M103" t="str">
        <f t="shared" si="7"/>
        <v>Weekday</v>
      </c>
    </row>
    <row r="104" spans="1:13" x14ac:dyDescent="0.35">
      <c r="A104" t="s">
        <v>119</v>
      </c>
      <c r="B104" t="s">
        <v>17</v>
      </c>
      <c r="C104" t="s">
        <v>15</v>
      </c>
      <c r="D104" s="1">
        <v>45598</v>
      </c>
      <c r="E104">
        <v>76.819999999999993</v>
      </c>
      <c r="F104">
        <v>6.66</v>
      </c>
      <c r="G104">
        <v>52</v>
      </c>
      <c r="H104" t="s">
        <v>12</v>
      </c>
      <c r="I104">
        <v>7.89</v>
      </c>
      <c r="J104" t="str">
        <f t="shared" si="4"/>
        <v>Nov</v>
      </c>
      <c r="K104">
        <f t="shared" si="5"/>
        <v>2024</v>
      </c>
      <c r="L104">
        <f t="shared" si="6"/>
        <v>606.10979999999995</v>
      </c>
      <c r="M104" t="str">
        <f t="shared" si="7"/>
        <v>Weekend</v>
      </c>
    </row>
    <row r="105" spans="1:13" x14ac:dyDescent="0.35">
      <c r="A105" t="s">
        <v>120</v>
      </c>
      <c r="B105" t="s">
        <v>17</v>
      </c>
      <c r="C105" t="s">
        <v>11</v>
      </c>
      <c r="D105" s="1">
        <v>45385</v>
      </c>
      <c r="E105">
        <v>16.98</v>
      </c>
      <c r="F105">
        <v>7.23</v>
      </c>
      <c r="G105">
        <v>58</v>
      </c>
      <c r="H105" t="s">
        <v>12</v>
      </c>
      <c r="I105">
        <v>7.56</v>
      </c>
      <c r="J105" t="str">
        <f t="shared" si="4"/>
        <v>Apr</v>
      </c>
      <c r="K105">
        <f t="shared" si="5"/>
        <v>2024</v>
      </c>
      <c r="L105">
        <f t="shared" si="6"/>
        <v>128.36879999999999</v>
      </c>
      <c r="M105" t="str">
        <f t="shared" si="7"/>
        <v>Weekday</v>
      </c>
    </row>
    <row r="106" spans="1:13" x14ac:dyDescent="0.35">
      <c r="A106" t="s">
        <v>121</v>
      </c>
      <c r="B106" t="s">
        <v>14</v>
      </c>
      <c r="C106" t="s">
        <v>24</v>
      </c>
      <c r="D106" s="1">
        <v>45601</v>
      </c>
      <c r="E106">
        <v>42.27</v>
      </c>
      <c r="F106">
        <v>5.22</v>
      </c>
      <c r="G106">
        <v>82</v>
      </c>
      <c r="H106" t="s">
        <v>12</v>
      </c>
      <c r="I106">
        <v>8.2799999999999994</v>
      </c>
      <c r="J106" t="str">
        <f t="shared" si="4"/>
        <v>Nov</v>
      </c>
      <c r="K106">
        <f t="shared" si="5"/>
        <v>2024</v>
      </c>
      <c r="L106">
        <f t="shared" si="6"/>
        <v>349.99560000000002</v>
      </c>
      <c r="M106" t="str">
        <f t="shared" si="7"/>
        <v>Weekday</v>
      </c>
    </row>
    <row r="107" spans="1:13" x14ac:dyDescent="0.35">
      <c r="A107" t="s">
        <v>122</v>
      </c>
      <c r="B107" t="s">
        <v>14</v>
      </c>
      <c r="C107" t="s">
        <v>11</v>
      </c>
      <c r="D107" s="1">
        <v>45518</v>
      </c>
      <c r="E107">
        <v>72.959999999999994</v>
      </c>
      <c r="F107">
        <v>2.9</v>
      </c>
      <c r="G107">
        <v>58</v>
      </c>
      <c r="H107" t="s">
        <v>18</v>
      </c>
      <c r="I107">
        <v>4.4800000000000004</v>
      </c>
      <c r="J107" t="str">
        <f t="shared" si="4"/>
        <v>Aug</v>
      </c>
      <c r="K107">
        <f t="shared" si="5"/>
        <v>2024</v>
      </c>
      <c r="L107">
        <f t="shared" si="6"/>
        <v>326.86079999999998</v>
      </c>
      <c r="M107" t="str">
        <f t="shared" si="7"/>
        <v>Weekday</v>
      </c>
    </row>
    <row r="108" spans="1:13" x14ac:dyDescent="0.35">
      <c r="A108" t="s">
        <v>123</v>
      </c>
      <c r="B108" t="s">
        <v>17</v>
      </c>
      <c r="C108" t="s">
        <v>15</v>
      </c>
      <c r="D108" s="1">
        <v>45333</v>
      </c>
      <c r="E108">
        <v>55.14</v>
      </c>
      <c r="F108">
        <v>1.33</v>
      </c>
      <c r="G108">
        <v>101</v>
      </c>
      <c r="H108" t="s">
        <v>18</v>
      </c>
      <c r="I108">
        <v>4.25</v>
      </c>
      <c r="J108" t="str">
        <f t="shared" si="4"/>
        <v>Feb</v>
      </c>
      <c r="K108">
        <f t="shared" si="5"/>
        <v>2024</v>
      </c>
      <c r="L108">
        <f t="shared" si="6"/>
        <v>234.345</v>
      </c>
      <c r="M108" t="str">
        <f t="shared" si="7"/>
        <v>Weekend</v>
      </c>
    </row>
    <row r="109" spans="1:13" x14ac:dyDescent="0.35">
      <c r="A109" t="s">
        <v>124</v>
      </c>
      <c r="B109" t="s">
        <v>17</v>
      </c>
      <c r="C109" t="s">
        <v>24</v>
      </c>
      <c r="D109" s="1">
        <v>45310</v>
      </c>
      <c r="E109">
        <v>18.239999999999998</v>
      </c>
      <c r="F109">
        <v>8.6199999999999992</v>
      </c>
      <c r="G109">
        <v>24</v>
      </c>
      <c r="H109" t="s">
        <v>18</v>
      </c>
      <c r="I109">
        <v>6.54</v>
      </c>
      <c r="J109" t="str">
        <f t="shared" si="4"/>
        <v>Jan</v>
      </c>
      <c r="K109">
        <f t="shared" si="5"/>
        <v>2024</v>
      </c>
      <c r="L109">
        <f t="shared" si="6"/>
        <v>119.28959999999999</v>
      </c>
      <c r="M109" t="str">
        <f t="shared" si="7"/>
        <v>Weekday</v>
      </c>
    </row>
    <row r="110" spans="1:13" x14ac:dyDescent="0.35">
      <c r="A110" t="s">
        <v>125</v>
      </c>
      <c r="B110" t="s">
        <v>17</v>
      </c>
      <c r="C110" t="s">
        <v>24</v>
      </c>
      <c r="D110" s="1">
        <v>45302</v>
      </c>
      <c r="E110">
        <v>32.479999999999997</v>
      </c>
      <c r="F110">
        <v>5.53</v>
      </c>
      <c r="G110">
        <v>22</v>
      </c>
      <c r="H110" t="s">
        <v>18</v>
      </c>
      <c r="I110">
        <v>7.97</v>
      </c>
      <c r="J110" t="str">
        <f t="shared" si="4"/>
        <v>Jan</v>
      </c>
      <c r="K110">
        <f t="shared" si="5"/>
        <v>2024</v>
      </c>
      <c r="L110">
        <f t="shared" si="6"/>
        <v>258.86559999999997</v>
      </c>
      <c r="M110" t="str">
        <f t="shared" si="7"/>
        <v>Weekday</v>
      </c>
    </row>
    <row r="111" spans="1:13" x14ac:dyDescent="0.35">
      <c r="A111" t="s">
        <v>126</v>
      </c>
      <c r="B111" t="s">
        <v>17</v>
      </c>
      <c r="C111" t="s">
        <v>15</v>
      </c>
      <c r="D111" s="1">
        <v>45592</v>
      </c>
      <c r="E111">
        <v>67.05</v>
      </c>
      <c r="F111">
        <v>7.47</v>
      </c>
      <c r="G111">
        <v>27</v>
      </c>
      <c r="H111" t="s">
        <v>18</v>
      </c>
      <c r="I111">
        <v>8.08</v>
      </c>
      <c r="J111" t="str">
        <f t="shared" si="4"/>
        <v>Oct</v>
      </c>
      <c r="K111">
        <f t="shared" si="5"/>
        <v>2024</v>
      </c>
      <c r="L111">
        <f t="shared" si="6"/>
        <v>541.76400000000001</v>
      </c>
      <c r="M111" t="str">
        <f t="shared" si="7"/>
        <v>Weekend</v>
      </c>
    </row>
    <row r="112" spans="1:13" x14ac:dyDescent="0.35">
      <c r="A112" t="s">
        <v>127</v>
      </c>
      <c r="B112" t="s">
        <v>17</v>
      </c>
      <c r="C112" t="s">
        <v>15</v>
      </c>
      <c r="D112" s="1">
        <v>45314</v>
      </c>
      <c r="E112">
        <v>81.41</v>
      </c>
      <c r="F112">
        <v>3.52</v>
      </c>
      <c r="G112">
        <v>72</v>
      </c>
      <c r="H112" t="s">
        <v>18</v>
      </c>
      <c r="I112">
        <v>7.33</v>
      </c>
      <c r="J112" t="str">
        <f t="shared" si="4"/>
        <v>Jan</v>
      </c>
      <c r="K112">
        <f t="shared" si="5"/>
        <v>2024</v>
      </c>
      <c r="L112">
        <f t="shared" si="6"/>
        <v>596.73529999999994</v>
      </c>
      <c r="M112" t="str">
        <f t="shared" si="7"/>
        <v>Weekday</v>
      </c>
    </row>
    <row r="113" spans="1:13" x14ac:dyDescent="0.35">
      <c r="A113" t="s">
        <v>128</v>
      </c>
      <c r="B113" t="s">
        <v>14</v>
      </c>
      <c r="C113" t="s">
        <v>24</v>
      </c>
      <c r="D113" s="1">
        <v>45449</v>
      </c>
      <c r="E113">
        <v>46.07</v>
      </c>
      <c r="F113">
        <v>2.69</v>
      </c>
      <c r="G113">
        <v>14</v>
      </c>
      <c r="H113" t="s">
        <v>18</v>
      </c>
      <c r="I113">
        <v>4.0599999999999996</v>
      </c>
      <c r="J113" t="str">
        <f t="shared" si="4"/>
        <v>Jun</v>
      </c>
      <c r="K113">
        <f t="shared" si="5"/>
        <v>2024</v>
      </c>
      <c r="L113">
        <f t="shared" si="6"/>
        <v>187.04419999999999</v>
      </c>
      <c r="M113" t="str">
        <f t="shared" si="7"/>
        <v>Weekday</v>
      </c>
    </row>
    <row r="114" spans="1:13" x14ac:dyDescent="0.35">
      <c r="A114" t="s">
        <v>129</v>
      </c>
      <c r="B114" t="s">
        <v>17</v>
      </c>
      <c r="C114" t="s">
        <v>11</v>
      </c>
      <c r="D114" s="1">
        <v>45431</v>
      </c>
      <c r="E114">
        <v>85.39</v>
      </c>
      <c r="F114">
        <v>8.58</v>
      </c>
      <c r="G114">
        <v>84</v>
      </c>
      <c r="H114" t="s">
        <v>12</v>
      </c>
      <c r="I114">
        <v>4.63</v>
      </c>
      <c r="J114" t="str">
        <f t="shared" si="4"/>
        <v>May</v>
      </c>
      <c r="K114">
        <f t="shared" si="5"/>
        <v>2024</v>
      </c>
      <c r="L114">
        <f t="shared" si="6"/>
        <v>395.35570000000001</v>
      </c>
      <c r="M114" t="str">
        <f t="shared" si="7"/>
        <v>Weekend</v>
      </c>
    </row>
    <row r="115" spans="1:13" x14ac:dyDescent="0.35">
      <c r="A115" t="s">
        <v>130</v>
      </c>
      <c r="B115" t="s">
        <v>14</v>
      </c>
      <c r="C115" t="s">
        <v>15</v>
      </c>
      <c r="D115" s="1">
        <v>45571</v>
      </c>
      <c r="E115">
        <v>68.88</v>
      </c>
      <c r="F115">
        <v>8.91</v>
      </c>
      <c r="G115">
        <v>97</v>
      </c>
      <c r="H115" t="s">
        <v>12</v>
      </c>
      <c r="I115">
        <v>3.39</v>
      </c>
      <c r="J115" t="str">
        <f t="shared" si="4"/>
        <v>Oct</v>
      </c>
      <c r="K115">
        <f t="shared" si="5"/>
        <v>2024</v>
      </c>
      <c r="L115">
        <f t="shared" si="6"/>
        <v>233.50319999999999</v>
      </c>
      <c r="M115" t="str">
        <f t="shared" si="7"/>
        <v>Weekend</v>
      </c>
    </row>
    <row r="116" spans="1:13" x14ac:dyDescent="0.35">
      <c r="A116" t="s">
        <v>131</v>
      </c>
      <c r="B116" t="s">
        <v>10</v>
      </c>
      <c r="C116" t="s">
        <v>11</v>
      </c>
      <c r="D116" s="1">
        <v>45614</v>
      </c>
      <c r="E116">
        <v>30.88</v>
      </c>
      <c r="F116">
        <v>3.28</v>
      </c>
      <c r="G116">
        <v>101</v>
      </c>
      <c r="H116" t="s">
        <v>12</v>
      </c>
      <c r="I116">
        <v>8.44</v>
      </c>
      <c r="J116" t="str">
        <f t="shared" si="4"/>
        <v>Nov</v>
      </c>
      <c r="K116">
        <f t="shared" si="5"/>
        <v>2024</v>
      </c>
      <c r="L116">
        <f t="shared" si="6"/>
        <v>260.62719999999996</v>
      </c>
      <c r="M116" t="str">
        <f t="shared" si="7"/>
        <v>Weekday</v>
      </c>
    </row>
    <row r="117" spans="1:13" x14ac:dyDescent="0.35">
      <c r="A117" t="s">
        <v>132</v>
      </c>
      <c r="B117" t="s">
        <v>10</v>
      </c>
      <c r="C117" t="s">
        <v>11</v>
      </c>
      <c r="D117" s="1">
        <v>45350</v>
      </c>
      <c r="E117">
        <v>34.700000000000003</v>
      </c>
      <c r="F117">
        <v>6.7</v>
      </c>
      <c r="G117">
        <v>24</v>
      </c>
      <c r="H117" t="s">
        <v>12</v>
      </c>
      <c r="I117">
        <v>6.08</v>
      </c>
      <c r="J117" t="str">
        <f t="shared" si="4"/>
        <v>Feb</v>
      </c>
      <c r="K117">
        <f t="shared" si="5"/>
        <v>2024</v>
      </c>
      <c r="L117">
        <f t="shared" si="6"/>
        <v>210.97600000000003</v>
      </c>
      <c r="M117" t="str">
        <f t="shared" si="7"/>
        <v>Weekday</v>
      </c>
    </row>
    <row r="118" spans="1:13" x14ac:dyDescent="0.35">
      <c r="A118" t="s">
        <v>133</v>
      </c>
      <c r="B118" t="s">
        <v>14</v>
      </c>
      <c r="C118" t="s">
        <v>15</v>
      </c>
      <c r="D118" s="1">
        <v>45361</v>
      </c>
      <c r="E118">
        <v>62.2</v>
      </c>
      <c r="F118">
        <v>5.14</v>
      </c>
      <c r="G118">
        <v>83</v>
      </c>
      <c r="H118" t="s">
        <v>12</v>
      </c>
      <c r="I118">
        <v>8.7799999999999994</v>
      </c>
      <c r="J118" t="str">
        <f t="shared" si="4"/>
        <v>Mar</v>
      </c>
      <c r="K118">
        <f t="shared" si="5"/>
        <v>2024</v>
      </c>
      <c r="L118">
        <f t="shared" si="6"/>
        <v>546.11599999999999</v>
      </c>
      <c r="M118" t="str">
        <f t="shared" si="7"/>
        <v>Weekend</v>
      </c>
    </row>
    <row r="119" spans="1:13" x14ac:dyDescent="0.35">
      <c r="A119" t="s">
        <v>134</v>
      </c>
      <c r="B119" t="s">
        <v>14</v>
      </c>
      <c r="C119" t="s">
        <v>11</v>
      </c>
      <c r="D119" s="1">
        <v>45422</v>
      </c>
      <c r="E119">
        <v>90.23</v>
      </c>
      <c r="F119">
        <v>5.61</v>
      </c>
      <c r="G119">
        <v>13</v>
      </c>
      <c r="H119" t="s">
        <v>12</v>
      </c>
      <c r="I119">
        <v>6.96</v>
      </c>
      <c r="J119" t="str">
        <f t="shared" si="4"/>
        <v>May</v>
      </c>
      <c r="K119">
        <f t="shared" si="5"/>
        <v>2024</v>
      </c>
      <c r="L119">
        <f t="shared" si="6"/>
        <v>628.00080000000003</v>
      </c>
      <c r="M119" t="str">
        <f t="shared" si="7"/>
        <v>Weekday</v>
      </c>
    </row>
    <row r="120" spans="1:13" x14ac:dyDescent="0.35">
      <c r="A120" t="s">
        <v>135</v>
      </c>
      <c r="B120" t="s">
        <v>14</v>
      </c>
      <c r="C120" t="s">
        <v>11</v>
      </c>
      <c r="D120" s="1">
        <v>45540</v>
      </c>
      <c r="E120">
        <v>38.68</v>
      </c>
      <c r="F120">
        <v>5.89</v>
      </c>
      <c r="G120">
        <v>10</v>
      </c>
      <c r="H120" t="s">
        <v>18</v>
      </c>
      <c r="I120">
        <v>7.3</v>
      </c>
      <c r="J120" t="str">
        <f t="shared" si="4"/>
        <v>Sep</v>
      </c>
      <c r="K120">
        <f t="shared" si="5"/>
        <v>2024</v>
      </c>
      <c r="L120">
        <f t="shared" si="6"/>
        <v>282.36399999999998</v>
      </c>
      <c r="M120" t="str">
        <f t="shared" si="7"/>
        <v>Weekday</v>
      </c>
    </row>
    <row r="121" spans="1:13" x14ac:dyDescent="0.35">
      <c r="A121" t="s">
        <v>136</v>
      </c>
      <c r="B121" t="s">
        <v>14</v>
      </c>
      <c r="C121" t="s">
        <v>11</v>
      </c>
      <c r="D121" s="1">
        <v>45653</v>
      </c>
      <c r="E121">
        <v>37.340000000000003</v>
      </c>
      <c r="F121">
        <v>1.62</v>
      </c>
      <c r="G121">
        <v>78</v>
      </c>
      <c r="H121" t="s">
        <v>12</v>
      </c>
      <c r="I121">
        <v>8.76</v>
      </c>
      <c r="J121" t="str">
        <f t="shared" si="4"/>
        <v>Dec</v>
      </c>
      <c r="K121">
        <f t="shared" si="5"/>
        <v>2024</v>
      </c>
      <c r="L121">
        <f t="shared" si="6"/>
        <v>327.09840000000003</v>
      </c>
      <c r="M121" t="str">
        <f t="shared" si="7"/>
        <v>Weekday</v>
      </c>
    </row>
    <row r="122" spans="1:13" x14ac:dyDescent="0.35">
      <c r="A122" t="s">
        <v>137</v>
      </c>
      <c r="B122" t="s">
        <v>10</v>
      </c>
      <c r="C122" t="s">
        <v>15</v>
      </c>
      <c r="D122" s="1">
        <v>45344</v>
      </c>
      <c r="E122">
        <v>21.52</v>
      </c>
      <c r="F122">
        <v>6.63</v>
      </c>
      <c r="G122">
        <v>100</v>
      </c>
      <c r="H122" t="s">
        <v>18</v>
      </c>
      <c r="I122">
        <v>4</v>
      </c>
      <c r="J122" t="str">
        <f t="shared" si="4"/>
        <v>Feb</v>
      </c>
      <c r="K122">
        <f t="shared" si="5"/>
        <v>2024</v>
      </c>
      <c r="L122">
        <f t="shared" si="6"/>
        <v>86.08</v>
      </c>
      <c r="M122" t="str">
        <f t="shared" si="7"/>
        <v>Weekday</v>
      </c>
    </row>
    <row r="123" spans="1:13" x14ac:dyDescent="0.35">
      <c r="A123" t="s">
        <v>138</v>
      </c>
      <c r="B123" t="s">
        <v>14</v>
      </c>
      <c r="C123" t="s">
        <v>11</v>
      </c>
      <c r="D123" s="1">
        <v>45459</v>
      </c>
      <c r="E123">
        <v>44.67</v>
      </c>
      <c r="F123">
        <v>5.42</v>
      </c>
      <c r="G123">
        <v>43</v>
      </c>
      <c r="H123" t="s">
        <v>12</v>
      </c>
      <c r="I123">
        <v>8.75</v>
      </c>
      <c r="J123" t="str">
        <f t="shared" si="4"/>
        <v>Jun</v>
      </c>
      <c r="K123">
        <f t="shared" si="5"/>
        <v>2024</v>
      </c>
      <c r="L123">
        <f t="shared" si="6"/>
        <v>390.86250000000001</v>
      </c>
      <c r="M123" t="str">
        <f t="shared" si="7"/>
        <v>Weekend</v>
      </c>
    </row>
    <row r="124" spans="1:13" x14ac:dyDescent="0.35">
      <c r="A124" t="s">
        <v>139</v>
      </c>
      <c r="B124" t="s">
        <v>14</v>
      </c>
      <c r="C124" t="s">
        <v>15</v>
      </c>
      <c r="D124" s="1">
        <v>45527</v>
      </c>
      <c r="E124">
        <v>13.62</v>
      </c>
      <c r="F124">
        <v>2.93</v>
      </c>
      <c r="G124">
        <v>36</v>
      </c>
      <c r="H124" t="s">
        <v>12</v>
      </c>
      <c r="I124">
        <v>8.5299999999999994</v>
      </c>
      <c r="J124" t="str">
        <f t="shared" si="4"/>
        <v>Aug</v>
      </c>
      <c r="K124">
        <f t="shared" si="5"/>
        <v>2024</v>
      </c>
      <c r="L124">
        <f t="shared" si="6"/>
        <v>116.17859999999999</v>
      </c>
      <c r="M124" t="str">
        <f t="shared" si="7"/>
        <v>Weekday</v>
      </c>
    </row>
    <row r="125" spans="1:13" x14ac:dyDescent="0.35">
      <c r="A125" t="s">
        <v>140</v>
      </c>
      <c r="B125" t="s">
        <v>17</v>
      </c>
      <c r="C125" t="s">
        <v>15</v>
      </c>
      <c r="D125" s="1">
        <v>45325</v>
      </c>
      <c r="E125">
        <v>50.66</v>
      </c>
      <c r="F125">
        <v>2.33</v>
      </c>
      <c r="G125">
        <v>94</v>
      </c>
      <c r="H125" t="s">
        <v>18</v>
      </c>
      <c r="I125">
        <v>6.81</v>
      </c>
      <c r="J125" t="str">
        <f t="shared" si="4"/>
        <v>Feb</v>
      </c>
      <c r="K125">
        <f t="shared" si="5"/>
        <v>2024</v>
      </c>
      <c r="L125">
        <f t="shared" si="6"/>
        <v>344.99459999999993</v>
      </c>
      <c r="M125" t="str">
        <f t="shared" si="7"/>
        <v>Weekend</v>
      </c>
    </row>
    <row r="126" spans="1:13" x14ac:dyDescent="0.35">
      <c r="A126" t="s">
        <v>141</v>
      </c>
      <c r="B126" t="s">
        <v>17</v>
      </c>
      <c r="C126" t="s">
        <v>24</v>
      </c>
      <c r="D126" s="1">
        <v>45548</v>
      </c>
      <c r="E126">
        <v>68.02</v>
      </c>
      <c r="F126">
        <v>8.59</v>
      </c>
      <c r="G126">
        <v>113</v>
      </c>
      <c r="H126" t="s">
        <v>18</v>
      </c>
      <c r="I126">
        <v>5.95</v>
      </c>
      <c r="J126" t="str">
        <f t="shared" si="4"/>
        <v>Sep</v>
      </c>
      <c r="K126">
        <f t="shared" si="5"/>
        <v>2024</v>
      </c>
      <c r="L126">
        <f t="shared" si="6"/>
        <v>404.71899999999999</v>
      </c>
      <c r="M126" t="str">
        <f t="shared" si="7"/>
        <v>Weekday</v>
      </c>
    </row>
    <row r="127" spans="1:13" x14ac:dyDescent="0.35">
      <c r="A127" t="s">
        <v>142</v>
      </c>
      <c r="B127" t="s">
        <v>10</v>
      </c>
      <c r="C127" t="s">
        <v>11</v>
      </c>
      <c r="D127" s="1">
        <v>45309</v>
      </c>
      <c r="E127">
        <v>18.02</v>
      </c>
      <c r="F127">
        <v>8.48</v>
      </c>
      <c r="G127">
        <v>67</v>
      </c>
      <c r="H127" t="s">
        <v>12</v>
      </c>
      <c r="I127">
        <v>8.66</v>
      </c>
      <c r="J127" t="str">
        <f t="shared" si="4"/>
        <v>Jan</v>
      </c>
      <c r="K127">
        <f t="shared" si="5"/>
        <v>2024</v>
      </c>
      <c r="L127">
        <f t="shared" si="6"/>
        <v>156.0532</v>
      </c>
      <c r="M127" t="str">
        <f t="shared" si="7"/>
        <v>Weekday</v>
      </c>
    </row>
    <row r="128" spans="1:13" x14ac:dyDescent="0.35">
      <c r="A128" t="s">
        <v>143</v>
      </c>
      <c r="B128" t="s">
        <v>14</v>
      </c>
      <c r="C128" t="s">
        <v>24</v>
      </c>
      <c r="D128" s="1">
        <v>45436</v>
      </c>
      <c r="E128">
        <v>26.93</v>
      </c>
      <c r="F128">
        <v>9.67</v>
      </c>
      <c r="G128">
        <v>32</v>
      </c>
      <c r="H128" t="s">
        <v>18</v>
      </c>
      <c r="I128">
        <v>3.38</v>
      </c>
      <c r="J128" t="str">
        <f t="shared" si="4"/>
        <v>May</v>
      </c>
      <c r="K128">
        <f t="shared" si="5"/>
        <v>2024</v>
      </c>
      <c r="L128">
        <f t="shared" si="6"/>
        <v>91.023399999999995</v>
      </c>
      <c r="M128" t="str">
        <f t="shared" si="7"/>
        <v>Weekday</v>
      </c>
    </row>
    <row r="129" spans="1:13" x14ac:dyDescent="0.35">
      <c r="A129" t="s">
        <v>144</v>
      </c>
      <c r="B129" t="s">
        <v>17</v>
      </c>
      <c r="C129" t="s">
        <v>24</v>
      </c>
      <c r="D129" s="1">
        <v>45407</v>
      </c>
      <c r="E129">
        <v>79.81</v>
      </c>
      <c r="F129">
        <v>8.35</v>
      </c>
      <c r="G129">
        <v>66</v>
      </c>
      <c r="H129" t="s">
        <v>18</v>
      </c>
      <c r="I129">
        <v>6.63</v>
      </c>
      <c r="J129" t="str">
        <f t="shared" si="4"/>
        <v>Apr</v>
      </c>
      <c r="K129">
        <f t="shared" si="5"/>
        <v>2024</v>
      </c>
      <c r="L129">
        <f t="shared" si="6"/>
        <v>529.14030000000002</v>
      </c>
      <c r="M129" t="str">
        <f t="shared" si="7"/>
        <v>Weekday</v>
      </c>
    </row>
    <row r="130" spans="1:13" x14ac:dyDescent="0.35">
      <c r="A130" t="s">
        <v>145</v>
      </c>
      <c r="B130" t="s">
        <v>10</v>
      </c>
      <c r="C130" t="s">
        <v>11</v>
      </c>
      <c r="D130" s="1">
        <v>45587</v>
      </c>
      <c r="E130">
        <v>75.430000000000007</v>
      </c>
      <c r="F130">
        <v>5.6</v>
      </c>
      <c r="G130">
        <v>80</v>
      </c>
      <c r="H130" t="s">
        <v>18</v>
      </c>
      <c r="I130">
        <v>5.75</v>
      </c>
      <c r="J130" t="str">
        <f t="shared" si="4"/>
        <v>Oct</v>
      </c>
      <c r="K130">
        <f t="shared" si="5"/>
        <v>2024</v>
      </c>
      <c r="L130">
        <f t="shared" si="6"/>
        <v>433.72250000000003</v>
      </c>
      <c r="M130" t="str">
        <f t="shared" si="7"/>
        <v>Weekday</v>
      </c>
    </row>
    <row r="131" spans="1:13" x14ac:dyDescent="0.35">
      <c r="A131" t="s">
        <v>146</v>
      </c>
      <c r="B131" t="s">
        <v>14</v>
      </c>
      <c r="C131" t="s">
        <v>24</v>
      </c>
      <c r="D131" s="1">
        <v>45605</v>
      </c>
      <c r="E131">
        <v>19.420000000000002</v>
      </c>
      <c r="F131">
        <v>4.22</v>
      </c>
      <c r="G131">
        <v>55</v>
      </c>
      <c r="H131" t="s">
        <v>12</v>
      </c>
      <c r="I131">
        <v>9.2100000000000009</v>
      </c>
      <c r="J131" t="str">
        <f t="shared" ref="J131:J194" si="8">TEXT(D131,"mmm")</f>
        <v>Nov</v>
      </c>
      <c r="K131">
        <f t="shared" ref="K131:K194" si="9">YEAR(D131)</f>
        <v>2024</v>
      </c>
      <c r="L131">
        <f t="shared" ref="L131:L194" si="10">E131*I131</f>
        <v>178.85820000000004</v>
      </c>
      <c r="M131" t="str">
        <f t="shared" ref="M131:M194" si="11">IF(OR(WEEKDAY(D131)=1,WEEKDAY(D131)=7),"Weekend","Weekday")</f>
        <v>Weekend</v>
      </c>
    </row>
    <row r="132" spans="1:13" x14ac:dyDescent="0.35">
      <c r="A132" t="s">
        <v>147</v>
      </c>
      <c r="B132" t="s">
        <v>17</v>
      </c>
      <c r="C132" t="s">
        <v>15</v>
      </c>
      <c r="D132" s="1">
        <v>45439</v>
      </c>
      <c r="E132">
        <v>89.46</v>
      </c>
      <c r="F132">
        <v>2.09</v>
      </c>
      <c r="G132">
        <v>77</v>
      </c>
      <c r="H132" t="s">
        <v>12</v>
      </c>
      <c r="I132">
        <v>9.9600000000000009</v>
      </c>
      <c r="J132" t="str">
        <f t="shared" si="8"/>
        <v>May</v>
      </c>
      <c r="K132">
        <f t="shared" si="9"/>
        <v>2024</v>
      </c>
      <c r="L132">
        <f t="shared" si="10"/>
        <v>891.02160000000003</v>
      </c>
      <c r="M132" t="str">
        <f t="shared" si="11"/>
        <v>Weekday</v>
      </c>
    </row>
    <row r="133" spans="1:13" x14ac:dyDescent="0.35">
      <c r="A133" t="s">
        <v>148</v>
      </c>
      <c r="B133" t="s">
        <v>14</v>
      </c>
      <c r="C133" t="s">
        <v>15</v>
      </c>
      <c r="D133" s="1">
        <v>45360</v>
      </c>
      <c r="E133">
        <v>96.64</v>
      </c>
      <c r="F133">
        <v>5.0199999999999996</v>
      </c>
      <c r="G133">
        <v>85</v>
      </c>
      <c r="H133" t="s">
        <v>18</v>
      </c>
      <c r="I133">
        <v>4.33</v>
      </c>
      <c r="J133" t="str">
        <f t="shared" si="8"/>
        <v>Mar</v>
      </c>
      <c r="K133">
        <f t="shared" si="9"/>
        <v>2024</v>
      </c>
      <c r="L133">
        <f t="shared" si="10"/>
        <v>418.45120000000003</v>
      </c>
      <c r="M133" t="str">
        <f t="shared" si="11"/>
        <v>Weekend</v>
      </c>
    </row>
    <row r="134" spans="1:13" x14ac:dyDescent="0.35">
      <c r="A134" t="s">
        <v>149</v>
      </c>
      <c r="B134" t="s">
        <v>14</v>
      </c>
      <c r="C134" t="s">
        <v>15</v>
      </c>
      <c r="D134" s="1">
        <v>45446</v>
      </c>
      <c r="E134">
        <v>47.69</v>
      </c>
      <c r="F134">
        <v>6.71</v>
      </c>
      <c r="G134">
        <v>76</v>
      </c>
      <c r="H134" t="s">
        <v>12</v>
      </c>
      <c r="I134">
        <v>3.74</v>
      </c>
      <c r="J134" t="str">
        <f t="shared" si="8"/>
        <v>Jun</v>
      </c>
      <c r="K134">
        <f t="shared" si="9"/>
        <v>2024</v>
      </c>
      <c r="L134">
        <f t="shared" si="10"/>
        <v>178.36060000000001</v>
      </c>
      <c r="M134" t="str">
        <f t="shared" si="11"/>
        <v>Weekday</v>
      </c>
    </row>
    <row r="135" spans="1:13" x14ac:dyDescent="0.35">
      <c r="A135" t="s">
        <v>150</v>
      </c>
      <c r="B135" t="s">
        <v>17</v>
      </c>
      <c r="C135" t="s">
        <v>11</v>
      </c>
      <c r="D135" s="1">
        <v>45419</v>
      </c>
      <c r="E135">
        <v>66.83</v>
      </c>
      <c r="F135">
        <v>5.04</v>
      </c>
      <c r="G135">
        <v>40</v>
      </c>
      <c r="H135" t="s">
        <v>18</v>
      </c>
      <c r="I135">
        <v>8.5</v>
      </c>
      <c r="J135" t="str">
        <f t="shared" si="8"/>
        <v>May</v>
      </c>
      <c r="K135">
        <f t="shared" si="9"/>
        <v>2024</v>
      </c>
      <c r="L135">
        <f t="shared" si="10"/>
        <v>568.05499999999995</v>
      </c>
      <c r="M135" t="str">
        <f t="shared" si="11"/>
        <v>Weekday</v>
      </c>
    </row>
    <row r="136" spans="1:13" x14ac:dyDescent="0.35">
      <c r="A136" t="s">
        <v>151</v>
      </c>
      <c r="B136" t="s">
        <v>14</v>
      </c>
      <c r="C136" t="s">
        <v>24</v>
      </c>
      <c r="D136" s="1">
        <v>45615</v>
      </c>
      <c r="E136">
        <v>11.59</v>
      </c>
      <c r="F136">
        <v>1.96</v>
      </c>
      <c r="G136">
        <v>44</v>
      </c>
      <c r="H136" t="s">
        <v>18</v>
      </c>
      <c r="I136">
        <v>6.15</v>
      </c>
      <c r="J136" t="str">
        <f t="shared" si="8"/>
        <v>Nov</v>
      </c>
      <c r="K136">
        <f t="shared" si="9"/>
        <v>2024</v>
      </c>
      <c r="L136">
        <f t="shared" si="10"/>
        <v>71.278500000000008</v>
      </c>
      <c r="M136" t="str">
        <f t="shared" si="11"/>
        <v>Weekday</v>
      </c>
    </row>
    <row r="137" spans="1:13" x14ac:dyDescent="0.35">
      <c r="A137" t="s">
        <v>152</v>
      </c>
      <c r="B137" t="s">
        <v>10</v>
      </c>
      <c r="C137" t="s">
        <v>24</v>
      </c>
      <c r="D137" s="1">
        <v>45657</v>
      </c>
      <c r="E137">
        <v>62.89</v>
      </c>
      <c r="F137">
        <v>1.27</v>
      </c>
      <c r="G137">
        <v>114</v>
      </c>
      <c r="H137" t="s">
        <v>18</v>
      </c>
      <c r="I137">
        <v>5.54</v>
      </c>
      <c r="J137" t="str">
        <f t="shared" si="8"/>
        <v>Dec</v>
      </c>
      <c r="K137">
        <f t="shared" si="9"/>
        <v>2024</v>
      </c>
      <c r="L137">
        <f t="shared" si="10"/>
        <v>348.41059999999999</v>
      </c>
      <c r="M137" t="str">
        <f t="shared" si="11"/>
        <v>Weekday</v>
      </c>
    </row>
    <row r="138" spans="1:13" x14ac:dyDescent="0.35">
      <c r="A138" t="s">
        <v>153</v>
      </c>
      <c r="B138" t="s">
        <v>14</v>
      </c>
      <c r="C138" t="s">
        <v>11</v>
      </c>
      <c r="D138" s="1">
        <v>45304</v>
      </c>
      <c r="E138">
        <v>68.69</v>
      </c>
      <c r="F138">
        <v>3.36</v>
      </c>
      <c r="G138">
        <v>63</v>
      </c>
      <c r="H138" t="s">
        <v>18</v>
      </c>
      <c r="I138">
        <v>5.04</v>
      </c>
      <c r="J138" t="str">
        <f t="shared" si="8"/>
        <v>Jan</v>
      </c>
      <c r="K138">
        <f t="shared" si="9"/>
        <v>2024</v>
      </c>
      <c r="L138">
        <f t="shared" si="10"/>
        <v>346.19759999999997</v>
      </c>
      <c r="M138" t="str">
        <f t="shared" si="11"/>
        <v>Weekend</v>
      </c>
    </row>
    <row r="139" spans="1:13" x14ac:dyDescent="0.35">
      <c r="A139" t="s">
        <v>154</v>
      </c>
      <c r="B139" t="s">
        <v>14</v>
      </c>
      <c r="C139" t="s">
        <v>24</v>
      </c>
      <c r="D139" s="1">
        <v>45582</v>
      </c>
      <c r="E139">
        <v>34.950000000000003</v>
      </c>
      <c r="F139">
        <v>8.91</v>
      </c>
      <c r="G139">
        <v>110</v>
      </c>
      <c r="H139" t="s">
        <v>18</v>
      </c>
      <c r="I139">
        <v>8.1</v>
      </c>
      <c r="J139" t="str">
        <f t="shared" si="8"/>
        <v>Oct</v>
      </c>
      <c r="K139">
        <f t="shared" si="9"/>
        <v>2024</v>
      </c>
      <c r="L139">
        <f t="shared" si="10"/>
        <v>283.09500000000003</v>
      </c>
      <c r="M139" t="str">
        <f t="shared" si="11"/>
        <v>Weekday</v>
      </c>
    </row>
    <row r="140" spans="1:13" x14ac:dyDescent="0.35">
      <c r="A140" t="s">
        <v>155</v>
      </c>
      <c r="B140" t="s">
        <v>10</v>
      </c>
      <c r="C140" t="s">
        <v>15</v>
      </c>
      <c r="D140" s="1">
        <v>45530</v>
      </c>
      <c r="E140">
        <v>52.69</v>
      </c>
      <c r="F140">
        <v>3.24</v>
      </c>
      <c r="G140">
        <v>27</v>
      </c>
      <c r="H140" t="s">
        <v>12</v>
      </c>
      <c r="I140">
        <v>8.01</v>
      </c>
      <c r="J140" t="str">
        <f t="shared" si="8"/>
        <v>Aug</v>
      </c>
      <c r="K140">
        <f t="shared" si="9"/>
        <v>2024</v>
      </c>
      <c r="L140">
        <f t="shared" si="10"/>
        <v>422.04689999999999</v>
      </c>
      <c r="M140" t="str">
        <f t="shared" si="11"/>
        <v>Weekday</v>
      </c>
    </row>
    <row r="141" spans="1:13" x14ac:dyDescent="0.35">
      <c r="A141" t="s">
        <v>156</v>
      </c>
      <c r="B141" t="s">
        <v>17</v>
      </c>
      <c r="C141" t="s">
        <v>15</v>
      </c>
      <c r="D141" s="1">
        <v>45538</v>
      </c>
      <c r="E141">
        <v>24.42</v>
      </c>
      <c r="F141">
        <v>3.85</v>
      </c>
      <c r="G141">
        <v>29</v>
      </c>
      <c r="H141" t="s">
        <v>12</v>
      </c>
      <c r="I141">
        <v>8.0299999999999994</v>
      </c>
      <c r="J141" t="str">
        <f t="shared" si="8"/>
        <v>Sep</v>
      </c>
      <c r="K141">
        <f t="shared" si="9"/>
        <v>2024</v>
      </c>
      <c r="L141">
        <f t="shared" si="10"/>
        <v>196.0926</v>
      </c>
      <c r="M141" t="str">
        <f t="shared" si="11"/>
        <v>Weekday</v>
      </c>
    </row>
    <row r="142" spans="1:13" x14ac:dyDescent="0.35">
      <c r="A142" t="s">
        <v>157</v>
      </c>
      <c r="B142" t="s">
        <v>17</v>
      </c>
      <c r="C142" t="s">
        <v>24</v>
      </c>
      <c r="D142" s="1">
        <v>45626</v>
      </c>
      <c r="E142">
        <v>91.44</v>
      </c>
      <c r="F142">
        <v>3</v>
      </c>
      <c r="G142">
        <v>82</v>
      </c>
      <c r="H142" t="s">
        <v>18</v>
      </c>
      <c r="I142">
        <v>5.96</v>
      </c>
      <c r="J142" t="str">
        <f t="shared" si="8"/>
        <v>Nov</v>
      </c>
      <c r="K142">
        <f t="shared" si="9"/>
        <v>2024</v>
      </c>
      <c r="L142">
        <f t="shared" si="10"/>
        <v>544.98239999999998</v>
      </c>
      <c r="M142" t="str">
        <f t="shared" si="11"/>
        <v>Weekend</v>
      </c>
    </row>
    <row r="143" spans="1:13" x14ac:dyDescent="0.35">
      <c r="A143" t="s">
        <v>158</v>
      </c>
      <c r="B143" t="s">
        <v>17</v>
      </c>
      <c r="C143" t="s">
        <v>15</v>
      </c>
      <c r="D143" s="1">
        <v>45323</v>
      </c>
      <c r="E143">
        <v>63</v>
      </c>
      <c r="F143">
        <v>8.4600000000000009</v>
      </c>
      <c r="G143">
        <v>15</v>
      </c>
      <c r="H143" t="s">
        <v>12</v>
      </c>
      <c r="I143">
        <v>8.2100000000000009</v>
      </c>
      <c r="J143" t="str">
        <f t="shared" si="8"/>
        <v>Feb</v>
      </c>
      <c r="K143">
        <f t="shared" si="9"/>
        <v>2024</v>
      </c>
      <c r="L143">
        <f t="shared" si="10"/>
        <v>517.23</v>
      </c>
      <c r="M143" t="str">
        <f t="shared" si="11"/>
        <v>Weekday</v>
      </c>
    </row>
    <row r="144" spans="1:13" x14ac:dyDescent="0.35">
      <c r="A144" t="s">
        <v>159</v>
      </c>
      <c r="B144" t="s">
        <v>14</v>
      </c>
      <c r="C144" t="s">
        <v>24</v>
      </c>
      <c r="D144" s="1">
        <v>45393</v>
      </c>
      <c r="E144">
        <v>46.94</v>
      </c>
      <c r="F144">
        <v>5.45</v>
      </c>
      <c r="G144">
        <v>96</v>
      </c>
      <c r="H144" t="s">
        <v>12</v>
      </c>
      <c r="I144">
        <v>8.49</v>
      </c>
      <c r="J144" t="str">
        <f t="shared" si="8"/>
        <v>Apr</v>
      </c>
      <c r="K144">
        <f t="shared" si="9"/>
        <v>2024</v>
      </c>
      <c r="L144">
        <f t="shared" si="10"/>
        <v>398.5206</v>
      </c>
      <c r="M144" t="str">
        <f t="shared" si="11"/>
        <v>Weekday</v>
      </c>
    </row>
    <row r="145" spans="1:13" x14ac:dyDescent="0.35">
      <c r="A145" t="s">
        <v>160</v>
      </c>
      <c r="B145" t="s">
        <v>14</v>
      </c>
      <c r="C145" t="s">
        <v>11</v>
      </c>
      <c r="D145" s="1">
        <v>45465</v>
      </c>
      <c r="E145">
        <v>63.49</v>
      </c>
      <c r="F145">
        <v>7.26</v>
      </c>
      <c r="G145">
        <v>47</v>
      </c>
      <c r="H145" t="s">
        <v>12</v>
      </c>
      <c r="I145">
        <v>4.71</v>
      </c>
      <c r="J145" t="str">
        <f t="shared" si="8"/>
        <v>Jun</v>
      </c>
      <c r="K145">
        <f t="shared" si="9"/>
        <v>2024</v>
      </c>
      <c r="L145">
        <f t="shared" si="10"/>
        <v>299.03789999999998</v>
      </c>
      <c r="M145" t="str">
        <f t="shared" si="11"/>
        <v>Weekend</v>
      </c>
    </row>
    <row r="146" spans="1:13" x14ac:dyDescent="0.35">
      <c r="A146" t="s">
        <v>161</v>
      </c>
      <c r="B146" t="s">
        <v>10</v>
      </c>
      <c r="C146" t="s">
        <v>11</v>
      </c>
      <c r="D146" s="1">
        <v>45307</v>
      </c>
      <c r="E146">
        <v>58.94</v>
      </c>
      <c r="F146">
        <v>5.21</v>
      </c>
      <c r="G146">
        <v>29</v>
      </c>
      <c r="H146" t="s">
        <v>18</v>
      </c>
      <c r="I146">
        <v>6.09</v>
      </c>
      <c r="J146" t="str">
        <f t="shared" si="8"/>
        <v>Jan</v>
      </c>
      <c r="K146">
        <f t="shared" si="9"/>
        <v>2024</v>
      </c>
      <c r="L146">
        <f t="shared" si="10"/>
        <v>358.94459999999998</v>
      </c>
      <c r="M146" t="str">
        <f t="shared" si="11"/>
        <v>Weekday</v>
      </c>
    </row>
    <row r="147" spans="1:13" x14ac:dyDescent="0.35">
      <c r="A147" t="s">
        <v>162</v>
      </c>
      <c r="B147" t="s">
        <v>14</v>
      </c>
      <c r="C147" t="s">
        <v>15</v>
      </c>
      <c r="D147" s="1">
        <v>45402</v>
      </c>
      <c r="E147">
        <v>71.11</v>
      </c>
      <c r="F147">
        <v>2.95</v>
      </c>
      <c r="G147">
        <v>75</v>
      </c>
      <c r="H147" t="s">
        <v>12</v>
      </c>
      <c r="I147">
        <v>8.4499999999999993</v>
      </c>
      <c r="J147" t="str">
        <f t="shared" si="8"/>
        <v>Apr</v>
      </c>
      <c r="K147">
        <f t="shared" si="9"/>
        <v>2024</v>
      </c>
      <c r="L147">
        <f t="shared" si="10"/>
        <v>600.87949999999989</v>
      </c>
      <c r="M147" t="str">
        <f t="shared" si="11"/>
        <v>Weekend</v>
      </c>
    </row>
    <row r="148" spans="1:13" x14ac:dyDescent="0.35">
      <c r="A148" t="s">
        <v>163</v>
      </c>
      <c r="B148" t="s">
        <v>17</v>
      </c>
      <c r="C148" t="s">
        <v>11</v>
      </c>
      <c r="D148" s="1">
        <v>45356</v>
      </c>
      <c r="E148">
        <v>86.36</v>
      </c>
      <c r="F148">
        <v>1.74</v>
      </c>
      <c r="G148">
        <v>94</v>
      </c>
      <c r="H148" t="s">
        <v>12</v>
      </c>
      <c r="I148">
        <v>8.52</v>
      </c>
      <c r="J148" t="str">
        <f t="shared" si="8"/>
        <v>Mar</v>
      </c>
      <c r="K148">
        <f t="shared" si="9"/>
        <v>2024</v>
      </c>
      <c r="L148">
        <f t="shared" si="10"/>
        <v>735.78719999999998</v>
      </c>
      <c r="M148" t="str">
        <f t="shared" si="11"/>
        <v>Weekday</v>
      </c>
    </row>
    <row r="149" spans="1:13" x14ac:dyDescent="0.35">
      <c r="A149" t="s">
        <v>164</v>
      </c>
      <c r="B149" t="s">
        <v>17</v>
      </c>
      <c r="C149" t="s">
        <v>24</v>
      </c>
      <c r="D149" s="1">
        <v>45456</v>
      </c>
      <c r="E149">
        <v>53.63</v>
      </c>
      <c r="F149">
        <v>2.82</v>
      </c>
      <c r="G149">
        <v>99</v>
      </c>
      <c r="H149" t="s">
        <v>18</v>
      </c>
      <c r="I149">
        <v>5.62</v>
      </c>
      <c r="J149" t="str">
        <f t="shared" si="8"/>
        <v>Jun</v>
      </c>
      <c r="K149">
        <f t="shared" si="9"/>
        <v>2024</v>
      </c>
      <c r="L149">
        <f t="shared" si="10"/>
        <v>301.4006</v>
      </c>
      <c r="M149" t="str">
        <f t="shared" si="11"/>
        <v>Weekday</v>
      </c>
    </row>
    <row r="150" spans="1:13" x14ac:dyDescent="0.35">
      <c r="A150" t="s">
        <v>165</v>
      </c>
      <c r="B150" t="s">
        <v>14</v>
      </c>
      <c r="C150" t="s">
        <v>11</v>
      </c>
      <c r="D150" s="1">
        <v>45503</v>
      </c>
      <c r="E150">
        <v>65.47</v>
      </c>
      <c r="F150">
        <v>5.98</v>
      </c>
      <c r="G150">
        <v>104</v>
      </c>
      <c r="H150" t="s">
        <v>12</v>
      </c>
      <c r="I150">
        <v>5.12</v>
      </c>
      <c r="J150" t="str">
        <f t="shared" si="8"/>
        <v>Jul</v>
      </c>
      <c r="K150">
        <f t="shared" si="9"/>
        <v>2024</v>
      </c>
      <c r="L150">
        <f t="shared" si="10"/>
        <v>335.20639999999997</v>
      </c>
      <c r="M150" t="str">
        <f t="shared" si="11"/>
        <v>Weekday</v>
      </c>
    </row>
    <row r="151" spans="1:13" x14ac:dyDescent="0.35">
      <c r="A151" t="s">
        <v>166</v>
      </c>
      <c r="B151" t="s">
        <v>17</v>
      </c>
      <c r="C151" t="s">
        <v>24</v>
      </c>
      <c r="D151" s="1">
        <v>45343</v>
      </c>
      <c r="E151">
        <v>43.5</v>
      </c>
      <c r="F151">
        <v>6.42</v>
      </c>
      <c r="G151">
        <v>92</v>
      </c>
      <c r="H151" t="s">
        <v>18</v>
      </c>
      <c r="I151">
        <v>5.03</v>
      </c>
      <c r="J151" t="str">
        <f t="shared" si="8"/>
        <v>Feb</v>
      </c>
      <c r="K151">
        <f t="shared" si="9"/>
        <v>2024</v>
      </c>
      <c r="L151">
        <f t="shared" si="10"/>
        <v>218.80500000000001</v>
      </c>
      <c r="M151" t="str">
        <f t="shared" si="11"/>
        <v>Weekday</v>
      </c>
    </row>
    <row r="152" spans="1:13" x14ac:dyDescent="0.35">
      <c r="A152" t="s">
        <v>167</v>
      </c>
      <c r="B152" t="s">
        <v>14</v>
      </c>
      <c r="C152" t="s">
        <v>11</v>
      </c>
      <c r="D152" s="1">
        <v>45544</v>
      </c>
      <c r="E152">
        <v>83.76</v>
      </c>
      <c r="F152">
        <v>8.76</v>
      </c>
      <c r="G152">
        <v>80</v>
      </c>
      <c r="H152" t="s">
        <v>18</v>
      </c>
      <c r="I152">
        <v>9.33</v>
      </c>
      <c r="J152" t="str">
        <f t="shared" si="8"/>
        <v>Sep</v>
      </c>
      <c r="K152">
        <f t="shared" si="9"/>
        <v>2024</v>
      </c>
      <c r="L152">
        <f t="shared" si="10"/>
        <v>781.48080000000004</v>
      </c>
      <c r="M152" t="str">
        <f t="shared" si="11"/>
        <v>Weekday</v>
      </c>
    </row>
    <row r="153" spans="1:13" x14ac:dyDescent="0.35">
      <c r="A153" t="s">
        <v>168</v>
      </c>
      <c r="B153" t="s">
        <v>14</v>
      </c>
      <c r="C153" t="s">
        <v>24</v>
      </c>
      <c r="D153" s="1">
        <v>45343</v>
      </c>
      <c r="E153">
        <v>35.71</v>
      </c>
      <c r="F153">
        <v>5.74</v>
      </c>
      <c r="G153">
        <v>91</v>
      </c>
      <c r="H153" t="s">
        <v>18</v>
      </c>
      <c r="I153">
        <v>5.17</v>
      </c>
      <c r="J153" t="str">
        <f t="shared" si="8"/>
        <v>Feb</v>
      </c>
      <c r="K153">
        <f t="shared" si="9"/>
        <v>2024</v>
      </c>
      <c r="L153">
        <f t="shared" si="10"/>
        <v>184.6207</v>
      </c>
      <c r="M153" t="str">
        <f t="shared" si="11"/>
        <v>Weekday</v>
      </c>
    </row>
    <row r="154" spans="1:13" x14ac:dyDescent="0.35">
      <c r="A154" t="s">
        <v>169</v>
      </c>
      <c r="B154" t="s">
        <v>10</v>
      </c>
      <c r="C154" t="s">
        <v>15</v>
      </c>
      <c r="D154" s="1">
        <v>45613</v>
      </c>
      <c r="E154">
        <v>9.3000000000000007</v>
      </c>
      <c r="F154">
        <v>5.78</v>
      </c>
      <c r="G154">
        <v>103</v>
      </c>
      <c r="H154" t="s">
        <v>18</v>
      </c>
      <c r="I154">
        <v>5.29</v>
      </c>
      <c r="J154" t="str">
        <f t="shared" si="8"/>
        <v>Nov</v>
      </c>
      <c r="K154">
        <f t="shared" si="9"/>
        <v>2024</v>
      </c>
      <c r="L154">
        <f t="shared" si="10"/>
        <v>49.197000000000003</v>
      </c>
      <c r="M154" t="str">
        <f t="shared" si="11"/>
        <v>Weekend</v>
      </c>
    </row>
    <row r="155" spans="1:13" x14ac:dyDescent="0.35">
      <c r="A155" t="s">
        <v>170</v>
      </c>
      <c r="B155" t="s">
        <v>10</v>
      </c>
      <c r="C155" t="s">
        <v>24</v>
      </c>
      <c r="D155" s="1">
        <v>45528</v>
      </c>
      <c r="E155">
        <v>26.96</v>
      </c>
      <c r="F155">
        <v>1.58</v>
      </c>
      <c r="G155">
        <v>51</v>
      </c>
      <c r="H155" t="s">
        <v>12</v>
      </c>
      <c r="I155">
        <v>6.71</v>
      </c>
      <c r="J155" t="str">
        <f t="shared" si="8"/>
        <v>Aug</v>
      </c>
      <c r="K155">
        <f t="shared" si="9"/>
        <v>2024</v>
      </c>
      <c r="L155">
        <f t="shared" si="10"/>
        <v>180.9016</v>
      </c>
      <c r="M155" t="str">
        <f t="shared" si="11"/>
        <v>Weekend</v>
      </c>
    </row>
    <row r="156" spans="1:13" x14ac:dyDescent="0.35">
      <c r="A156" t="s">
        <v>171</v>
      </c>
      <c r="B156" t="s">
        <v>10</v>
      </c>
      <c r="C156" t="s">
        <v>24</v>
      </c>
      <c r="D156" s="1">
        <v>45352</v>
      </c>
      <c r="E156">
        <v>74.75</v>
      </c>
      <c r="F156">
        <v>4</v>
      </c>
      <c r="G156">
        <v>84</v>
      </c>
      <c r="H156" t="s">
        <v>12</v>
      </c>
      <c r="I156">
        <v>9.76</v>
      </c>
      <c r="J156" t="str">
        <f t="shared" si="8"/>
        <v>Mar</v>
      </c>
      <c r="K156">
        <f t="shared" si="9"/>
        <v>2024</v>
      </c>
      <c r="L156">
        <f t="shared" si="10"/>
        <v>729.56</v>
      </c>
      <c r="M156" t="str">
        <f t="shared" si="11"/>
        <v>Weekday</v>
      </c>
    </row>
    <row r="157" spans="1:13" x14ac:dyDescent="0.35">
      <c r="A157" t="s">
        <v>172</v>
      </c>
      <c r="B157" t="s">
        <v>10</v>
      </c>
      <c r="C157" t="s">
        <v>24</v>
      </c>
      <c r="D157" s="1">
        <v>45425</v>
      </c>
      <c r="E157">
        <v>10.25</v>
      </c>
      <c r="F157">
        <v>5.78</v>
      </c>
      <c r="G157">
        <v>5</v>
      </c>
      <c r="H157" t="s">
        <v>12</v>
      </c>
      <c r="I157">
        <v>8.1300000000000008</v>
      </c>
      <c r="J157" t="str">
        <f t="shared" si="8"/>
        <v>May</v>
      </c>
      <c r="K157">
        <f t="shared" si="9"/>
        <v>2024</v>
      </c>
      <c r="L157">
        <f t="shared" si="10"/>
        <v>83.33250000000001</v>
      </c>
      <c r="M157" t="str">
        <f t="shared" si="11"/>
        <v>Weekday</v>
      </c>
    </row>
    <row r="158" spans="1:13" x14ac:dyDescent="0.35">
      <c r="A158" t="s">
        <v>173</v>
      </c>
      <c r="B158" t="s">
        <v>14</v>
      </c>
      <c r="C158" t="s">
        <v>15</v>
      </c>
      <c r="D158" s="1">
        <v>45432</v>
      </c>
      <c r="E158">
        <v>70.12</v>
      </c>
      <c r="F158">
        <v>7.87</v>
      </c>
      <c r="G158">
        <v>43</v>
      </c>
      <c r="H158" t="s">
        <v>12</v>
      </c>
      <c r="I158">
        <v>9.89</v>
      </c>
      <c r="J158" t="str">
        <f t="shared" si="8"/>
        <v>May</v>
      </c>
      <c r="K158">
        <f t="shared" si="9"/>
        <v>2024</v>
      </c>
      <c r="L158">
        <f t="shared" si="10"/>
        <v>693.48680000000013</v>
      </c>
      <c r="M158" t="str">
        <f t="shared" si="11"/>
        <v>Weekday</v>
      </c>
    </row>
    <row r="159" spans="1:13" x14ac:dyDescent="0.35">
      <c r="A159" t="s">
        <v>174</v>
      </c>
      <c r="B159" t="s">
        <v>17</v>
      </c>
      <c r="C159" t="s">
        <v>24</v>
      </c>
      <c r="D159" s="1">
        <v>45567</v>
      </c>
      <c r="E159">
        <v>93.47</v>
      </c>
      <c r="F159">
        <v>4.8600000000000003</v>
      </c>
      <c r="G159">
        <v>80</v>
      </c>
      <c r="H159" t="s">
        <v>12</v>
      </c>
      <c r="I159">
        <v>8.36</v>
      </c>
      <c r="J159" t="str">
        <f t="shared" si="8"/>
        <v>Oct</v>
      </c>
      <c r="K159">
        <f t="shared" si="9"/>
        <v>2024</v>
      </c>
      <c r="L159">
        <f t="shared" si="10"/>
        <v>781.40919999999994</v>
      </c>
      <c r="M159" t="str">
        <f t="shared" si="11"/>
        <v>Weekday</v>
      </c>
    </row>
    <row r="160" spans="1:13" x14ac:dyDescent="0.35">
      <c r="A160" t="s">
        <v>175</v>
      </c>
      <c r="B160" t="s">
        <v>17</v>
      </c>
      <c r="C160" t="s">
        <v>11</v>
      </c>
      <c r="D160" s="1">
        <v>45330</v>
      </c>
      <c r="E160">
        <v>50.37</v>
      </c>
      <c r="F160">
        <v>5.57</v>
      </c>
      <c r="G160">
        <v>109</v>
      </c>
      <c r="H160" t="s">
        <v>12</v>
      </c>
      <c r="I160">
        <v>8.81</v>
      </c>
      <c r="J160" t="str">
        <f t="shared" si="8"/>
        <v>Feb</v>
      </c>
      <c r="K160">
        <f t="shared" si="9"/>
        <v>2024</v>
      </c>
      <c r="L160">
        <f t="shared" si="10"/>
        <v>443.75970000000001</v>
      </c>
      <c r="M160" t="str">
        <f t="shared" si="11"/>
        <v>Weekday</v>
      </c>
    </row>
    <row r="161" spans="1:13" x14ac:dyDescent="0.35">
      <c r="A161" t="s">
        <v>176</v>
      </c>
      <c r="B161" t="s">
        <v>14</v>
      </c>
      <c r="C161" t="s">
        <v>11</v>
      </c>
      <c r="D161" s="1">
        <v>45561</v>
      </c>
      <c r="E161">
        <v>74.64</v>
      </c>
      <c r="F161">
        <v>4.99</v>
      </c>
      <c r="G161">
        <v>34</v>
      </c>
      <c r="H161" t="s">
        <v>18</v>
      </c>
      <c r="I161">
        <v>5.22</v>
      </c>
      <c r="J161" t="str">
        <f t="shared" si="8"/>
        <v>Sep</v>
      </c>
      <c r="K161">
        <f t="shared" si="9"/>
        <v>2024</v>
      </c>
      <c r="L161">
        <f t="shared" si="10"/>
        <v>389.62079999999997</v>
      </c>
      <c r="M161" t="str">
        <f t="shared" si="11"/>
        <v>Weekday</v>
      </c>
    </row>
    <row r="162" spans="1:13" x14ac:dyDescent="0.35">
      <c r="A162" t="s">
        <v>177</v>
      </c>
      <c r="B162" t="s">
        <v>14</v>
      </c>
      <c r="C162" t="s">
        <v>15</v>
      </c>
      <c r="D162" s="1">
        <v>45650</v>
      </c>
      <c r="E162">
        <v>91.68</v>
      </c>
      <c r="F162">
        <v>8.6999999999999993</v>
      </c>
      <c r="G162">
        <v>59</v>
      </c>
      <c r="H162" t="s">
        <v>12</v>
      </c>
      <c r="I162">
        <v>7.39</v>
      </c>
      <c r="J162" t="str">
        <f t="shared" si="8"/>
        <v>Dec</v>
      </c>
      <c r="K162">
        <f t="shared" si="9"/>
        <v>2024</v>
      </c>
      <c r="L162">
        <f t="shared" si="10"/>
        <v>677.51520000000005</v>
      </c>
      <c r="M162" t="str">
        <f t="shared" si="11"/>
        <v>Weekday</v>
      </c>
    </row>
    <row r="163" spans="1:13" x14ac:dyDescent="0.35">
      <c r="A163" t="s">
        <v>178</v>
      </c>
      <c r="B163" t="s">
        <v>17</v>
      </c>
      <c r="C163" t="s">
        <v>15</v>
      </c>
      <c r="D163" s="1">
        <v>45490</v>
      </c>
      <c r="E163">
        <v>96.29</v>
      </c>
      <c r="F163">
        <v>2.52</v>
      </c>
      <c r="G163">
        <v>108</v>
      </c>
      <c r="H163" t="s">
        <v>18</v>
      </c>
      <c r="I163">
        <v>7.44</v>
      </c>
      <c r="J163" t="str">
        <f t="shared" si="8"/>
        <v>Jul</v>
      </c>
      <c r="K163">
        <f t="shared" si="9"/>
        <v>2024</v>
      </c>
      <c r="L163">
        <f t="shared" si="10"/>
        <v>716.39760000000012</v>
      </c>
      <c r="M163" t="str">
        <f t="shared" si="11"/>
        <v>Weekday</v>
      </c>
    </row>
    <row r="164" spans="1:13" x14ac:dyDescent="0.35">
      <c r="A164" t="s">
        <v>179</v>
      </c>
      <c r="B164" t="s">
        <v>17</v>
      </c>
      <c r="C164" t="s">
        <v>11</v>
      </c>
      <c r="D164" s="1">
        <v>45580</v>
      </c>
      <c r="E164">
        <v>21.18</v>
      </c>
      <c r="F164">
        <v>2.73</v>
      </c>
      <c r="G164">
        <v>41</v>
      </c>
      <c r="H164" t="s">
        <v>12</v>
      </c>
      <c r="I164">
        <v>3.31</v>
      </c>
      <c r="J164" t="str">
        <f t="shared" si="8"/>
        <v>Oct</v>
      </c>
      <c r="K164">
        <f t="shared" si="9"/>
        <v>2024</v>
      </c>
      <c r="L164">
        <f t="shared" si="10"/>
        <v>70.105800000000002</v>
      </c>
      <c r="M164" t="str">
        <f t="shared" si="11"/>
        <v>Weekday</v>
      </c>
    </row>
    <row r="165" spans="1:13" x14ac:dyDescent="0.35">
      <c r="A165" t="s">
        <v>180</v>
      </c>
      <c r="B165" t="s">
        <v>14</v>
      </c>
      <c r="C165" t="s">
        <v>24</v>
      </c>
      <c r="D165" s="1">
        <v>45420</v>
      </c>
      <c r="E165">
        <v>57.2</v>
      </c>
      <c r="F165">
        <v>8.61</v>
      </c>
      <c r="G165">
        <v>33</v>
      </c>
      <c r="H165" t="s">
        <v>12</v>
      </c>
      <c r="I165">
        <v>8.33</v>
      </c>
      <c r="J165" t="str">
        <f t="shared" si="8"/>
        <v>May</v>
      </c>
      <c r="K165">
        <f t="shared" si="9"/>
        <v>2024</v>
      </c>
      <c r="L165">
        <f t="shared" si="10"/>
        <v>476.47600000000006</v>
      </c>
      <c r="M165" t="str">
        <f t="shared" si="11"/>
        <v>Weekday</v>
      </c>
    </row>
    <row r="166" spans="1:13" x14ac:dyDescent="0.35">
      <c r="A166" t="s">
        <v>181</v>
      </c>
      <c r="B166" t="s">
        <v>17</v>
      </c>
      <c r="C166" t="s">
        <v>24</v>
      </c>
      <c r="D166" s="1">
        <v>45592</v>
      </c>
      <c r="E166">
        <v>75.760000000000005</v>
      </c>
      <c r="F166">
        <v>6.67</v>
      </c>
      <c r="G166">
        <v>98</v>
      </c>
      <c r="H166" t="s">
        <v>12</v>
      </c>
      <c r="I166">
        <v>9.52</v>
      </c>
      <c r="J166" t="str">
        <f t="shared" si="8"/>
        <v>Oct</v>
      </c>
      <c r="K166">
        <f t="shared" si="9"/>
        <v>2024</v>
      </c>
      <c r="L166">
        <f t="shared" si="10"/>
        <v>721.23519999999996</v>
      </c>
      <c r="M166" t="str">
        <f t="shared" si="11"/>
        <v>Weekend</v>
      </c>
    </row>
    <row r="167" spans="1:13" x14ac:dyDescent="0.35">
      <c r="A167" t="s">
        <v>182</v>
      </c>
      <c r="B167" t="s">
        <v>17</v>
      </c>
      <c r="C167" t="s">
        <v>15</v>
      </c>
      <c r="D167" s="1">
        <v>45612</v>
      </c>
      <c r="E167">
        <v>50.62</v>
      </c>
      <c r="F167">
        <v>4.18</v>
      </c>
      <c r="G167">
        <v>68</v>
      </c>
      <c r="H167" t="s">
        <v>12</v>
      </c>
      <c r="I167">
        <v>9.9</v>
      </c>
      <c r="J167" t="str">
        <f t="shared" si="8"/>
        <v>Nov</v>
      </c>
      <c r="K167">
        <f t="shared" si="9"/>
        <v>2024</v>
      </c>
      <c r="L167">
        <f t="shared" si="10"/>
        <v>501.13799999999998</v>
      </c>
      <c r="M167" t="str">
        <f t="shared" si="11"/>
        <v>Weekend</v>
      </c>
    </row>
    <row r="168" spans="1:13" x14ac:dyDescent="0.35">
      <c r="A168" t="s">
        <v>183</v>
      </c>
      <c r="B168" t="s">
        <v>17</v>
      </c>
      <c r="C168" t="s">
        <v>24</v>
      </c>
      <c r="D168" s="1">
        <v>45654</v>
      </c>
      <c r="E168">
        <v>19.05</v>
      </c>
      <c r="F168">
        <v>3.19</v>
      </c>
      <c r="G168">
        <v>26</v>
      </c>
      <c r="H168" t="s">
        <v>12</v>
      </c>
      <c r="I168">
        <v>7.17</v>
      </c>
      <c r="J168" t="str">
        <f t="shared" si="8"/>
        <v>Dec</v>
      </c>
      <c r="K168">
        <f t="shared" si="9"/>
        <v>2024</v>
      </c>
      <c r="L168">
        <f t="shared" si="10"/>
        <v>136.58850000000001</v>
      </c>
      <c r="M168" t="str">
        <f t="shared" si="11"/>
        <v>Weekend</v>
      </c>
    </row>
    <row r="169" spans="1:13" x14ac:dyDescent="0.35">
      <c r="A169" t="s">
        <v>184</v>
      </c>
      <c r="B169" t="s">
        <v>10</v>
      </c>
      <c r="C169" t="s">
        <v>11</v>
      </c>
      <c r="D169" s="1">
        <v>45511</v>
      </c>
      <c r="E169">
        <v>13.75</v>
      </c>
      <c r="F169">
        <v>1.57</v>
      </c>
      <c r="G169">
        <v>63</v>
      </c>
      <c r="H169" t="s">
        <v>12</v>
      </c>
      <c r="I169">
        <v>7.78</v>
      </c>
      <c r="J169" t="str">
        <f t="shared" si="8"/>
        <v>Aug</v>
      </c>
      <c r="K169">
        <f t="shared" si="9"/>
        <v>2024</v>
      </c>
      <c r="L169">
        <f t="shared" si="10"/>
        <v>106.97500000000001</v>
      </c>
      <c r="M169" t="str">
        <f t="shared" si="11"/>
        <v>Weekday</v>
      </c>
    </row>
    <row r="170" spans="1:13" x14ac:dyDescent="0.35">
      <c r="A170" t="s">
        <v>185</v>
      </c>
      <c r="B170" t="s">
        <v>14</v>
      </c>
      <c r="C170" t="s">
        <v>15</v>
      </c>
      <c r="D170" s="1">
        <v>45416</v>
      </c>
      <c r="E170">
        <v>78.010000000000005</v>
      </c>
      <c r="F170">
        <v>2.16</v>
      </c>
      <c r="G170">
        <v>23</v>
      </c>
      <c r="H170" t="s">
        <v>18</v>
      </c>
      <c r="I170">
        <v>4.3600000000000003</v>
      </c>
      <c r="J170" t="str">
        <f t="shared" si="8"/>
        <v>May</v>
      </c>
      <c r="K170">
        <f t="shared" si="9"/>
        <v>2024</v>
      </c>
      <c r="L170">
        <f t="shared" si="10"/>
        <v>340.12360000000007</v>
      </c>
      <c r="M170" t="str">
        <f t="shared" si="11"/>
        <v>Weekend</v>
      </c>
    </row>
    <row r="171" spans="1:13" x14ac:dyDescent="0.35">
      <c r="A171" t="s">
        <v>186</v>
      </c>
      <c r="B171" t="s">
        <v>10</v>
      </c>
      <c r="C171" t="s">
        <v>11</v>
      </c>
      <c r="D171" s="1">
        <v>45504</v>
      </c>
      <c r="E171">
        <v>24.24</v>
      </c>
      <c r="F171">
        <v>6.16</v>
      </c>
      <c r="G171">
        <v>86</v>
      </c>
      <c r="H171" t="s">
        <v>12</v>
      </c>
      <c r="I171">
        <v>5.0599999999999996</v>
      </c>
      <c r="J171" t="str">
        <f t="shared" si="8"/>
        <v>Jul</v>
      </c>
      <c r="K171">
        <f t="shared" si="9"/>
        <v>2024</v>
      </c>
      <c r="L171">
        <f t="shared" si="10"/>
        <v>122.65439999999998</v>
      </c>
      <c r="M171" t="str">
        <f t="shared" si="11"/>
        <v>Weekday</v>
      </c>
    </row>
    <row r="172" spans="1:13" x14ac:dyDescent="0.35">
      <c r="A172" t="s">
        <v>187</v>
      </c>
      <c r="B172" t="s">
        <v>17</v>
      </c>
      <c r="C172" t="s">
        <v>11</v>
      </c>
      <c r="D172" s="1">
        <v>45634</v>
      </c>
      <c r="E172">
        <v>22.67</v>
      </c>
      <c r="F172">
        <v>3.42</v>
      </c>
      <c r="G172">
        <v>2</v>
      </c>
      <c r="H172" t="s">
        <v>18</v>
      </c>
      <c r="I172">
        <v>4.32</v>
      </c>
      <c r="J172" t="str">
        <f t="shared" si="8"/>
        <v>Dec</v>
      </c>
      <c r="K172">
        <f t="shared" si="9"/>
        <v>2024</v>
      </c>
      <c r="L172">
        <f t="shared" si="10"/>
        <v>97.934400000000011</v>
      </c>
      <c r="M172" t="str">
        <f t="shared" si="11"/>
        <v>Weekend</v>
      </c>
    </row>
    <row r="173" spans="1:13" x14ac:dyDescent="0.35">
      <c r="A173" t="s">
        <v>188</v>
      </c>
      <c r="B173" t="s">
        <v>17</v>
      </c>
      <c r="C173" t="s">
        <v>15</v>
      </c>
      <c r="D173" s="1">
        <v>45519</v>
      </c>
      <c r="E173">
        <v>93.36</v>
      </c>
      <c r="F173">
        <v>8.9600000000000009</v>
      </c>
      <c r="G173">
        <v>108</v>
      </c>
      <c r="H173" t="s">
        <v>12</v>
      </c>
      <c r="I173">
        <v>7.18</v>
      </c>
      <c r="J173" t="str">
        <f t="shared" si="8"/>
        <v>Aug</v>
      </c>
      <c r="K173">
        <f t="shared" si="9"/>
        <v>2024</v>
      </c>
      <c r="L173">
        <f t="shared" si="10"/>
        <v>670.32479999999998</v>
      </c>
      <c r="M173" t="str">
        <f t="shared" si="11"/>
        <v>Weekday</v>
      </c>
    </row>
    <row r="174" spans="1:13" x14ac:dyDescent="0.35">
      <c r="A174" t="s">
        <v>189</v>
      </c>
      <c r="B174" t="s">
        <v>10</v>
      </c>
      <c r="C174" t="s">
        <v>11</v>
      </c>
      <c r="D174" s="1">
        <v>45500</v>
      </c>
      <c r="E174">
        <v>6.49</v>
      </c>
      <c r="F174">
        <v>2.2200000000000002</v>
      </c>
      <c r="G174">
        <v>112</v>
      </c>
      <c r="H174" t="s">
        <v>18</v>
      </c>
      <c r="I174">
        <v>5.28</v>
      </c>
      <c r="J174" t="str">
        <f t="shared" si="8"/>
        <v>Jul</v>
      </c>
      <c r="K174">
        <f t="shared" si="9"/>
        <v>2024</v>
      </c>
      <c r="L174">
        <f t="shared" si="10"/>
        <v>34.267200000000003</v>
      </c>
      <c r="M174" t="str">
        <f t="shared" si="11"/>
        <v>Weekend</v>
      </c>
    </row>
    <row r="175" spans="1:13" x14ac:dyDescent="0.35">
      <c r="A175" t="s">
        <v>190</v>
      </c>
      <c r="B175" t="s">
        <v>10</v>
      </c>
      <c r="C175" t="s">
        <v>11</v>
      </c>
      <c r="D175" s="1">
        <v>45405</v>
      </c>
      <c r="E175">
        <v>10.66</v>
      </c>
      <c r="F175">
        <v>6.5</v>
      </c>
      <c r="G175">
        <v>116</v>
      </c>
      <c r="H175" t="s">
        <v>12</v>
      </c>
      <c r="I175">
        <v>8.92</v>
      </c>
      <c r="J175" t="str">
        <f t="shared" si="8"/>
        <v>Apr</v>
      </c>
      <c r="K175">
        <f t="shared" si="9"/>
        <v>2024</v>
      </c>
      <c r="L175">
        <f t="shared" si="10"/>
        <v>95.087199999999996</v>
      </c>
      <c r="M175" t="str">
        <f t="shared" si="11"/>
        <v>Weekday</v>
      </c>
    </row>
    <row r="176" spans="1:13" x14ac:dyDescent="0.35">
      <c r="A176" t="s">
        <v>191</v>
      </c>
      <c r="B176" t="s">
        <v>17</v>
      </c>
      <c r="C176" t="s">
        <v>15</v>
      </c>
      <c r="D176" s="1">
        <v>45357</v>
      </c>
      <c r="E176">
        <v>79.95</v>
      </c>
      <c r="F176">
        <v>6.88</v>
      </c>
      <c r="G176">
        <v>40</v>
      </c>
      <c r="H176" t="s">
        <v>12</v>
      </c>
      <c r="I176">
        <v>6.54</v>
      </c>
      <c r="J176" t="str">
        <f t="shared" si="8"/>
        <v>Mar</v>
      </c>
      <c r="K176">
        <f t="shared" si="9"/>
        <v>2024</v>
      </c>
      <c r="L176">
        <f t="shared" si="10"/>
        <v>522.87300000000005</v>
      </c>
      <c r="M176" t="str">
        <f t="shared" si="11"/>
        <v>Weekday</v>
      </c>
    </row>
    <row r="177" spans="1:13" x14ac:dyDescent="0.35">
      <c r="A177" t="s">
        <v>192</v>
      </c>
      <c r="B177" t="s">
        <v>14</v>
      </c>
      <c r="C177" t="s">
        <v>15</v>
      </c>
      <c r="D177" s="1">
        <v>45475</v>
      </c>
      <c r="E177">
        <v>90.74</v>
      </c>
      <c r="F177">
        <v>6.22</v>
      </c>
      <c r="G177">
        <v>66</v>
      </c>
      <c r="H177" t="s">
        <v>18</v>
      </c>
      <c r="I177">
        <v>4.6100000000000003</v>
      </c>
      <c r="J177" t="str">
        <f t="shared" si="8"/>
        <v>Jul</v>
      </c>
      <c r="K177">
        <f t="shared" si="9"/>
        <v>2024</v>
      </c>
      <c r="L177">
        <f t="shared" si="10"/>
        <v>418.31139999999999</v>
      </c>
      <c r="M177" t="str">
        <f t="shared" si="11"/>
        <v>Weekday</v>
      </c>
    </row>
    <row r="178" spans="1:13" x14ac:dyDescent="0.35">
      <c r="A178" t="s">
        <v>193</v>
      </c>
      <c r="B178" t="s">
        <v>10</v>
      </c>
      <c r="C178" t="s">
        <v>24</v>
      </c>
      <c r="D178" s="1">
        <v>45651</v>
      </c>
      <c r="E178">
        <v>81.03</v>
      </c>
      <c r="F178">
        <v>8.66</v>
      </c>
      <c r="G178">
        <v>103</v>
      </c>
      <c r="H178" t="s">
        <v>18</v>
      </c>
      <c r="I178">
        <v>9.15</v>
      </c>
      <c r="J178" t="str">
        <f t="shared" si="8"/>
        <v>Dec</v>
      </c>
      <c r="K178">
        <f t="shared" si="9"/>
        <v>2024</v>
      </c>
      <c r="L178">
        <f t="shared" si="10"/>
        <v>741.42450000000008</v>
      </c>
      <c r="M178" t="str">
        <f t="shared" si="11"/>
        <v>Weekday</v>
      </c>
    </row>
    <row r="179" spans="1:13" x14ac:dyDescent="0.35">
      <c r="A179" t="s">
        <v>194</v>
      </c>
      <c r="B179" t="s">
        <v>14</v>
      </c>
      <c r="C179" t="s">
        <v>15</v>
      </c>
      <c r="D179" s="1">
        <v>45487</v>
      </c>
      <c r="E179">
        <v>79.86</v>
      </c>
      <c r="F179">
        <v>5.89</v>
      </c>
      <c r="G179">
        <v>105</v>
      </c>
      <c r="H179" t="s">
        <v>12</v>
      </c>
      <c r="I179">
        <v>4.66</v>
      </c>
      <c r="J179" t="str">
        <f t="shared" si="8"/>
        <v>Jul</v>
      </c>
      <c r="K179">
        <f t="shared" si="9"/>
        <v>2024</v>
      </c>
      <c r="L179">
        <f t="shared" si="10"/>
        <v>372.14760000000001</v>
      </c>
      <c r="M179" t="str">
        <f t="shared" si="11"/>
        <v>Weekend</v>
      </c>
    </row>
    <row r="180" spans="1:13" x14ac:dyDescent="0.35">
      <c r="A180" t="s">
        <v>195</v>
      </c>
      <c r="B180" t="s">
        <v>10</v>
      </c>
      <c r="C180" t="s">
        <v>11</v>
      </c>
      <c r="D180" s="1">
        <v>45335</v>
      </c>
      <c r="E180">
        <v>38.64</v>
      </c>
      <c r="F180">
        <v>2.74</v>
      </c>
      <c r="G180">
        <v>85</v>
      </c>
      <c r="H180" t="s">
        <v>18</v>
      </c>
      <c r="I180">
        <v>9.4600000000000009</v>
      </c>
      <c r="J180" t="str">
        <f t="shared" si="8"/>
        <v>Feb</v>
      </c>
      <c r="K180">
        <f t="shared" si="9"/>
        <v>2024</v>
      </c>
      <c r="L180">
        <f t="shared" si="10"/>
        <v>365.53440000000006</v>
      </c>
      <c r="M180" t="str">
        <f t="shared" si="11"/>
        <v>Weekday</v>
      </c>
    </row>
    <row r="181" spans="1:13" x14ac:dyDescent="0.35">
      <c r="A181" t="s">
        <v>196</v>
      </c>
      <c r="B181" t="s">
        <v>14</v>
      </c>
      <c r="C181" t="s">
        <v>11</v>
      </c>
      <c r="D181" s="1">
        <v>45357</v>
      </c>
      <c r="E181">
        <v>73.8</v>
      </c>
      <c r="F181">
        <v>6.39</v>
      </c>
      <c r="G181">
        <v>66</v>
      </c>
      <c r="H181" t="s">
        <v>12</v>
      </c>
      <c r="I181">
        <v>6.8</v>
      </c>
      <c r="J181" t="str">
        <f t="shared" si="8"/>
        <v>Mar</v>
      </c>
      <c r="K181">
        <f t="shared" si="9"/>
        <v>2024</v>
      </c>
      <c r="L181">
        <f t="shared" si="10"/>
        <v>501.84</v>
      </c>
      <c r="M181" t="str">
        <f t="shared" si="11"/>
        <v>Weekday</v>
      </c>
    </row>
    <row r="182" spans="1:13" x14ac:dyDescent="0.35">
      <c r="A182" t="s">
        <v>197</v>
      </c>
      <c r="B182" t="s">
        <v>17</v>
      </c>
      <c r="C182" t="s">
        <v>24</v>
      </c>
      <c r="D182" s="1">
        <v>45328</v>
      </c>
      <c r="E182">
        <v>38.71</v>
      </c>
      <c r="F182">
        <v>9.5399999999999991</v>
      </c>
      <c r="G182">
        <v>49</v>
      </c>
      <c r="H182" t="s">
        <v>12</v>
      </c>
      <c r="I182">
        <v>8.7100000000000009</v>
      </c>
      <c r="J182" t="str">
        <f t="shared" si="8"/>
        <v>Feb</v>
      </c>
      <c r="K182">
        <f t="shared" si="9"/>
        <v>2024</v>
      </c>
      <c r="L182">
        <f t="shared" si="10"/>
        <v>337.16410000000002</v>
      </c>
      <c r="M182" t="str">
        <f t="shared" si="11"/>
        <v>Weekday</v>
      </c>
    </row>
    <row r="183" spans="1:13" x14ac:dyDescent="0.35">
      <c r="A183" t="s">
        <v>198</v>
      </c>
      <c r="B183" t="s">
        <v>10</v>
      </c>
      <c r="C183" t="s">
        <v>24</v>
      </c>
      <c r="D183" s="1">
        <v>45502</v>
      </c>
      <c r="E183">
        <v>79.849999999999994</v>
      </c>
      <c r="F183">
        <v>9.35</v>
      </c>
      <c r="G183">
        <v>83</v>
      </c>
      <c r="H183" t="s">
        <v>12</v>
      </c>
      <c r="I183">
        <v>8.18</v>
      </c>
      <c r="J183" t="str">
        <f t="shared" si="8"/>
        <v>Jul</v>
      </c>
      <c r="K183">
        <f t="shared" si="9"/>
        <v>2024</v>
      </c>
      <c r="L183">
        <f t="shared" si="10"/>
        <v>653.17299999999989</v>
      </c>
      <c r="M183" t="str">
        <f t="shared" si="11"/>
        <v>Weekday</v>
      </c>
    </row>
    <row r="184" spans="1:13" x14ac:dyDescent="0.35">
      <c r="A184" t="s">
        <v>199</v>
      </c>
      <c r="B184" t="s">
        <v>14</v>
      </c>
      <c r="C184" t="s">
        <v>11</v>
      </c>
      <c r="D184" s="1">
        <v>45484</v>
      </c>
      <c r="E184">
        <v>18.920000000000002</v>
      </c>
      <c r="F184">
        <v>4.42</v>
      </c>
      <c r="G184">
        <v>44</v>
      </c>
      <c r="H184" t="s">
        <v>12</v>
      </c>
      <c r="I184">
        <v>3.97</v>
      </c>
      <c r="J184" t="str">
        <f t="shared" si="8"/>
        <v>Jul</v>
      </c>
      <c r="K184">
        <f t="shared" si="9"/>
        <v>2024</v>
      </c>
      <c r="L184">
        <f t="shared" si="10"/>
        <v>75.112400000000008</v>
      </c>
      <c r="M184" t="str">
        <f t="shared" si="11"/>
        <v>Weekday</v>
      </c>
    </row>
    <row r="185" spans="1:13" x14ac:dyDescent="0.35">
      <c r="A185" t="s">
        <v>200</v>
      </c>
      <c r="B185" t="s">
        <v>17</v>
      </c>
      <c r="C185" t="s">
        <v>24</v>
      </c>
      <c r="D185" s="1">
        <v>45492</v>
      </c>
      <c r="E185">
        <v>16.12</v>
      </c>
      <c r="F185">
        <v>9.5</v>
      </c>
      <c r="G185">
        <v>111</v>
      </c>
      <c r="H185" t="s">
        <v>12</v>
      </c>
      <c r="I185">
        <v>9.99</v>
      </c>
      <c r="J185" t="str">
        <f t="shared" si="8"/>
        <v>Jul</v>
      </c>
      <c r="K185">
        <f t="shared" si="9"/>
        <v>2024</v>
      </c>
      <c r="L185">
        <f t="shared" si="10"/>
        <v>161.03880000000001</v>
      </c>
      <c r="M185" t="str">
        <f t="shared" si="11"/>
        <v>Weekday</v>
      </c>
    </row>
    <row r="186" spans="1:13" x14ac:dyDescent="0.35">
      <c r="A186" t="s">
        <v>201</v>
      </c>
      <c r="B186" t="s">
        <v>10</v>
      </c>
      <c r="C186" t="s">
        <v>24</v>
      </c>
      <c r="D186" s="1">
        <v>45439</v>
      </c>
      <c r="E186">
        <v>92.17</v>
      </c>
      <c r="F186">
        <v>7.15</v>
      </c>
      <c r="G186">
        <v>27</v>
      </c>
      <c r="H186" t="s">
        <v>12</v>
      </c>
      <c r="I186">
        <v>5.15</v>
      </c>
      <c r="J186" t="str">
        <f t="shared" si="8"/>
        <v>May</v>
      </c>
      <c r="K186">
        <f t="shared" si="9"/>
        <v>2024</v>
      </c>
      <c r="L186">
        <f t="shared" si="10"/>
        <v>474.67550000000006</v>
      </c>
      <c r="M186" t="str">
        <f t="shared" si="11"/>
        <v>Weekday</v>
      </c>
    </row>
    <row r="187" spans="1:13" x14ac:dyDescent="0.35">
      <c r="A187" t="s">
        <v>202</v>
      </c>
      <c r="B187" t="s">
        <v>17</v>
      </c>
      <c r="C187" t="s">
        <v>24</v>
      </c>
      <c r="D187" s="1">
        <v>45474</v>
      </c>
      <c r="E187">
        <v>91.95</v>
      </c>
      <c r="F187">
        <v>8.89</v>
      </c>
      <c r="G187">
        <v>112</v>
      </c>
      <c r="H187" t="s">
        <v>12</v>
      </c>
      <c r="I187">
        <v>4.74</v>
      </c>
      <c r="J187" t="str">
        <f t="shared" si="8"/>
        <v>Jul</v>
      </c>
      <c r="K187">
        <f t="shared" si="9"/>
        <v>2024</v>
      </c>
      <c r="L187">
        <f t="shared" si="10"/>
        <v>435.84300000000002</v>
      </c>
      <c r="M187" t="str">
        <f t="shared" si="11"/>
        <v>Weekday</v>
      </c>
    </row>
    <row r="188" spans="1:13" x14ac:dyDescent="0.35">
      <c r="A188" t="s">
        <v>203</v>
      </c>
      <c r="B188" t="s">
        <v>14</v>
      </c>
      <c r="C188" t="s">
        <v>24</v>
      </c>
      <c r="D188" s="1">
        <v>45350</v>
      </c>
      <c r="E188">
        <v>16.940000000000001</v>
      </c>
      <c r="F188">
        <v>5.85</v>
      </c>
      <c r="G188">
        <v>21</v>
      </c>
      <c r="H188" t="s">
        <v>18</v>
      </c>
      <c r="I188">
        <v>9.4600000000000009</v>
      </c>
      <c r="J188" t="str">
        <f t="shared" si="8"/>
        <v>Feb</v>
      </c>
      <c r="K188">
        <f t="shared" si="9"/>
        <v>2024</v>
      </c>
      <c r="L188">
        <f t="shared" si="10"/>
        <v>160.25240000000002</v>
      </c>
      <c r="M188" t="str">
        <f t="shared" si="11"/>
        <v>Weekday</v>
      </c>
    </row>
    <row r="189" spans="1:13" x14ac:dyDescent="0.35">
      <c r="A189" t="s">
        <v>204</v>
      </c>
      <c r="B189" t="s">
        <v>17</v>
      </c>
      <c r="C189" t="s">
        <v>24</v>
      </c>
      <c r="D189" s="1">
        <v>45371</v>
      </c>
      <c r="E189">
        <v>17.53</v>
      </c>
      <c r="F189">
        <v>9.0500000000000007</v>
      </c>
      <c r="G189">
        <v>120</v>
      </c>
      <c r="H189" t="s">
        <v>12</v>
      </c>
      <c r="I189">
        <v>6.36</v>
      </c>
      <c r="J189" t="str">
        <f t="shared" si="8"/>
        <v>Mar</v>
      </c>
      <c r="K189">
        <f t="shared" si="9"/>
        <v>2024</v>
      </c>
      <c r="L189">
        <f t="shared" si="10"/>
        <v>111.49080000000001</v>
      </c>
      <c r="M189" t="str">
        <f t="shared" si="11"/>
        <v>Weekday</v>
      </c>
    </row>
    <row r="190" spans="1:13" x14ac:dyDescent="0.35">
      <c r="A190" t="s">
        <v>205</v>
      </c>
      <c r="B190" t="s">
        <v>14</v>
      </c>
      <c r="C190" t="s">
        <v>11</v>
      </c>
      <c r="D190" s="1">
        <v>45619</v>
      </c>
      <c r="E190">
        <v>81.150000000000006</v>
      </c>
      <c r="F190">
        <v>1.56</v>
      </c>
      <c r="G190">
        <v>33</v>
      </c>
      <c r="H190" t="s">
        <v>18</v>
      </c>
      <c r="I190">
        <v>4.57</v>
      </c>
      <c r="J190" t="str">
        <f t="shared" si="8"/>
        <v>Nov</v>
      </c>
      <c r="K190">
        <f t="shared" si="9"/>
        <v>2024</v>
      </c>
      <c r="L190">
        <f t="shared" si="10"/>
        <v>370.85550000000006</v>
      </c>
      <c r="M190" t="str">
        <f t="shared" si="11"/>
        <v>Weekend</v>
      </c>
    </row>
    <row r="191" spans="1:13" x14ac:dyDescent="0.35">
      <c r="A191" t="s">
        <v>206</v>
      </c>
      <c r="B191" t="s">
        <v>17</v>
      </c>
      <c r="C191" t="s">
        <v>11</v>
      </c>
      <c r="D191" s="1">
        <v>45553</v>
      </c>
      <c r="E191">
        <v>40.14</v>
      </c>
      <c r="F191">
        <v>2.2799999999999998</v>
      </c>
      <c r="G191">
        <v>105</v>
      </c>
      <c r="H191" t="s">
        <v>12</v>
      </c>
      <c r="I191">
        <v>6.99</v>
      </c>
      <c r="J191" t="str">
        <f t="shared" si="8"/>
        <v>Sep</v>
      </c>
      <c r="K191">
        <f t="shared" si="9"/>
        <v>2024</v>
      </c>
      <c r="L191">
        <f t="shared" si="10"/>
        <v>280.57859999999999</v>
      </c>
      <c r="M191" t="str">
        <f t="shared" si="11"/>
        <v>Weekday</v>
      </c>
    </row>
    <row r="192" spans="1:13" x14ac:dyDescent="0.35">
      <c r="A192" t="s">
        <v>207</v>
      </c>
      <c r="B192" t="s">
        <v>14</v>
      </c>
      <c r="C192" t="s">
        <v>15</v>
      </c>
      <c r="D192" s="1">
        <v>45594</v>
      </c>
      <c r="E192">
        <v>76.650000000000006</v>
      </c>
      <c r="F192">
        <v>5.85</v>
      </c>
      <c r="G192">
        <v>55</v>
      </c>
      <c r="H192" t="s">
        <v>18</v>
      </c>
      <c r="I192">
        <v>7.52</v>
      </c>
      <c r="J192" t="str">
        <f t="shared" si="8"/>
        <v>Oct</v>
      </c>
      <c r="K192">
        <f t="shared" si="9"/>
        <v>2024</v>
      </c>
      <c r="L192">
        <f t="shared" si="10"/>
        <v>576.40800000000002</v>
      </c>
      <c r="M192" t="str">
        <f t="shared" si="11"/>
        <v>Weekday</v>
      </c>
    </row>
    <row r="193" spans="1:13" x14ac:dyDescent="0.35">
      <c r="A193" t="s">
        <v>208</v>
      </c>
      <c r="B193" t="s">
        <v>14</v>
      </c>
      <c r="C193" t="s">
        <v>15</v>
      </c>
      <c r="D193" s="1">
        <v>45532</v>
      </c>
      <c r="E193">
        <v>55.76</v>
      </c>
      <c r="F193">
        <v>4.7</v>
      </c>
      <c r="G193">
        <v>48</v>
      </c>
      <c r="H193" t="s">
        <v>12</v>
      </c>
      <c r="I193">
        <v>3.78</v>
      </c>
      <c r="J193" t="str">
        <f t="shared" si="8"/>
        <v>Aug</v>
      </c>
      <c r="K193">
        <f t="shared" si="9"/>
        <v>2024</v>
      </c>
      <c r="L193">
        <f t="shared" si="10"/>
        <v>210.77279999999999</v>
      </c>
      <c r="M193" t="str">
        <f t="shared" si="11"/>
        <v>Weekday</v>
      </c>
    </row>
    <row r="194" spans="1:13" x14ac:dyDescent="0.35">
      <c r="A194" t="s">
        <v>209</v>
      </c>
      <c r="B194" t="s">
        <v>10</v>
      </c>
      <c r="C194" t="s">
        <v>24</v>
      </c>
      <c r="D194" s="1">
        <v>45413</v>
      </c>
      <c r="E194">
        <v>79.209999999999994</v>
      </c>
      <c r="F194">
        <v>9.5500000000000007</v>
      </c>
      <c r="G194">
        <v>97</v>
      </c>
      <c r="H194" t="s">
        <v>18</v>
      </c>
      <c r="I194">
        <v>9.42</v>
      </c>
      <c r="J194" t="str">
        <f t="shared" si="8"/>
        <v>May</v>
      </c>
      <c r="K194">
        <f t="shared" si="9"/>
        <v>2024</v>
      </c>
      <c r="L194">
        <f t="shared" si="10"/>
        <v>746.15819999999997</v>
      </c>
      <c r="M194" t="str">
        <f t="shared" si="11"/>
        <v>Weekday</v>
      </c>
    </row>
    <row r="195" spans="1:13" x14ac:dyDescent="0.35">
      <c r="A195" t="s">
        <v>210</v>
      </c>
      <c r="B195" t="s">
        <v>14</v>
      </c>
      <c r="C195" t="s">
        <v>11</v>
      </c>
      <c r="D195" s="1">
        <v>45491</v>
      </c>
      <c r="E195">
        <v>91.01</v>
      </c>
      <c r="F195">
        <v>7.25</v>
      </c>
      <c r="G195">
        <v>108</v>
      </c>
      <c r="H195" t="s">
        <v>12</v>
      </c>
      <c r="I195">
        <v>5.07</v>
      </c>
      <c r="J195" t="str">
        <f t="shared" ref="J195:J258" si="12">TEXT(D195,"mmm")</f>
        <v>Jul</v>
      </c>
      <c r="K195">
        <f t="shared" ref="K195:K258" si="13">YEAR(D195)</f>
        <v>2024</v>
      </c>
      <c r="L195">
        <f t="shared" ref="L195:L258" si="14">E195*I195</f>
        <v>461.42070000000007</v>
      </c>
      <c r="M195" t="str">
        <f t="shared" ref="M195:M258" si="15">IF(OR(WEEKDAY(D195)=1,WEEKDAY(D195)=7),"Weekend","Weekday")</f>
        <v>Weekday</v>
      </c>
    </row>
    <row r="196" spans="1:13" x14ac:dyDescent="0.35">
      <c r="A196" t="s">
        <v>211</v>
      </c>
      <c r="B196" t="s">
        <v>17</v>
      </c>
      <c r="C196" t="s">
        <v>24</v>
      </c>
      <c r="D196" s="1">
        <v>45473</v>
      </c>
      <c r="E196">
        <v>85.59</v>
      </c>
      <c r="F196">
        <v>6.03</v>
      </c>
      <c r="G196">
        <v>17</v>
      </c>
      <c r="H196" t="s">
        <v>12</v>
      </c>
      <c r="I196">
        <v>5.79</v>
      </c>
      <c r="J196" t="str">
        <f t="shared" si="12"/>
        <v>Jun</v>
      </c>
      <c r="K196">
        <f t="shared" si="13"/>
        <v>2024</v>
      </c>
      <c r="L196">
        <f t="shared" si="14"/>
        <v>495.56610000000001</v>
      </c>
      <c r="M196" t="str">
        <f t="shared" si="15"/>
        <v>Weekend</v>
      </c>
    </row>
    <row r="197" spans="1:13" x14ac:dyDescent="0.35">
      <c r="A197" t="s">
        <v>212</v>
      </c>
      <c r="B197" t="s">
        <v>10</v>
      </c>
      <c r="C197" t="s">
        <v>15</v>
      </c>
      <c r="D197" s="1">
        <v>45426</v>
      </c>
      <c r="E197">
        <v>38.229999999999997</v>
      </c>
      <c r="F197">
        <v>3.14</v>
      </c>
      <c r="G197">
        <v>44</v>
      </c>
      <c r="H197" t="s">
        <v>18</v>
      </c>
      <c r="I197">
        <v>6.45</v>
      </c>
      <c r="J197" t="str">
        <f t="shared" si="12"/>
        <v>May</v>
      </c>
      <c r="K197">
        <f t="shared" si="13"/>
        <v>2024</v>
      </c>
      <c r="L197">
        <f t="shared" si="14"/>
        <v>246.58349999999999</v>
      </c>
      <c r="M197" t="str">
        <f t="shared" si="15"/>
        <v>Weekday</v>
      </c>
    </row>
    <row r="198" spans="1:13" x14ac:dyDescent="0.35">
      <c r="A198" t="s">
        <v>213</v>
      </c>
      <c r="B198" t="s">
        <v>14</v>
      </c>
      <c r="C198" t="s">
        <v>11</v>
      </c>
      <c r="D198" s="1">
        <v>45602</v>
      </c>
      <c r="E198">
        <v>64.709999999999994</v>
      </c>
      <c r="F198">
        <v>6.27</v>
      </c>
      <c r="G198">
        <v>6</v>
      </c>
      <c r="H198" t="s">
        <v>18</v>
      </c>
      <c r="I198">
        <v>5.77</v>
      </c>
      <c r="J198" t="str">
        <f t="shared" si="12"/>
        <v>Nov</v>
      </c>
      <c r="K198">
        <f t="shared" si="13"/>
        <v>2024</v>
      </c>
      <c r="L198">
        <f t="shared" si="14"/>
        <v>373.37669999999991</v>
      </c>
      <c r="M198" t="str">
        <f t="shared" si="15"/>
        <v>Weekday</v>
      </c>
    </row>
    <row r="199" spans="1:13" x14ac:dyDescent="0.35">
      <c r="A199" t="s">
        <v>214</v>
      </c>
      <c r="B199" t="s">
        <v>10</v>
      </c>
      <c r="C199" t="s">
        <v>11</v>
      </c>
      <c r="D199" s="1">
        <v>45355</v>
      </c>
      <c r="E199">
        <v>29.57</v>
      </c>
      <c r="F199">
        <v>5.9</v>
      </c>
      <c r="G199">
        <v>77</v>
      </c>
      <c r="H199" t="s">
        <v>18</v>
      </c>
      <c r="I199">
        <v>5.36</v>
      </c>
      <c r="J199" t="str">
        <f t="shared" si="12"/>
        <v>Mar</v>
      </c>
      <c r="K199">
        <f t="shared" si="13"/>
        <v>2024</v>
      </c>
      <c r="L199">
        <f t="shared" si="14"/>
        <v>158.49520000000001</v>
      </c>
      <c r="M199" t="str">
        <f t="shared" si="15"/>
        <v>Weekday</v>
      </c>
    </row>
    <row r="200" spans="1:13" x14ac:dyDescent="0.35">
      <c r="A200" t="s">
        <v>215</v>
      </c>
      <c r="B200" t="s">
        <v>14</v>
      </c>
      <c r="C200" t="s">
        <v>11</v>
      </c>
      <c r="D200" s="1">
        <v>45341</v>
      </c>
      <c r="E200">
        <v>46.1</v>
      </c>
      <c r="F200">
        <v>8.09</v>
      </c>
      <c r="G200">
        <v>87</v>
      </c>
      <c r="H200" t="s">
        <v>12</v>
      </c>
      <c r="I200">
        <v>6.09</v>
      </c>
      <c r="J200" t="str">
        <f t="shared" si="12"/>
        <v>Feb</v>
      </c>
      <c r="K200">
        <f t="shared" si="13"/>
        <v>2024</v>
      </c>
      <c r="L200">
        <f t="shared" si="14"/>
        <v>280.74900000000002</v>
      </c>
      <c r="M200" t="str">
        <f t="shared" si="15"/>
        <v>Weekday</v>
      </c>
    </row>
    <row r="201" spans="1:13" x14ac:dyDescent="0.35">
      <c r="A201" t="s">
        <v>216</v>
      </c>
      <c r="B201" t="s">
        <v>17</v>
      </c>
      <c r="C201" t="s">
        <v>24</v>
      </c>
      <c r="D201" s="1">
        <v>45330</v>
      </c>
      <c r="E201">
        <v>22.91</v>
      </c>
      <c r="F201">
        <v>8.2799999999999994</v>
      </c>
      <c r="G201">
        <v>111</v>
      </c>
      <c r="H201" t="s">
        <v>18</v>
      </c>
      <c r="I201">
        <v>3.76</v>
      </c>
      <c r="J201" t="str">
        <f t="shared" si="12"/>
        <v>Feb</v>
      </c>
      <c r="K201">
        <f t="shared" si="13"/>
        <v>2024</v>
      </c>
      <c r="L201">
        <f t="shared" si="14"/>
        <v>86.141599999999997</v>
      </c>
      <c r="M201" t="str">
        <f t="shared" si="15"/>
        <v>Weekday</v>
      </c>
    </row>
    <row r="202" spans="1:13" x14ac:dyDescent="0.35">
      <c r="A202" t="s">
        <v>217</v>
      </c>
      <c r="B202" t="s">
        <v>17</v>
      </c>
      <c r="C202" t="s">
        <v>15</v>
      </c>
      <c r="D202" s="1">
        <v>45380</v>
      </c>
      <c r="E202">
        <v>88.27</v>
      </c>
      <c r="F202">
        <v>7.65</v>
      </c>
      <c r="G202">
        <v>80</v>
      </c>
      <c r="H202" t="s">
        <v>18</v>
      </c>
      <c r="I202">
        <v>4.8</v>
      </c>
      <c r="J202" t="str">
        <f t="shared" si="12"/>
        <v>Mar</v>
      </c>
      <c r="K202">
        <f t="shared" si="13"/>
        <v>2024</v>
      </c>
      <c r="L202">
        <f t="shared" si="14"/>
        <v>423.69599999999997</v>
      </c>
      <c r="M202" t="str">
        <f t="shared" si="15"/>
        <v>Weekday</v>
      </c>
    </row>
    <row r="203" spans="1:13" x14ac:dyDescent="0.35">
      <c r="A203" t="s">
        <v>218</v>
      </c>
      <c r="B203" t="s">
        <v>14</v>
      </c>
      <c r="C203" t="s">
        <v>11</v>
      </c>
      <c r="D203" s="1">
        <v>45475</v>
      </c>
      <c r="E203">
        <v>26.16</v>
      </c>
      <c r="F203">
        <v>6.21</v>
      </c>
      <c r="G203">
        <v>104</v>
      </c>
      <c r="H203" t="s">
        <v>12</v>
      </c>
      <c r="I203">
        <v>8.2200000000000006</v>
      </c>
      <c r="J203" t="str">
        <f t="shared" si="12"/>
        <v>Jul</v>
      </c>
      <c r="K203">
        <f t="shared" si="13"/>
        <v>2024</v>
      </c>
      <c r="L203">
        <f t="shared" si="14"/>
        <v>215.03520000000003</v>
      </c>
      <c r="M203" t="str">
        <f t="shared" si="15"/>
        <v>Weekday</v>
      </c>
    </row>
    <row r="204" spans="1:13" x14ac:dyDescent="0.35">
      <c r="A204" t="s">
        <v>219</v>
      </c>
      <c r="B204" t="s">
        <v>17</v>
      </c>
      <c r="C204" t="s">
        <v>24</v>
      </c>
      <c r="D204" s="1">
        <v>45619</v>
      </c>
      <c r="E204">
        <v>5.81</v>
      </c>
      <c r="F204">
        <v>9.8699999999999992</v>
      </c>
      <c r="G204">
        <v>44</v>
      </c>
      <c r="H204" t="s">
        <v>12</v>
      </c>
      <c r="I204">
        <v>3.64</v>
      </c>
      <c r="J204" t="str">
        <f t="shared" si="12"/>
        <v>Nov</v>
      </c>
      <c r="K204">
        <f t="shared" si="13"/>
        <v>2024</v>
      </c>
      <c r="L204">
        <f t="shared" si="14"/>
        <v>21.148399999999999</v>
      </c>
      <c r="M204" t="str">
        <f t="shared" si="15"/>
        <v>Weekend</v>
      </c>
    </row>
    <row r="205" spans="1:13" x14ac:dyDescent="0.35">
      <c r="A205" t="s">
        <v>220</v>
      </c>
      <c r="B205" t="s">
        <v>17</v>
      </c>
      <c r="C205" t="s">
        <v>15</v>
      </c>
      <c r="D205" s="1">
        <v>45333</v>
      </c>
      <c r="E205">
        <v>65.81</v>
      </c>
      <c r="F205">
        <v>7.75</v>
      </c>
      <c r="G205">
        <v>47</v>
      </c>
      <c r="H205" t="s">
        <v>18</v>
      </c>
      <c r="I205">
        <v>8.11</v>
      </c>
      <c r="J205" t="str">
        <f t="shared" si="12"/>
        <v>Feb</v>
      </c>
      <c r="K205">
        <f t="shared" si="13"/>
        <v>2024</v>
      </c>
      <c r="L205">
        <f t="shared" si="14"/>
        <v>533.71910000000003</v>
      </c>
      <c r="M205" t="str">
        <f t="shared" si="15"/>
        <v>Weekend</v>
      </c>
    </row>
    <row r="206" spans="1:13" x14ac:dyDescent="0.35">
      <c r="A206" t="s">
        <v>221</v>
      </c>
      <c r="B206" t="s">
        <v>14</v>
      </c>
      <c r="C206" t="s">
        <v>24</v>
      </c>
      <c r="D206" s="1">
        <v>45433</v>
      </c>
      <c r="E206">
        <v>45.27</v>
      </c>
      <c r="F206">
        <v>1.51</v>
      </c>
      <c r="G206">
        <v>98</v>
      </c>
      <c r="H206" t="s">
        <v>18</v>
      </c>
      <c r="I206">
        <v>6.66</v>
      </c>
      <c r="J206" t="str">
        <f t="shared" si="12"/>
        <v>May</v>
      </c>
      <c r="K206">
        <f t="shared" si="13"/>
        <v>2024</v>
      </c>
      <c r="L206">
        <f t="shared" si="14"/>
        <v>301.49820000000005</v>
      </c>
      <c r="M206" t="str">
        <f t="shared" si="15"/>
        <v>Weekday</v>
      </c>
    </row>
    <row r="207" spans="1:13" x14ac:dyDescent="0.35">
      <c r="A207" t="s">
        <v>222</v>
      </c>
      <c r="B207" t="s">
        <v>17</v>
      </c>
      <c r="C207" t="s">
        <v>24</v>
      </c>
      <c r="D207" s="1">
        <v>45356</v>
      </c>
      <c r="E207">
        <v>7.38</v>
      </c>
      <c r="F207">
        <v>7.22</v>
      </c>
      <c r="G207">
        <v>40</v>
      </c>
      <c r="H207" t="s">
        <v>18</v>
      </c>
      <c r="I207">
        <v>8.81</v>
      </c>
      <c r="J207" t="str">
        <f t="shared" si="12"/>
        <v>Mar</v>
      </c>
      <c r="K207">
        <f t="shared" si="13"/>
        <v>2024</v>
      </c>
      <c r="L207">
        <f t="shared" si="14"/>
        <v>65.017800000000008</v>
      </c>
      <c r="M207" t="str">
        <f t="shared" si="15"/>
        <v>Weekday</v>
      </c>
    </row>
    <row r="208" spans="1:13" x14ac:dyDescent="0.35">
      <c r="A208" t="s">
        <v>223</v>
      </c>
      <c r="B208" t="s">
        <v>10</v>
      </c>
      <c r="C208" t="s">
        <v>24</v>
      </c>
      <c r="D208" s="1">
        <v>45472</v>
      </c>
      <c r="E208">
        <v>13.62</v>
      </c>
      <c r="F208">
        <v>7.34</v>
      </c>
      <c r="G208">
        <v>42</v>
      </c>
      <c r="H208" t="s">
        <v>12</v>
      </c>
      <c r="I208">
        <v>4.51</v>
      </c>
      <c r="J208" t="str">
        <f t="shared" si="12"/>
        <v>Jun</v>
      </c>
      <c r="K208">
        <f t="shared" si="13"/>
        <v>2024</v>
      </c>
      <c r="L208">
        <f t="shared" si="14"/>
        <v>61.426199999999994</v>
      </c>
      <c r="M208" t="str">
        <f t="shared" si="15"/>
        <v>Weekend</v>
      </c>
    </row>
    <row r="209" spans="1:13" x14ac:dyDescent="0.35">
      <c r="A209" t="s">
        <v>224</v>
      </c>
      <c r="B209" t="s">
        <v>14</v>
      </c>
      <c r="C209" t="s">
        <v>15</v>
      </c>
      <c r="D209" s="1">
        <v>45399</v>
      </c>
      <c r="E209">
        <v>38.31</v>
      </c>
      <c r="F209">
        <v>3.25</v>
      </c>
      <c r="G209">
        <v>90</v>
      </c>
      <c r="H209" t="s">
        <v>12</v>
      </c>
      <c r="I209">
        <v>4.16</v>
      </c>
      <c r="J209" t="str">
        <f t="shared" si="12"/>
        <v>Apr</v>
      </c>
      <c r="K209">
        <f t="shared" si="13"/>
        <v>2024</v>
      </c>
      <c r="L209">
        <f t="shared" si="14"/>
        <v>159.36960000000002</v>
      </c>
      <c r="M209" t="str">
        <f t="shared" si="15"/>
        <v>Weekday</v>
      </c>
    </row>
    <row r="210" spans="1:13" x14ac:dyDescent="0.35">
      <c r="A210" t="s">
        <v>225</v>
      </c>
      <c r="B210" t="s">
        <v>14</v>
      </c>
      <c r="C210" t="s">
        <v>15</v>
      </c>
      <c r="D210" s="1">
        <v>45488</v>
      </c>
      <c r="E210">
        <v>26.78</v>
      </c>
      <c r="F210">
        <v>3.32</v>
      </c>
      <c r="G210">
        <v>1</v>
      </c>
      <c r="H210" t="s">
        <v>12</v>
      </c>
      <c r="I210">
        <v>8.51</v>
      </c>
      <c r="J210" t="str">
        <f t="shared" si="12"/>
        <v>Jul</v>
      </c>
      <c r="K210">
        <f t="shared" si="13"/>
        <v>2024</v>
      </c>
      <c r="L210">
        <f t="shared" si="14"/>
        <v>227.89780000000002</v>
      </c>
      <c r="M210" t="str">
        <f t="shared" si="15"/>
        <v>Weekday</v>
      </c>
    </row>
    <row r="211" spans="1:13" x14ac:dyDescent="0.35">
      <c r="A211" t="s">
        <v>226</v>
      </c>
      <c r="B211" t="s">
        <v>17</v>
      </c>
      <c r="C211" t="s">
        <v>11</v>
      </c>
      <c r="D211" s="1">
        <v>45299</v>
      </c>
      <c r="E211">
        <v>86.1</v>
      </c>
      <c r="F211">
        <v>3.67</v>
      </c>
      <c r="G211">
        <v>21</v>
      </c>
      <c r="H211" t="s">
        <v>12</v>
      </c>
      <c r="I211">
        <v>7.58</v>
      </c>
      <c r="J211" t="str">
        <f t="shared" si="12"/>
        <v>Jan</v>
      </c>
      <c r="K211">
        <f t="shared" si="13"/>
        <v>2024</v>
      </c>
      <c r="L211">
        <f t="shared" si="14"/>
        <v>652.63799999999992</v>
      </c>
      <c r="M211" t="str">
        <f t="shared" si="15"/>
        <v>Weekday</v>
      </c>
    </row>
    <row r="212" spans="1:13" x14ac:dyDescent="0.35">
      <c r="A212" t="s">
        <v>227</v>
      </c>
      <c r="B212" t="s">
        <v>14</v>
      </c>
      <c r="C212" t="s">
        <v>11</v>
      </c>
      <c r="D212" s="1">
        <v>45636</v>
      </c>
      <c r="E212">
        <v>94.86</v>
      </c>
      <c r="F212">
        <v>8.4</v>
      </c>
      <c r="G212">
        <v>71</v>
      </c>
      <c r="H212" t="s">
        <v>18</v>
      </c>
      <c r="I212">
        <v>5.13</v>
      </c>
      <c r="J212" t="str">
        <f t="shared" si="12"/>
        <v>Dec</v>
      </c>
      <c r="K212">
        <f t="shared" si="13"/>
        <v>2024</v>
      </c>
      <c r="L212">
        <f t="shared" si="14"/>
        <v>486.6318</v>
      </c>
      <c r="M212" t="str">
        <f t="shared" si="15"/>
        <v>Weekday</v>
      </c>
    </row>
    <row r="213" spans="1:13" x14ac:dyDescent="0.35">
      <c r="A213" t="s">
        <v>228</v>
      </c>
      <c r="B213" t="s">
        <v>10</v>
      </c>
      <c r="C213" t="s">
        <v>24</v>
      </c>
      <c r="D213" s="1">
        <v>45364</v>
      </c>
      <c r="E213">
        <v>70.11</v>
      </c>
      <c r="F213">
        <v>7.26</v>
      </c>
      <c r="G213">
        <v>23</v>
      </c>
      <c r="H213" t="s">
        <v>12</v>
      </c>
      <c r="I213">
        <v>4.5999999999999996</v>
      </c>
      <c r="J213" t="str">
        <f t="shared" si="12"/>
        <v>Mar</v>
      </c>
      <c r="K213">
        <f t="shared" si="13"/>
        <v>2024</v>
      </c>
      <c r="L213">
        <f t="shared" si="14"/>
        <v>322.50599999999997</v>
      </c>
      <c r="M213" t="str">
        <f t="shared" si="15"/>
        <v>Weekday</v>
      </c>
    </row>
    <row r="214" spans="1:13" x14ac:dyDescent="0.35">
      <c r="A214" t="s">
        <v>229</v>
      </c>
      <c r="B214" t="s">
        <v>14</v>
      </c>
      <c r="C214" t="s">
        <v>15</v>
      </c>
      <c r="D214" s="1">
        <v>45413</v>
      </c>
      <c r="E214">
        <v>15.81</v>
      </c>
      <c r="F214">
        <v>5.19</v>
      </c>
      <c r="G214">
        <v>35</v>
      </c>
      <c r="H214" t="s">
        <v>12</v>
      </c>
      <c r="I214">
        <v>3.85</v>
      </c>
      <c r="J214" t="str">
        <f t="shared" si="12"/>
        <v>May</v>
      </c>
      <c r="K214">
        <f t="shared" si="13"/>
        <v>2024</v>
      </c>
      <c r="L214">
        <f t="shared" si="14"/>
        <v>60.868500000000004</v>
      </c>
      <c r="M214" t="str">
        <f t="shared" si="15"/>
        <v>Weekday</v>
      </c>
    </row>
    <row r="215" spans="1:13" x14ac:dyDescent="0.35">
      <c r="A215" t="s">
        <v>230</v>
      </c>
      <c r="B215" t="s">
        <v>14</v>
      </c>
      <c r="C215" t="s">
        <v>15</v>
      </c>
      <c r="D215" s="1">
        <v>45445</v>
      </c>
      <c r="E215">
        <v>26.51</v>
      </c>
      <c r="F215">
        <v>9.23</v>
      </c>
      <c r="G215">
        <v>39</v>
      </c>
      <c r="H215" t="s">
        <v>12</v>
      </c>
      <c r="I215">
        <v>9.19</v>
      </c>
      <c r="J215" t="str">
        <f t="shared" si="12"/>
        <v>Jun</v>
      </c>
      <c r="K215">
        <f t="shared" si="13"/>
        <v>2024</v>
      </c>
      <c r="L215">
        <f t="shared" si="14"/>
        <v>243.62690000000001</v>
      </c>
      <c r="M215" t="str">
        <f t="shared" si="15"/>
        <v>Weekend</v>
      </c>
    </row>
    <row r="216" spans="1:13" x14ac:dyDescent="0.35">
      <c r="A216" t="s">
        <v>231</v>
      </c>
      <c r="B216" t="s">
        <v>14</v>
      </c>
      <c r="C216" t="s">
        <v>24</v>
      </c>
      <c r="D216" s="1">
        <v>45349</v>
      </c>
      <c r="E216">
        <v>89.7</v>
      </c>
      <c r="F216">
        <v>9.19</v>
      </c>
      <c r="G216">
        <v>57</v>
      </c>
      <c r="H216" t="s">
        <v>12</v>
      </c>
      <c r="I216">
        <v>9.2200000000000006</v>
      </c>
      <c r="J216" t="str">
        <f t="shared" si="12"/>
        <v>Feb</v>
      </c>
      <c r="K216">
        <f t="shared" si="13"/>
        <v>2024</v>
      </c>
      <c r="L216">
        <f t="shared" si="14"/>
        <v>827.03400000000011</v>
      </c>
      <c r="M216" t="str">
        <f t="shared" si="15"/>
        <v>Weekday</v>
      </c>
    </row>
    <row r="217" spans="1:13" x14ac:dyDescent="0.35">
      <c r="A217" t="s">
        <v>232</v>
      </c>
      <c r="B217" t="s">
        <v>17</v>
      </c>
      <c r="C217" t="s">
        <v>11</v>
      </c>
      <c r="D217" s="1">
        <v>45460</v>
      </c>
      <c r="E217">
        <v>98.29</v>
      </c>
      <c r="F217">
        <v>5.96</v>
      </c>
      <c r="G217">
        <v>115</v>
      </c>
      <c r="H217" t="s">
        <v>18</v>
      </c>
      <c r="I217">
        <v>6.58</v>
      </c>
      <c r="J217" t="str">
        <f t="shared" si="12"/>
        <v>Jun</v>
      </c>
      <c r="K217">
        <f t="shared" si="13"/>
        <v>2024</v>
      </c>
      <c r="L217">
        <f t="shared" si="14"/>
        <v>646.7482</v>
      </c>
      <c r="M217" t="str">
        <f t="shared" si="15"/>
        <v>Weekday</v>
      </c>
    </row>
    <row r="218" spans="1:13" x14ac:dyDescent="0.35">
      <c r="A218" t="s">
        <v>233</v>
      </c>
      <c r="B218" t="s">
        <v>14</v>
      </c>
      <c r="C218" t="s">
        <v>24</v>
      </c>
      <c r="D218" s="1">
        <v>45385</v>
      </c>
      <c r="E218">
        <v>20.73</v>
      </c>
      <c r="F218">
        <v>2.0699999999999998</v>
      </c>
      <c r="G218">
        <v>46</v>
      </c>
      <c r="H218" t="s">
        <v>12</v>
      </c>
      <c r="I218">
        <v>8.93</v>
      </c>
      <c r="J218" t="str">
        <f t="shared" si="12"/>
        <v>Apr</v>
      </c>
      <c r="K218">
        <f t="shared" si="13"/>
        <v>2024</v>
      </c>
      <c r="L218">
        <f t="shared" si="14"/>
        <v>185.1189</v>
      </c>
      <c r="M218" t="str">
        <f t="shared" si="15"/>
        <v>Weekday</v>
      </c>
    </row>
    <row r="219" spans="1:13" x14ac:dyDescent="0.35">
      <c r="A219" t="s">
        <v>234</v>
      </c>
      <c r="B219" t="s">
        <v>10</v>
      </c>
      <c r="C219" t="s">
        <v>24</v>
      </c>
      <c r="D219" s="1">
        <v>45650</v>
      </c>
      <c r="E219">
        <v>28.99</v>
      </c>
      <c r="F219">
        <v>9.1300000000000008</v>
      </c>
      <c r="G219">
        <v>72</v>
      </c>
      <c r="H219" t="s">
        <v>18</v>
      </c>
      <c r="I219">
        <v>7.38</v>
      </c>
      <c r="J219" t="str">
        <f t="shared" si="12"/>
        <v>Dec</v>
      </c>
      <c r="K219">
        <f t="shared" si="13"/>
        <v>2024</v>
      </c>
      <c r="L219">
        <f t="shared" si="14"/>
        <v>213.94619999999998</v>
      </c>
      <c r="M219" t="str">
        <f t="shared" si="15"/>
        <v>Weekday</v>
      </c>
    </row>
    <row r="220" spans="1:13" x14ac:dyDescent="0.35">
      <c r="A220" t="s">
        <v>235</v>
      </c>
      <c r="B220" t="s">
        <v>10</v>
      </c>
      <c r="C220" t="s">
        <v>11</v>
      </c>
      <c r="D220" s="1">
        <v>45301</v>
      </c>
      <c r="E220">
        <v>29.56</v>
      </c>
      <c r="F220">
        <v>9.08</v>
      </c>
      <c r="G220">
        <v>43</v>
      </c>
      <c r="H220" t="s">
        <v>18</v>
      </c>
      <c r="I220">
        <v>7.47</v>
      </c>
      <c r="J220" t="str">
        <f t="shared" si="12"/>
        <v>Jan</v>
      </c>
      <c r="K220">
        <f t="shared" si="13"/>
        <v>2024</v>
      </c>
      <c r="L220">
        <f t="shared" si="14"/>
        <v>220.81319999999999</v>
      </c>
      <c r="M220" t="str">
        <f t="shared" si="15"/>
        <v>Weekday</v>
      </c>
    </row>
    <row r="221" spans="1:13" x14ac:dyDescent="0.35">
      <c r="A221" t="s">
        <v>236</v>
      </c>
      <c r="B221" t="s">
        <v>14</v>
      </c>
      <c r="C221" t="s">
        <v>15</v>
      </c>
      <c r="D221" s="1">
        <v>45439</v>
      </c>
      <c r="E221">
        <v>84.72</v>
      </c>
      <c r="F221">
        <v>8.7200000000000006</v>
      </c>
      <c r="G221">
        <v>41</v>
      </c>
      <c r="H221" t="s">
        <v>12</v>
      </c>
      <c r="I221">
        <v>6.1</v>
      </c>
      <c r="J221" t="str">
        <f t="shared" si="12"/>
        <v>May</v>
      </c>
      <c r="K221">
        <f t="shared" si="13"/>
        <v>2024</v>
      </c>
      <c r="L221">
        <f t="shared" si="14"/>
        <v>516.79199999999992</v>
      </c>
      <c r="M221" t="str">
        <f t="shared" si="15"/>
        <v>Weekday</v>
      </c>
    </row>
    <row r="222" spans="1:13" x14ac:dyDescent="0.35">
      <c r="A222" t="s">
        <v>237</v>
      </c>
      <c r="B222" t="s">
        <v>17</v>
      </c>
      <c r="C222" t="s">
        <v>24</v>
      </c>
      <c r="D222" s="1">
        <v>45545</v>
      </c>
      <c r="E222">
        <v>21.96</v>
      </c>
      <c r="F222">
        <v>2.88</v>
      </c>
      <c r="G222">
        <v>45</v>
      </c>
      <c r="H222" t="s">
        <v>18</v>
      </c>
      <c r="I222">
        <v>9.19</v>
      </c>
      <c r="J222" t="str">
        <f t="shared" si="12"/>
        <v>Sep</v>
      </c>
      <c r="K222">
        <f t="shared" si="13"/>
        <v>2024</v>
      </c>
      <c r="L222">
        <f t="shared" si="14"/>
        <v>201.8124</v>
      </c>
      <c r="M222" t="str">
        <f t="shared" si="15"/>
        <v>Weekday</v>
      </c>
    </row>
    <row r="223" spans="1:13" x14ac:dyDescent="0.35">
      <c r="A223" t="s">
        <v>238</v>
      </c>
      <c r="B223" t="s">
        <v>17</v>
      </c>
      <c r="C223" t="s">
        <v>24</v>
      </c>
      <c r="D223" s="1">
        <v>45605</v>
      </c>
      <c r="E223">
        <v>65.81</v>
      </c>
      <c r="F223">
        <v>8.4600000000000009</v>
      </c>
      <c r="G223">
        <v>95</v>
      </c>
      <c r="H223" t="s">
        <v>12</v>
      </c>
      <c r="I223">
        <v>4.8899999999999997</v>
      </c>
      <c r="J223" t="str">
        <f t="shared" si="12"/>
        <v>Nov</v>
      </c>
      <c r="K223">
        <f t="shared" si="13"/>
        <v>2024</v>
      </c>
      <c r="L223">
        <f t="shared" si="14"/>
        <v>321.8109</v>
      </c>
      <c r="M223" t="str">
        <f t="shared" si="15"/>
        <v>Weekend</v>
      </c>
    </row>
    <row r="224" spans="1:13" x14ac:dyDescent="0.35">
      <c r="A224" t="s">
        <v>239</v>
      </c>
      <c r="B224" t="s">
        <v>10</v>
      </c>
      <c r="C224" t="s">
        <v>15</v>
      </c>
      <c r="D224" s="1">
        <v>45647</v>
      </c>
      <c r="E224">
        <v>63.83</v>
      </c>
      <c r="F224">
        <v>2.46</v>
      </c>
      <c r="G224">
        <v>93</v>
      </c>
      <c r="H224" t="s">
        <v>12</v>
      </c>
      <c r="I224">
        <v>8.94</v>
      </c>
      <c r="J224" t="str">
        <f t="shared" si="12"/>
        <v>Dec</v>
      </c>
      <c r="K224">
        <f t="shared" si="13"/>
        <v>2024</v>
      </c>
      <c r="L224">
        <f t="shared" si="14"/>
        <v>570.64019999999994</v>
      </c>
      <c r="M224" t="str">
        <f t="shared" si="15"/>
        <v>Weekend</v>
      </c>
    </row>
    <row r="225" spans="1:13" x14ac:dyDescent="0.35">
      <c r="A225" t="s">
        <v>240</v>
      </c>
      <c r="B225" t="s">
        <v>17</v>
      </c>
      <c r="C225" t="s">
        <v>15</v>
      </c>
      <c r="D225" s="1">
        <v>45385</v>
      </c>
      <c r="E225">
        <v>14.76</v>
      </c>
      <c r="F225">
        <v>2.59</v>
      </c>
      <c r="G225">
        <v>13</v>
      </c>
      <c r="H225" t="s">
        <v>18</v>
      </c>
      <c r="I225">
        <v>6.77</v>
      </c>
      <c r="J225" t="str">
        <f t="shared" si="12"/>
        <v>Apr</v>
      </c>
      <c r="K225">
        <f t="shared" si="13"/>
        <v>2024</v>
      </c>
      <c r="L225">
        <f t="shared" si="14"/>
        <v>99.92519999999999</v>
      </c>
      <c r="M225" t="str">
        <f t="shared" si="15"/>
        <v>Weekday</v>
      </c>
    </row>
    <row r="226" spans="1:13" x14ac:dyDescent="0.35">
      <c r="A226" t="s">
        <v>241</v>
      </c>
      <c r="B226" t="s">
        <v>14</v>
      </c>
      <c r="C226" t="s">
        <v>24</v>
      </c>
      <c r="D226" s="1">
        <v>45549</v>
      </c>
      <c r="E226">
        <v>62.09</v>
      </c>
      <c r="F226">
        <v>5</v>
      </c>
      <c r="G226">
        <v>60</v>
      </c>
      <c r="H226" t="s">
        <v>18</v>
      </c>
      <c r="I226">
        <v>4.91</v>
      </c>
      <c r="J226" t="str">
        <f t="shared" si="12"/>
        <v>Sep</v>
      </c>
      <c r="K226">
        <f t="shared" si="13"/>
        <v>2024</v>
      </c>
      <c r="L226">
        <f t="shared" si="14"/>
        <v>304.86190000000005</v>
      </c>
      <c r="M226" t="str">
        <f t="shared" si="15"/>
        <v>Weekend</v>
      </c>
    </row>
    <row r="227" spans="1:13" x14ac:dyDescent="0.35">
      <c r="A227" t="s">
        <v>242</v>
      </c>
      <c r="B227" t="s">
        <v>14</v>
      </c>
      <c r="C227" t="s">
        <v>11</v>
      </c>
      <c r="D227" s="1">
        <v>45535</v>
      </c>
      <c r="E227">
        <v>93.18</v>
      </c>
      <c r="F227">
        <v>7.31</v>
      </c>
      <c r="G227">
        <v>22</v>
      </c>
      <c r="H227" t="s">
        <v>12</v>
      </c>
      <c r="I227">
        <v>3.51</v>
      </c>
      <c r="J227" t="str">
        <f t="shared" si="12"/>
        <v>Aug</v>
      </c>
      <c r="K227">
        <f t="shared" si="13"/>
        <v>2024</v>
      </c>
      <c r="L227">
        <f t="shared" si="14"/>
        <v>327.06180000000001</v>
      </c>
      <c r="M227" t="str">
        <f t="shared" si="15"/>
        <v>Weekend</v>
      </c>
    </row>
    <row r="228" spans="1:13" x14ac:dyDescent="0.35">
      <c r="A228" t="s">
        <v>243</v>
      </c>
      <c r="B228" t="s">
        <v>17</v>
      </c>
      <c r="C228" t="s">
        <v>15</v>
      </c>
      <c r="D228" s="1">
        <v>45607</v>
      </c>
      <c r="E228">
        <v>33.01</v>
      </c>
      <c r="F228">
        <v>2.66</v>
      </c>
      <c r="G228">
        <v>63</v>
      </c>
      <c r="H228" t="s">
        <v>12</v>
      </c>
      <c r="I228">
        <v>6.62</v>
      </c>
      <c r="J228" t="str">
        <f t="shared" si="12"/>
        <v>Nov</v>
      </c>
      <c r="K228">
        <f t="shared" si="13"/>
        <v>2024</v>
      </c>
      <c r="L228">
        <f t="shared" si="14"/>
        <v>218.52619999999999</v>
      </c>
      <c r="M228" t="str">
        <f t="shared" si="15"/>
        <v>Weekday</v>
      </c>
    </row>
    <row r="229" spans="1:13" x14ac:dyDescent="0.35">
      <c r="A229" t="s">
        <v>244</v>
      </c>
      <c r="B229" t="s">
        <v>17</v>
      </c>
      <c r="C229" t="s">
        <v>15</v>
      </c>
      <c r="D229" s="1">
        <v>45411</v>
      </c>
      <c r="E229">
        <v>97.25</v>
      </c>
      <c r="F229">
        <v>6.38</v>
      </c>
      <c r="G229">
        <v>22</v>
      </c>
      <c r="H229" t="s">
        <v>12</v>
      </c>
      <c r="I229">
        <v>5.99</v>
      </c>
      <c r="J229" t="str">
        <f t="shared" si="12"/>
        <v>Apr</v>
      </c>
      <c r="K229">
        <f t="shared" si="13"/>
        <v>2024</v>
      </c>
      <c r="L229">
        <f t="shared" si="14"/>
        <v>582.52750000000003</v>
      </c>
      <c r="M229" t="str">
        <f t="shared" si="15"/>
        <v>Weekday</v>
      </c>
    </row>
    <row r="230" spans="1:13" x14ac:dyDescent="0.35">
      <c r="A230" t="s">
        <v>245</v>
      </c>
      <c r="B230" t="s">
        <v>14</v>
      </c>
      <c r="C230" t="s">
        <v>15</v>
      </c>
      <c r="D230" s="1">
        <v>45597</v>
      </c>
      <c r="E230">
        <v>31.48</v>
      </c>
      <c r="F230">
        <v>8.98</v>
      </c>
      <c r="G230">
        <v>14</v>
      </c>
      <c r="H230" t="s">
        <v>12</v>
      </c>
      <c r="I230">
        <v>6.34</v>
      </c>
      <c r="J230" t="str">
        <f t="shared" si="12"/>
        <v>Nov</v>
      </c>
      <c r="K230">
        <f t="shared" si="13"/>
        <v>2024</v>
      </c>
      <c r="L230">
        <f t="shared" si="14"/>
        <v>199.58320000000001</v>
      </c>
      <c r="M230" t="str">
        <f t="shared" si="15"/>
        <v>Weekday</v>
      </c>
    </row>
    <row r="231" spans="1:13" x14ac:dyDescent="0.35">
      <c r="A231" t="s">
        <v>246</v>
      </c>
      <c r="B231" t="s">
        <v>10</v>
      </c>
      <c r="C231" t="s">
        <v>11</v>
      </c>
      <c r="D231" s="1">
        <v>45498</v>
      </c>
      <c r="E231">
        <v>24.32</v>
      </c>
      <c r="F231">
        <v>2.5299999999999998</v>
      </c>
      <c r="G231">
        <v>2</v>
      </c>
      <c r="H231" t="s">
        <v>12</v>
      </c>
      <c r="I231">
        <v>7.2</v>
      </c>
      <c r="J231" t="str">
        <f t="shared" si="12"/>
        <v>Jul</v>
      </c>
      <c r="K231">
        <f t="shared" si="13"/>
        <v>2024</v>
      </c>
      <c r="L231">
        <f t="shared" si="14"/>
        <v>175.10400000000001</v>
      </c>
      <c r="M231" t="str">
        <f t="shared" si="15"/>
        <v>Weekday</v>
      </c>
    </row>
    <row r="232" spans="1:13" x14ac:dyDescent="0.35">
      <c r="A232" t="s">
        <v>247</v>
      </c>
      <c r="B232" t="s">
        <v>17</v>
      </c>
      <c r="C232" t="s">
        <v>11</v>
      </c>
      <c r="D232" s="1">
        <v>45620</v>
      </c>
      <c r="E232">
        <v>67.67</v>
      </c>
      <c r="F232">
        <v>4.17</v>
      </c>
      <c r="G232">
        <v>65</v>
      </c>
      <c r="H232" t="s">
        <v>12</v>
      </c>
      <c r="I232">
        <v>3.7</v>
      </c>
      <c r="J232" t="str">
        <f t="shared" si="12"/>
        <v>Nov</v>
      </c>
      <c r="K232">
        <f t="shared" si="13"/>
        <v>2024</v>
      </c>
      <c r="L232">
        <f t="shared" si="14"/>
        <v>250.37900000000002</v>
      </c>
      <c r="M232" t="str">
        <f t="shared" si="15"/>
        <v>Weekend</v>
      </c>
    </row>
    <row r="233" spans="1:13" x14ac:dyDescent="0.35">
      <c r="A233" t="s">
        <v>248</v>
      </c>
      <c r="B233" t="s">
        <v>17</v>
      </c>
      <c r="C233" t="s">
        <v>11</v>
      </c>
      <c r="D233" s="1">
        <v>45443</v>
      </c>
      <c r="E233">
        <v>94.67</v>
      </c>
      <c r="F233">
        <v>8.18</v>
      </c>
      <c r="G233">
        <v>112</v>
      </c>
      <c r="H233" t="s">
        <v>18</v>
      </c>
      <c r="I233">
        <v>7.79</v>
      </c>
      <c r="J233" t="str">
        <f t="shared" si="12"/>
        <v>May</v>
      </c>
      <c r="K233">
        <f t="shared" si="13"/>
        <v>2024</v>
      </c>
      <c r="L233">
        <f t="shared" si="14"/>
        <v>737.47929999999997</v>
      </c>
      <c r="M233" t="str">
        <f t="shared" si="15"/>
        <v>Weekday</v>
      </c>
    </row>
    <row r="234" spans="1:13" x14ac:dyDescent="0.35">
      <c r="A234" t="s">
        <v>249</v>
      </c>
      <c r="B234" t="s">
        <v>17</v>
      </c>
      <c r="C234" t="s">
        <v>11</v>
      </c>
      <c r="D234" s="1">
        <v>45401</v>
      </c>
      <c r="E234">
        <v>18.46</v>
      </c>
      <c r="F234">
        <v>8.11</v>
      </c>
      <c r="G234">
        <v>87</v>
      </c>
      <c r="H234" t="s">
        <v>12</v>
      </c>
      <c r="I234">
        <v>5.61</v>
      </c>
      <c r="J234" t="str">
        <f t="shared" si="12"/>
        <v>Apr</v>
      </c>
      <c r="K234">
        <f t="shared" si="13"/>
        <v>2024</v>
      </c>
      <c r="L234">
        <f t="shared" si="14"/>
        <v>103.56060000000001</v>
      </c>
      <c r="M234" t="str">
        <f t="shared" si="15"/>
        <v>Weekday</v>
      </c>
    </row>
    <row r="235" spans="1:13" x14ac:dyDescent="0.35">
      <c r="A235" t="s">
        <v>250</v>
      </c>
      <c r="B235" t="s">
        <v>14</v>
      </c>
      <c r="C235" t="s">
        <v>24</v>
      </c>
      <c r="D235" s="1">
        <v>45526</v>
      </c>
      <c r="E235">
        <v>84.94</v>
      </c>
      <c r="F235">
        <v>8.18</v>
      </c>
      <c r="G235">
        <v>116</v>
      </c>
      <c r="H235" t="s">
        <v>18</v>
      </c>
      <c r="I235">
        <v>4.82</v>
      </c>
      <c r="J235" t="str">
        <f t="shared" si="12"/>
        <v>Aug</v>
      </c>
      <c r="K235">
        <f t="shared" si="13"/>
        <v>2024</v>
      </c>
      <c r="L235">
        <f t="shared" si="14"/>
        <v>409.41079999999999</v>
      </c>
      <c r="M235" t="str">
        <f t="shared" si="15"/>
        <v>Weekday</v>
      </c>
    </row>
    <row r="236" spans="1:13" x14ac:dyDescent="0.35">
      <c r="A236" t="s">
        <v>251</v>
      </c>
      <c r="B236" t="s">
        <v>10</v>
      </c>
      <c r="C236" t="s">
        <v>11</v>
      </c>
      <c r="D236" s="1">
        <v>45410</v>
      </c>
      <c r="E236">
        <v>8.06</v>
      </c>
      <c r="F236">
        <v>9.15</v>
      </c>
      <c r="G236">
        <v>90</v>
      </c>
      <c r="H236" t="s">
        <v>18</v>
      </c>
      <c r="I236">
        <v>5.75</v>
      </c>
      <c r="J236" t="str">
        <f t="shared" si="12"/>
        <v>Apr</v>
      </c>
      <c r="K236">
        <f t="shared" si="13"/>
        <v>2024</v>
      </c>
      <c r="L236">
        <f t="shared" si="14"/>
        <v>46.345000000000006</v>
      </c>
      <c r="M236" t="str">
        <f t="shared" si="15"/>
        <v>Weekend</v>
      </c>
    </row>
    <row r="237" spans="1:13" x14ac:dyDescent="0.35">
      <c r="A237" t="s">
        <v>252</v>
      </c>
      <c r="B237" t="s">
        <v>10</v>
      </c>
      <c r="C237" t="s">
        <v>24</v>
      </c>
      <c r="D237" s="1">
        <v>45565</v>
      </c>
      <c r="E237">
        <v>33.909999999999997</v>
      </c>
      <c r="F237">
        <v>8.9499999999999993</v>
      </c>
      <c r="G237">
        <v>51</v>
      </c>
      <c r="H237" t="s">
        <v>18</v>
      </c>
      <c r="I237">
        <v>7.48</v>
      </c>
      <c r="J237" t="str">
        <f t="shared" si="12"/>
        <v>Sep</v>
      </c>
      <c r="K237">
        <f t="shared" si="13"/>
        <v>2024</v>
      </c>
      <c r="L237">
        <f t="shared" si="14"/>
        <v>253.64679999999998</v>
      </c>
      <c r="M237" t="str">
        <f t="shared" si="15"/>
        <v>Weekday</v>
      </c>
    </row>
    <row r="238" spans="1:13" x14ac:dyDescent="0.35">
      <c r="A238" t="s">
        <v>253</v>
      </c>
      <c r="B238" t="s">
        <v>14</v>
      </c>
      <c r="C238" t="s">
        <v>24</v>
      </c>
      <c r="D238" s="1">
        <v>45620</v>
      </c>
      <c r="E238">
        <v>75.37</v>
      </c>
      <c r="F238">
        <v>3.12</v>
      </c>
      <c r="G238">
        <v>14</v>
      </c>
      <c r="H238" t="s">
        <v>12</v>
      </c>
      <c r="I238">
        <v>3.95</v>
      </c>
      <c r="J238" t="str">
        <f t="shared" si="12"/>
        <v>Nov</v>
      </c>
      <c r="K238">
        <f t="shared" si="13"/>
        <v>2024</v>
      </c>
      <c r="L238">
        <f t="shared" si="14"/>
        <v>297.71150000000006</v>
      </c>
      <c r="M238" t="str">
        <f t="shared" si="15"/>
        <v>Weekend</v>
      </c>
    </row>
    <row r="239" spans="1:13" x14ac:dyDescent="0.35">
      <c r="A239" t="s">
        <v>254</v>
      </c>
      <c r="B239" t="s">
        <v>10</v>
      </c>
      <c r="C239" t="s">
        <v>15</v>
      </c>
      <c r="D239" s="1">
        <v>45519</v>
      </c>
      <c r="E239">
        <v>36.51</v>
      </c>
      <c r="F239">
        <v>4.4400000000000004</v>
      </c>
      <c r="G239">
        <v>21</v>
      </c>
      <c r="H239" t="s">
        <v>12</v>
      </c>
      <c r="I239">
        <v>3.64</v>
      </c>
      <c r="J239" t="str">
        <f t="shared" si="12"/>
        <v>Aug</v>
      </c>
      <c r="K239">
        <f t="shared" si="13"/>
        <v>2024</v>
      </c>
      <c r="L239">
        <f t="shared" si="14"/>
        <v>132.8964</v>
      </c>
      <c r="M239" t="str">
        <f t="shared" si="15"/>
        <v>Weekday</v>
      </c>
    </row>
    <row r="240" spans="1:13" x14ac:dyDescent="0.35">
      <c r="A240" t="s">
        <v>255</v>
      </c>
      <c r="B240" t="s">
        <v>17</v>
      </c>
      <c r="C240" t="s">
        <v>15</v>
      </c>
      <c r="D240" s="1">
        <v>45488</v>
      </c>
      <c r="E240">
        <v>90.81</v>
      </c>
      <c r="F240">
        <v>1.92</v>
      </c>
      <c r="G240">
        <v>53</v>
      </c>
      <c r="H240" t="s">
        <v>18</v>
      </c>
      <c r="I240">
        <v>8.1</v>
      </c>
      <c r="J240" t="str">
        <f t="shared" si="12"/>
        <v>Jul</v>
      </c>
      <c r="K240">
        <f t="shared" si="13"/>
        <v>2024</v>
      </c>
      <c r="L240">
        <f t="shared" si="14"/>
        <v>735.56100000000004</v>
      </c>
      <c r="M240" t="str">
        <f t="shared" si="15"/>
        <v>Weekday</v>
      </c>
    </row>
    <row r="241" spans="1:13" x14ac:dyDescent="0.35">
      <c r="A241" t="s">
        <v>256</v>
      </c>
      <c r="B241" t="s">
        <v>14</v>
      </c>
      <c r="C241" t="s">
        <v>15</v>
      </c>
      <c r="D241" s="1">
        <v>45462</v>
      </c>
      <c r="E241">
        <v>61.87</v>
      </c>
      <c r="F241">
        <v>1.28</v>
      </c>
      <c r="G241">
        <v>1</v>
      </c>
      <c r="H241" t="s">
        <v>18</v>
      </c>
      <c r="I241">
        <v>8.93</v>
      </c>
      <c r="J241" t="str">
        <f t="shared" si="12"/>
        <v>Jun</v>
      </c>
      <c r="K241">
        <f t="shared" si="13"/>
        <v>2024</v>
      </c>
      <c r="L241">
        <f t="shared" si="14"/>
        <v>552.4991</v>
      </c>
      <c r="M241" t="str">
        <f t="shared" si="15"/>
        <v>Weekday</v>
      </c>
    </row>
    <row r="242" spans="1:13" x14ac:dyDescent="0.35">
      <c r="A242" t="s">
        <v>257</v>
      </c>
      <c r="B242" t="s">
        <v>17</v>
      </c>
      <c r="C242" t="s">
        <v>15</v>
      </c>
      <c r="D242" s="1">
        <v>45474</v>
      </c>
      <c r="E242">
        <v>86.91</v>
      </c>
      <c r="F242">
        <v>2.65</v>
      </c>
      <c r="G242">
        <v>35</v>
      </c>
      <c r="H242" t="s">
        <v>18</v>
      </c>
      <c r="I242">
        <v>5.95</v>
      </c>
      <c r="J242" t="str">
        <f t="shared" si="12"/>
        <v>Jul</v>
      </c>
      <c r="K242">
        <f t="shared" si="13"/>
        <v>2024</v>
      </c>
      <c r="L242">
        <f t="shared" si="14"/>
        <v>517.11450000000002</v>
      </c>
      <c r="M242" t="str">
        <f t="shared" si="15"/>
        <v>Weekday</v>
      </c>
    </row>
    <row r="243" spans="1:13" x14ac:dyDescent="0.35">
      <c r="A243" t="s">
        <v>258</v>
      </c>
      <c r="B243" t="s">
        <v>14</v>
      </c>
      <c r="C243" t="s">
        <v>24</v>
      </c>
      <c r="D243" s="1">
        <v>45567</v>
      </c>
      <c r="E243">
        <v>82.6</v>
      </c>
      <c r="F243">
        <v>6.64</v>
      </c>
      <c r="G243">
        <v>68</v>
      </c>
      <c r="H243" t="s">
        <v>12</v>
      </c>
      <c r="I243">
        <v>6.68</v>
      </c>
      <c r="J243" t="str">
        <f t="shared" si="12"/>
        <v>Oct</v>
      </c>
      <c r="K243">
        <f t="shared" si="13"/>
        <v>2024</v>
      </c>
      <c r="L243">
        <f t="shared" si="14"/>
        <v>551.76799999999992</v>
      </c>
      <c r="M243" t="str">
        <f t="shared" si="15"/>
        <v>Weekday</v>
      </c>
    </row>
    <row r="244" spans="1:13" x14ac:dyDescent="0.35">
      <c r="A244" t="s">
        <v>259</v>
      </c>
      <c r="B244" t="s">
        <v>10</v>
      </c>
      <c r="C244" t="s">
        <v>15</v>
      </c>
      <c r="D244" s="1">
        <v>45633</v>
      </c>
      <c r="E244">
        <v>69.56</v>
      </c>
      <c r="F244">
        <v>1.25</v>
      </c>
      <c r="G244">
        <v>41</v>
      </c>
      <c r="H244" t="s">
        <v>18</v>
      </c>
      <c r="I244">
        <v>4.6100000000000003</v>
      </c>
      <c r="J244" t="str">
        <f t="shared" si="12"/>
        <v>Dec</v>
      </c>
      <c r="K244">
        <f t="shared" si="13"/>
        <v>2024</v>
      </c>
      <c r="L244">
        <f t="shared" si="14"/>
        <v>320.67160000000001</v>
      </c>
      <c r="M244" t="str">
        <f t="shared" si="15"/>
        <v>Weekend</v>
      </c>
    </row>
    <row r="245" spans="1:13" x14ac:dyDescent="0.35">
      <c r="A245" t="s">
        <v>260</v>
      </c>
      <c r="B245" t="s">
        <v>10</v>
      </c>
      <c r="C245" t="s">
        <v>15</v>
      </c>
      <c r="D245" s="1">
        <v>45632</v>
      </c>
      <c r="E245">
        <v>15.49</v>
      </c>
      <c r="F245">
        <v>3.92</v>
      </c>
      <c r="G245">
        <v>15</v>
      </c>
      <c r="H245" t="s">
        <v>12</v>
      </c>
      <c r="I245">
        <v>7.6</v>
      </c>
      <c r="J245" t="str">
        <f t="shared" si="12"/>
        <v>Dec</v>
      </c>
      <c r="K245">
        <f t="shared" si="13"/>
        <v>2024</v>
      </c>
      <c r="L245">
        <f t="shared" si="14"/>
        <v>117.72399999999999</v>
      </c>
      <c r="M245" t="str">
        <f t="shared" si="15"/>
        <v>Weekday</v>
      </c>
    </row>
    <row r="246" spans="1:13" x14ac:dyDescent="0.35">
      <c r="A246" t="s">
        <v>261</v>
      </c>
      <c r="B246" t="s">
        <v>17</v>
      </c>
      <c r="C246" t="s">
        <v>15</v>
      </c>
      <c r="D246" s="1">
        <v>45426</v>
      </c>
      <c r="E246">
        <v>15.7</v>
      </c>
      <c r="F246">
        <v>2.17</v>
      </c>
      <c r="G246">
        <v>33</v>
      </c>
      <c r="H246" t="s">
        <v>18</v>
      </c>
      <c r="I246">
        <v>6.36</v>
      </c>
      <c r="J246" t="str">
        <f t="shared" si="12"/>
        <v>May</v>
      </c>
      <c r="K246">
        <f t="shared" si="13"/>
        <v>2024</v>
      </c>
      <c r="L246">
        <f t="shared" si="14"/>
        <v>99.852000000000004</v>
      </c>
      <c r="M246" t="str">
        <f t="shared" si="15"/>
        <v>Weekday</v>
      </c>
    </row>
    <row r="247" spans="1:13" x14ac:dyDescent="0.35">
      <c r="A247" t="s">
        <v>262</v>
      </c>
      <c r="B247" t="s">
        <v>17</v>
      </c>
      <c r="C247" t="s">
        <v>24</v>
      </c>
      <c r="D247" s="1">
        <v>45530</v>
      </c>
      <c r="E247">
        <v>72.67</v>
      </c>
      <c r="F247">
        <v>1.94</v>
      </c>
      <c r="G247">
        <v>113</v>
      </c>
      <c r="H247" t="s">
        <v>18</v>
      </c>
      <c r="I247">
        <v>8.2100000000000009</v>
      </c>
      <c r="J247" t="str">
        <f t="shared" si="12"/>
        <v>Aug</v>
      </c>
      <c r="K247">
        <f t="shared" si="13"/>
        <v>2024</v>
      </c>
      <c r="L247">
        <f t="shared" si="14"/>
        <v>596.62070000000006</v>
      </c>
      <c r="M247" t="str">
        <f t="shared" si="15"/>
        <v>Weekday</v>
      </c>
    </row>
    <row r="248" spans="1:13" x14ac:dyDescent="0.35">
      <c r="A248" t="s">
        <v>263</v>
      </c>
      <c r="B248" t="s">
        <v>14</v>
      </c>
      <c r="C248" t="s">
        <v>11</v>
      </c>
      <c r="D248" s="1">
        <v>45350</v>
      </c>
      <c r="E248">
        <v>80.94</v>
      </c>
      <c r="F248">
        <v>9.18</v>
      </c>
      <c r="G248">
        <v>102</v>
      </c>
      <c r="H248" t="s">
        <v>18</v>
      </c>
      <c r="I248">
        <v>5.46</v>
      </c>
      <c r="J248" t="str">
        <f t="shared" si="12"/>
        <v>Feb</v>
      </c>
      <c r="K248">
        <f t="shared" si="13"/>
        <v>2024</v>
      </c>
      <c r="L248">
        <f t="shared" si="14"/>
        <v>441.93239999999997</v>
      </c>
      <c r="M248" t="str">
        <f t="shared" si="15"/>
        <v>Weekday</v>
      </c>
    </row>
    <row r="249" spans="1:13" x14ac:dyDescent="0.35">
      <c r="A249" t="s">
        <v>264</v>
      </c>
      <c r="B249" t="s">
        <v>17</v>
      </c>
      <c r="C249" t="s">
        <v>24</v>
      </c>
      <c r="D249" s="1">
        <v>45531</v>
      </c>
      <c r="E249">
        <v>19.2</v>
      </c>
      <c r="F249">
        <v>3.32</v>
      </c>
      <c r="G249">
        <v>112</v>
      </c>
      <c r="H249" t="s">
        <v>18</v>
      </c>
      <c r="I249">
        <v>9.25</v>
      </c>
      <c r="J249" t="str">
        <f t="shared" si="12"/>
        <v>Aug</v>
      </c>
      <c r="K249">
        <f t="shared" si="13"/>
        <v>2024</v>
      </c>
      <c r="L249">
        <f t="shared" si="14"/>
        <v>177.6</v>
      </c>
      <c r="M249" t="str">
        <f t="shared" si="15"/>
        <v>Weekday</v>
      </c>
    </row>
    <row r="250" spans="1:13" x14ac:dyDescent="0.35">
      <c r="A250" t="s">
        <v>265</v>
      </c>
      <c r="B250" t="s">
        <v>10</v>
      </c>
      <c r="C250" t="s">
        <v>24</v>
      </c>
      <c r="D250" s="1">
        <v>45396</v>
      </c>
      <c r="E250">
        <v>29.46</v>
      </c>
      <c r="F250">
        <v>9.61</v>
      </c>
      <c r="G250">
        <v>26</v>
      </c>
      <c r="H250" t="s">
        <v>12</v>
      </c>
      <c r="I250">
        <v>8.81</v>
      </c>
      <c r="J250" t="str">
        <f t="shared" si="12"/>
        <v>Apr</v>
      </c>
      <c r="K250">
        <f t="shared" si="13"/>
        <v>2024</v>
      </c>
      <c r="L250">
        <f t="shared" si="14"/>
        <v>259.54260000000005</v>
      </c>
      <c r="M250" t="str">
        <f t="shared" si="15"/>
        <v>Weekend</v>
      </c>
    </row>
    <row r="251" spans="1:13" x14ac:dyDescent="0.35">
      <c r="A251" t="s">
        <v>266</v>
      </c>
      <c r="B251" t="s">
        <v>17</v>
      </c>
      <c r="C251" t="s">
        <v>15</v>
      </c>
      <c r="D251" s="1">
        <v>45600</v>
      </c>
      <c r="E251">
        <v>19.29</v>
      </c>
      <c r="F251">
        <v>4.22</v>
      </c>
      <c r="G251">
        <v>43</v>
      </c>
      <c r="H251" t="s">
        <v>18</v>
      </c>
      <c r="I251">
        <v>7.25</v>
      </c>
      <c r="J251" t="str">
        <f t="shared" si="12"/>
        <v>Nov</v>
      </c>
      <c r="K251">
        <f t="shared" si="13"/>
        <v>2024</v>
      </c>
      <c r="L251">
        <f t="shared" si="14"/>
        <v>139.85249999999999</v>
      </c>
      <c r="M251" t="str">
        <f t="shared" si="15"/>
        <v>Weekday</v>
      </c>
    </row>
    <row r="252" spans="1:13" x14ac:dyDescent="0.35">
      <c r="A252" t="s">
        <v>267</v>
      </c>
      <c r="B252" t="s">
        <v>10</v>
      </c>
      <c r="C252" t="s">
        <v>15</v>
      </c>
      <c r="D252" s="1">
        <v>45364</v>
      </c>
      <c r="E252">
        <v>69.36</v>
      </c>
      <c r="F252">
        <v>4.92</v>
      </c>
      <c r="G252">
        <v>46</v>
      </c>
      <c r="H252" t="s">
        <v>18</v>
      </c>
      <c r="I252">
        <v>6.63</v>
      </c>
      <c r="J252" t="str">
        <f t="shared" si="12"/>
        <v>Mar</v>
      </c>
      <c r="K252">
        <f t="shared" si="13"/>
        <v>2024</v>
      </c>
      <c r="L252">
        <f t="shared" si="14"/>
        <v>459.85679999999996</v>
      </c>
      <c r="M252" t="str">
        <f t="shared" si="15"/>
        <v>Weekday</v>
      </c>
    </row>
    <row r="253" spans="1:13" x14ac:dyDescent="0.35">
      <c r="A253" t="s">
        <v>268</v>
      </c>
      <c r="B253" t="s">
        <v>10</v>
      </c>
      <c r="C253" t="s">
        <v>15</v>
      </c>
      <c r="D253" s="1">
        <v>45603</v>
      </c>
      <c r="E253">
        <v>81.84</v>
      </c>
      <c r="F253">
        <v>1.48</v>
      </c>
      <c r="G253">
        <v>64</v>
      </c>
      <c r="H253" t="s">
        <v>18</v>
      </c>
      <c r="I253">
        <v>9.23</v>
      </c>
      <c r="J253" t="str">
        <f t="shared" si="12"/>
        <v>Nov</v>
      </c>
      <c r="K253">
        <f t="shared" si="13"/>
        <v>2024</v>
      </c>
      <c r="L253">
        <f t="shared" si="14"/>
        <v>755.3832000000001</v>
      </c>
      <c r="M253" t="str">
        <f t="shared" si="15"/>
        <v>Weekday</v>
      </c>
    </row>
    <row r="254" spans="1:13" x14ac:dyDescent="0.35">
      <c r="A254" t="s">
        <v>269</v>
      </c>
      <c r="B254" t="s">
        <v>17</v>
      </c>
      <c r="C254" t="s">
        <v>24</v>
      </c>
      <c r="D254" s="1">
        <v>45326</v>
      </c>
      <c r="E254">
        <v>50.32</v>
      </c>
      <c r="F254">
        <v>6.37</v>
      </c>
      <c r="G254">
        <v>58</v>
      </c>
      <c r="H254" t="s">
        <v>18</v>
      </c>
      <c r="I254">
        <v>7.38</v>
      </c>
      <c r="J254" t="str">
        <f t="shared" si="12"/>
        <v>Feb</v>
      </c>
      <c r="K254">
        <f t="shared" si="13"/>
        <v>2024</v>
      </c>
      <c r="L254">
        <f t="shared" si="14"/>
        <v>371.36160000000001</v>
      </c>
      <c r="M254" t="str">
        <f t="shared" si="15"/>
        <v>Weekend</v>
      </c>
    </row>
    <row r="255" spans="1:13" x14ac:dyDescent="0.35">
      <c r="A255" t="s">
        <v>270</v>
      </c>
      <c r="B255" t="s">
        <v>17</v>
      </c>
      <c r="C255" t="s">
        <v>15</v>
      </c>
      <c r="D255" s="1">
        <v>45470</v>
      </c>
      <c r="E255">
        <v>11.29</v>
      </c>
      <c r="F255">
        <v>1.4</v>
      </c>
      <c r="G255">
        <v>77</v>
      </c>
      <c r="H255" t="s">
        <v>18</v>
      </c>
      <c r="I255">
        <v>3.52</v>
      </c>
      <c r="J255" t="str">
        <f t="shared" si="12"/>
        <v>Jun</v>
      </c>
      <c r="K255">
        <f t="shared" si="13"/>
        <v>2024</v>
      </c>
      <c r="L255">
        <f t="shared" si="14"/>
        <v>39.7408</v>
      </c>
      <c r="M255" t="str">
        <f t="shared" si="15"/>
        <v>Weekday</v>
      </c>
    </row>
    <row r="256" spans="1:13" x14ac:dyDescent="0.35">
      <c r="A256" t="s">
        <v>271</v>
      </c>
      <c r="B256" t="s">
        <v>10</v>
      </c>
      <c r="C256" t="s">
        <v>24</v>
      </c>
      <c r="D256" s="1">
        <v>45518</v>
      </c>
      <c r="E256">
        <v>12.73</v>
      </c>
      <c r="F256">
        <v>9.8699999999999992</v>
      </c>
      <c r="G256">
        <v>15</v>
      </c>
      <c r="H256" t="s">
        <v>18</v>
      </c>
      <c r="I256">
        <v>9.68</v>
      </c>
      <c r="J256" t="str">
        <f t="shared" si="12"/>
        <v>Aug</v>
      </c>
      <c r="K256">
        <f t="shared" si="13"/>
        <v>2024</v>
      </c>
      <c r="L256">
        <f t="shared" si="14"/>
        <v>123.2264</v>
      </c>
      <c r="M256" t="str">
        <f t="shared" si="15"/>
        <v>Weekday</v>
      </c>
    </row>
    <row r="257" spans="1:13" x14ac:dyDescent="0.35">
      <c r="A257" t="s">
        <v>272</v>
      </c>
      <c r="B257" t="s">
        <v>17</v>
      </c>
      <c r="C257" t="s">
        <v>24</v>
      </c>
      <c r="D257" s="1">
        <v>45406</v>
      </c>
      <c r="E257">
        <v>91.77</v>
      </c>
      <c r="F257">
        <v>7.28</v>
      </c>
      <c r="G257">
        <v>49</v>
      </c>
      <c r="H257" t="s">
        <v>18</v>
      </c>
      <c r="I257">
        <v>7.69</v>
      </c>
      <c r="J257" t="str">
        <f t="shared" si="12"/>
        <v>Apr</v>
      </c>
      <c r="K257">
        <f t="shared" si="13"/>
        <v>2024</v>
      </c>
      <c r="L257">
        <f t="shared" si="14"/>
        <v>705.71130000000005</v>
      </c>
      <c r="M257" t="str">
        <f t="shared" si="15"/>
        <v>Weekday</v>
      </c>
    </row>
    <row r="258" spans="1:13" x14ac:dyDescent="0.35">
      <c r="A258" t="s">
        <v>273</v>
      </c>
      <c r="B258" t="s">
        <v>10</v>
      </c>
      <c r="C258" t="s">
        <v>24</v>
      </c>
      <c r="D258" s="1">
        <v>45318</v>
      </c>
      <c r="E258">
        <v>79.290000000000006</v>
      </c>
      <c r="F258">
        <v>8.56</v>
      </c>
      <c r="G258">
        <v>68</v>
      </c>
      <c r="H258" t="s">
        <v>12</v>
      </c>
      <c r="I258">
        <v>7.31</v>
      </c>
      <c r="J258" t="str">
        <f t="shared" si="12"/>
        <v>Jan</v>
      </c>
      <c r="K258">
        <f t="shared" si="13"/>
        <v>2024</v>
      </c>
      <c r="L258">
        <f t="shared" si="14"/>
        <v>579.60990000000004</v>
      </c>
      <c r="M258" t="str">
        <f t="shared" si="15"/>
        <v>Weekend</v>
      </c>
    </row>
    <row r="259" spans="1:13" x14ac:dyDescent="0.35">
      <c r="A259" t="s">
        <v>274</v>
      </c>
      <c r="B259" t="s">
        <v>14</v>
      </c>
      <c r="C259" t="s">
        <v>24</v>
      </c>
      <c r="D259" s="1">
        <v>45609</v>
      </c>
      <c r="E259">
        <v>59.71</v>
      </c>
      <c r="F259">
        <v>4.22</v>
      </c>
      <c r="G259">
        <v>8</v>
      </c>
      <c r="H259" t="s">
        <v>12</v>
      </c>
      <c r="I259">
        <v>4.74</v>
      </c>
      <c r="J259" t="str">
        <f t="shared" ref="J259:J322" si="16">TEXT(D259,"mmm")</f>
        <v>Nov</v>
      </c>
      <c r="K259">
        <f t="shared" ref="K259:K322" si="17">YEAR(D259)</f>
        <v>2024</v>
      </c>
      <c r="L259">
        <f t="shared" ref="L259:L322" si="18">E259*I259</f>
        <v>283.02539999999999</v>
      </c>
      <c r="M259" t="str">
        <f t="shared" ref="M259:M322" si="19">IF(OR(WEEKDAY(D259)=1,WEEKDAY(D259)=7),"Weekend","Weekday")</f>
        <v>Weekday</v>
      </c>
    </row>
    <row r="260" spans="1:13" x14ac:dyDescent="0.35">
      <c r="A260" t="s">
        <v>275</v>
      </c>
      <c r="B260" t="s">
        <v>17</v>
      </c>
      <c r="C260" t="s">
        <v>15</v>
      </c>
      <c r="D260" s="1">
        <v>45362</v>
      </c>
      <c r="E260">
        <v>7.55</v>
      </c>
      <c r="F260">
        <v>6.44</v>
      </c>
      <c r="G260">
        <v>31</v>
      </c>
      <c r="H260" t="s">
        <v>12</v>
      </c>
      <c r="I260">
        <v>8.68</v>
      </c>
      <c r="J260" t="str">
        <f t="shared" si="16"/>
        <v>Mar</v>
      </c>
      <c r="K260">
        <f t="shared" si="17"/>
        <v>2024</v>
      </c>
      <c r="L260">
        <f t="shared" si="18"/>
        <v>65.533999999999992</v>
      </c>
      <c r="M260" t="str">
        <f t="shared" si="19"/>
        <v>Weekday</v>
      </c>
    </row>
    <row r="261" spans="1:13" x14ac:dyDescent="0.35">
      <c r="A261" t="s">
        <v>276</v>
      </c>
      <c r="B261" t="s">
        <v>14</v>
      </c>
      <c r="C261" t="s">
        <v>15</v>
      </c>
      <c r="D261" s="1">
        <v>45523</v>
      </c>
      <c r="E261">
        <v>71.14</v>
      </c>
      <c r="F261">
        <v>7.16</v>
      </c>
      <c r="G261">
        <v>81</v>
      </c>
      <c r="H261" t="s">
        <v>18</v>
      </c>
      <c r="I261">
        <v>5.44</v>
      </c>
      <c r="J261" t="str">
        <f t="shared" si="16"/>
        <v>Aug</v>
      </c>
      <c r="K261">
        <f t="shared" si="17"/>
        <v>2024</v>
      </c>
      <c r="L261">
        <f t="shared" si="18"/>
        <v>387.00160000000005</v>
      </c>
      <c r="M261" t="str">
        <f t="shared" si="19"/>
        <v>Weekday</v>
      </c>
    </row>
    <row r="262" spans="1:13" x14ac:dyDescent="0.35">
      <c r="A262" t="s">
        <v>277</v>
      </c>
      <c r="B262" t="s">
        <v>17</v>
      </c>
      <c r="C262" t="s">
        <v>11</v>
      </c>
      <c r="D262" s="1">
        <v>45369</v>
      </c>
      <c r="E262">
        <v>99.52</v>
      </c>
      <c r="F262">
        <v>2.21</v>
      </c>
      <c r="G262">
        <v>109</v>
      </c>
      <c r="H262" t="s">
        <v>12</v>
      </c>
      <c r="I262">
        <v>9.4499999999999993</v>
      </c>
      <c r="J262" t="str">
        <f t="shared" si="16"/>
        <v>Mar</v>
      </c>
      <c r="K262">
        <f t="shared" si="17"/>
        <v>2024</v>
      </c>
      <c r="L262">
        <f t="shared" si="18"/>
        <v>940.46399999999994</v>
      </c>
      <c r="M262" t="str">
        <f t="shared" si="19"/>
        <v>Weekday</v>
      </c>
    </row>
    <row r="263" spans="1:13" x14ac:dyDescent="0.35">
      <c r="A263" t="s">
        <v>278</v>
      </c>
      <c r="B263" t="s">
        <v>17</v>
      </c>
      <c r="C263" t="s">
        <v>24</v>
      </c>
      <c r="D263" s="1">
        <v>45379</v>
      </c>
      <c r="E263">
        <v>70.81</v>
      </c>
      <c r="F263">
        <v>3.81</v>
      </c>
      <c r="G263">
        <v>43</v>
      </c>
      <c r="H263" t="s">
        <v>18</v>
      </c>
      <c r="I263">
        <v>3.11</v>
      </c>
      <c r="J263" t="str">
        <f t="shared" si="16"/>
        <v>Mar</v>
      </c>
      <c r="K263">
        <f t="shared" si="17"/>
        <v>2024</v>
      </c>
      <c r="L263">
        <f t="shared" si="18"/>
        <v>220.2191</v>
      </c>
      <c r="M263" t="str">
        <f t="shared" si="19"/>
        <v>Weekday</v>
      </c>
    </row>
    <row r="264" spans="1:13" x14ac:dyDescent="0.35">
      <c r="A264" t="s">
        <v>279</v>
      </c>
      <c r="B264" t="s">
        <v>17</v>
      </c>
      <c r="C264" t="s">
        <v>24</v>
      </c>
      <c r="D264" s="1">
        <v>45473</v>
      </c>
      <c r="E264">
        <v>95.52</v>
      </c>
      <c r="F264">
        <v>6.18</v>
      </c>
      <c r="G264">
        <v>22</v>
      </c>
      <c r="H264" t="s">
        <v>12</v>
      </c>
      <c r="I264">
        <v>6.94</v>
      </c>
      <c r="J264" t="str">
        <f t="shared" si="16"/>
        <v>Jun</v>
      </c>
      <c r="K264">
        <f t="shared" si="17"/>
        <v>2024</v>
      </c>
      <c r="L264">
        <f t="shared" si="18"/>
        <v>662.90880000000004</v>
      </c>
      <c r="M264" t="str">
        <f t="shared" si="19"/>
        <v>Weekend</v>
      </c>
    </row>
    <row r="265" spans="1:13" x14ac:dyDescent="0.35">
      <c r="A265" t="s">
        <v>280</v>
      </c>
      <c r="B265" t="s">
        <v>14</v>
      </c>
      <c r="C265" t="s">
        <v>24</v>
      </c>
      <c r="D265" s="1">
        <v>45461</v>
      </c>
      <c r="E265">
        <v>83.67</v>
      </c>
      <c r="F265">
        <v>5.28</v>
      </c>
      <c r="G265">
        <v>106</v>
      </c>
      <c r="H265" t="s">
        <v>18</v>
      </c>
      <c r="I265">
        <v>4.82</v>
      </c>
      <c r="J265" t="str">
        <f t="shared" si="16"/>
        <v>Jun</v>
      </c>
      <c r="K265">
        <f t="shared" si="17"/>
        <v>2024</v>
      </c>
      <c r="L265">
        <f t="shared" si="18"/>
        <v>403.28940000000006</v>
      </c>
      <c r="M265" t="str">
        <f t="shared" si="19"/>
        <v>Weekday</v>
      </c>
    </row>
    <row r="266" spans="1:13" x14ac:dyDescent="0.35">
      <c r="A266" t="s">
        <v>281</v>
      </c>
      <c r="B266" t="s">
        <v>17</v>
      </c>
      <c r="C266" t="s">
        <v>11</v>
      </c>
      <c r="D266" s="1">
        <v>45465</v>
      </c>
      <c r="E266">
        <v>42.23</v>
      </c>
      <c r="F266">
        <v>5.04</v>
      </c>
      <c r="G266">
        <v>31</v>
      </c>
      <c r="H266" t="s">
        <v>12</v>
      </c>
      <c r="I266">
        <v>5.41</v>
      </c>
      <c r="J266" t="str">
        <f t="shared" si="16"/>
        <v>Jun</v>
      </c>
      <c r="K266">
        <f t="shared" si="17"/>
        <v>2024</v>
      </c>
      <c r="L266">
        <f t="shared" si="18"/>
        <v>228.46429999999998</v>
      </c>
      <c r="M266" t="str">
        <f t="shared" si="19"/>
        <v>Weekend</v>
      </c>
    </row>
    <row r="267" spans="1:13" x14ac:dyDescent="0.35">
      <c r="A267" t="s">
        <v>282</v>
      </c>
      <c r="B267" t="s">
        <v>17</v>
      </c>
      <c r="C267" t="s">
        <v>11</v>
      </c>
      <c r="D267" s="1">
        <v>45433</v>
      </c>
      <c r="E267">
        <v>72.94</v>
      </c>
      <c r="F267">
        <v>4</v>
      </c>
      <c r="G267">
        <v>103</v>
      </c>
      <c r="H267" t="s">
        <v>18</v>
      </c>
      <c r="I267">
        <v>5.95</v>
      </c>
      <c r="J267" t="str">
        <f t="shared" si="16"/>
        <v>May</v>
      </c>
      <c r="K267">
        <f t="shared" si="17"/>
        <v>2024</v>
      </c>
      <c r="L267">
        <f t="shared" si="18"/>
        <v>433.99299999999999</v>
      </c>
      <c r="M267" t="str">
        <f t="shared" si="19"/>
        <v>Weekday</v>
      </c>
    </row>
    <row r="268" spans="1:13" x14ac:dyDescent="0.35">
      <c r="A268" t="s">
        <v>283</v>
      </c>
      <c r="B268" t="s">
        <v>10</v>
      </c>
      <c r="C268" t="s">
        <v>11</v>
      </c>
      <c r="D268" s="1">
        <v>45329</v>
      </c>
      <c r="E268">
        <v>26.09</v>
      </c>
      <c r="F268">
        <v>5.54</v>
      </c>
      <c r="G268">
        <v>77</v>
      </c>
      <c r="H268" t="s">
        <v>18</v>
      </c>
      <c r="I268">
        <v>4.51</v>
      </c>
      <c r="J268" t="str">
        <f t="shared" si="16"/>
        <v>Feb</v>
      </c>
      <c r="K268">
        <f t="shared" si="17"/>
        <v>2024</v>
      </c>
      <c r="L268">
        <f t="shared" si="18"/>
        <v>117.66589999999999</v>
      </c>
      <c r="M268" t="str">
        <f t="shared" si="19"/>
        <v>Weekday</v>
      </c>
    </row>
    <row r="269" spans="1:13" x14ac:dyDescent="0.35">
      <c r="A269" t="s">
        <v>284</v>
      </c>
      <c r="B269" t="s">
        <v>14</v>
      </c>
      <c r="C269" t="s">
        <v>15</v>
      </c>
      <c r="D269" s="1">
        <v>45625</v>
      </c>
      <c r="E269">
        <v>12.84</v>
      </c>
      <c r="F269">
        <v>3.49</v>
      </c>
      <c r="G269">
        <v>101</v>
      </c>
      <c r="H269" t="s">
        <v>18</v>
      </c>
      <c r="I269">
        <v>8.3699999999999992</v>
      </c>
      <c r="J269" t="str">
        <f t="shared" si="16"/>
        <v>Nov</v>
      </c>
      <c r="K269">
        <f t="shared" si="17"/>
        <v>2024</v>
      </c>
      <c r="L269">
        <f t="shared" si="18"/>
        <v>107.47079999999998</v>
      </c>
      <c r="M269" t="str">
        <f t="shared" si="19"/>
        <v>Weekday</v>
      </c>
    </row>
    <row r="270" spans="1:13" x14ac:dyDescent="0.35">
      <c r="A270" t="s">
        <v>285</v>
      </c>
      <c r="B270" t="s">
        <v>10</v>
      </c>
      <c r="C270" t="s">
        <v>24</v>
      </c>
      <c r="D270" s="1">
        <v>45297</v>
      </c>
      <c r="E270">
        <v>37.5</v>
      </c>
      <c r="F270">
        <v>8.81</v>
      </c>
      <c r="G270">
        <v>77</v>
      </c>
      <c r="H270" t="s">
        <v>12</v>
      </c>
      <c r="I270">
        <v>9.6</v>
      </c>
      <c r="J270" t="str">
        <f t="shared" si="16"/>
        <v>Jan</v>
      </c>
      <c r="K270">
        <f t="shared" si="17"/>
        <v>2024</v>
      </c>
      <c r="L270">
        <f t="shared" si="18"/>
        <v>360</v>
      </c>
      <c r="M270" t="str">
        <f t="shared" si="19"/>
        <v>Weekend</v>
      </c>
    </row>
    <row r="271" spans="1:13" x14ac:dyDescent="0.35">
      <c r="A271" t="s">
        <v>286</v>
      </c>
      <c r="B271" t="s">
        <v>17</v>
      </c>
      <c r="C271" t="s">
        <v>24</v>
      </c>
      <c r="D271" s="1">
        <v>45333</v>
      </c>
      <c r="E271">
        <v>38.76</v>
      </c>
      <c r="F271">
        <v>5.4</v>
      </c>
      <c r="G271">
        <v>58</v>
      </c>
      <c r="H271" t="s">
        <v>12</v>
      </c>
      <c r="I271">
        <v>4.09</v>
      </c>
      <c r="J271" t="str">
        <f t="shared" si="16"/>
        <v>Feb</v>
      </c>
      <c r="K271">
        <f t="shared" si="17"/>
        <v>2024</v>
      </c>
      <c r="L271">
        <f t="shared" si="18"/>
        <v>158.52839999999998</v>
      </c>
      <c r="M271" t="str">
        <f t="shared" si="19"/>
        <v>Weekend</v>
      </c>
    </row>
    <row r="272" spans="1:13" x14ac:dyDescent="0.35">
      <c r="A272" t="s">
        <v>287</v>
      </c>
      <c r="B272" t="s">
        <v>17</v>
      </c>
      <c r="C272" t="s">
        <v>24</v>
      </c>
      <c r="D272" s="1">
        <v>45409</v>
      </c>
      <c r="E272">
        <v>8.06</v>
      </c>
      <c r="F272">
        <v>7.41</v>
      </c>
      <c r="G272">
        <v>36</v>
      </c>
      <c r="H272" t="s">
        <v>18</v>
      </c>
      <c r="I272">
        <v>6.77</v>
      </c>
      <c r="J272" t="str">
        <f t="shared" si="16"/>
        <v>Apr</v>
      </c>
      <c r="K272">
        <f t="shared" si="17"/>
        <v>2024</v>
      </c>
      <c r="L272">
        <f t="shared" si="18"/>
        <v>54.566200000000002</v>
      </c>
      <c r="M272" t="str">
        <f t="shared" si="19"/>
        <v>Weekend</v>
      </c>
    </row>
    <row r="273" spans="1:13" x14ac:dyDescent="0.35">
      <c r="A273" t="s">
        <v>288</v>
      </c>
      <c r="B273" t="s">
        <v>10</v>
      </c>
      <c r="C273" t="s">
        <v>24</v>
      </c>
      <c r="D273" s="1">
        <v>45380</v>
      </c>
      <c r="E273">
        <v>34.08</v>
      </c>
      <c r="F273">
        <v>4.2</v>
      </c>
      <c r="G273">
        <v>102</v>
      </c>
      <c r="H273" t="s">
        <v>18</v>
      </c>
      <c r="I273">
        <v>8.31</v>
      </c>
      <c r="J273" t="str">
        <f t="shared" si="16"/>
        <v>Mar</v>
      </c>
      <c r="K273">
        <f t="shared" si="17"/>
        <v>2024</v>
      </c>
      <c r="L273">
        <f t="shared" si="18"/>
        <v>283.20479999999998</v>
      </c>
      <c r="M273" t="str">
        <f t="shared" si="19"/>
        <v>Weekday</v>
      </c>
    </row>
    <row r="274" spans="1:13" x14ac:dyDescent="0.35">
      <c r="A274" t="s">
        <v>289</v>
      </c>
      <c r="B274" t="s">
        <v>17</v>
      </c>
      <c r="C274" t="s">
        <v>15</v>
      </c>
      <c r="D274" s="1">
        <v>45406</v>
      </c>
      <c r="E274">
        <v>38.46</v>
      </c>
      <c r="F274">
        <v>4.67</v>
      </c>
      <c r="G274">
        <v>92</v>
      </c>
      <c r="H274" t="s">
        <v>18</v>
      </c>
      <c r="I274">
        <v>3.92</v>
      </c>
      <c r="J274" t="str">
        <f t="shared" si="16"/>
        <v>Apr</v>
      </c>
      <c r="K274">
        <f t="shared" si="17"/>
        <v>2024</v>
      </c>
      <c r="L274">
        <f t="shared" si="18"/>
        <v>150.76320000000001</v>
      </c>
      <c r="M274" t="str">
        <f t="shared" si="19"/>
        <v>Weekday</v>
      </c>
    </row>
    <row r="275" spans="1:13" x14ac:dyDescent="0.35">
      <c r="A275" t="s">
        <v>290</v>
      </c>
      <c r="B275" t="s">
        <v>14</v>
      </c>
      <c r="C275" t="s">
        <v>11</v>
      </c>
      <c r="D275" s="1">
        <v>45534</v>
      </c>
      <c r="E275">
        <v>28.27</v>
      </c>
      <c r="F275">
        <v>6.28</v>
      </c>
      <c r="G275">
        <v>54</v>
      </c>
      <c r="H275" t="s">
        <v>12</v>
      </c>
      <c r="I275">
        <v>6.39</v>
      </c>
      <c r="J275" t="str">
        <f t="shared" si="16"/>
        <v>Aug</v>
      </c>
      <c r="K275">
        <f t="shared" si="17"/>
        <v>2024</v>
      </c>
      <c r="L275">
        <f t="shared" si="18"/>
        <v>180.64529999999999</v>
      </c>
      <c r="M275" t="str">
        <f t="shared" si="19"/>
        <v>Weekday</v>
      </c>
    </row>
    <row r="276" spans="1:13" x14ac:dyDescent="0.35">
      <c r="A276" t="s">
        <v>291</v>
      </c>
      <c r="B276" t="s">
        <v>14</v>
      </c>
      <c r="C276" t="s">
        <v>11</v>
      </c>
      <c r="D276" s="1">
        <v>45619</v>
      </c>
      <c r="E276">
        <v>88.62</v>
      </c>
      <c r="F276">
        <v>9.92</v>
      </c>
      <c r="G276">
        <v>94</v>
      </c>
      <c r="H276" t="s">
        <v>12</v>
      </c>
      <c r="I276">
        <v>8.02</v>
      </c>
      <c r="J276" t="str">
        <f t="shared" si="16"/>
        <v>Nov</v>
      </c>
      <c r="K276">
        <f t="shared" si="17"/>
        <v>2024</v>
      </c>
      <c r="L276">
        <f t="shared" si="18"/>
        <v>710.73239999999998</v>
      </c>
      <c r="M276" t="str">
        <f t="shared" si="19"/>
        <v>Weekend</v>
      </c>
    </row>
    <row r="277" spans="1:13" x14ac:dyDescent="0.35">
      <c r="A277" t="s">
        <v>292</v>
      </c>
      <c r="B277" t="s">
        <v>17</v>
      </c>
      <c r="C277" t="s">
        <v>24</v>
      </c>
      <c r="D277" s="1">
        <v>45565</v>
      </c>
      <c r="E277">
        <v>95.8</v>
      </c>
      <c r="F277">
        <v>6.43</v>
      </c>
      <c r="G277">
        <v>116</v>
      </c>
      <c r="H277" t="s">
        <v>12</v>
      </c>
      <c r="I277">
        <v>5.85</v>
      </c>
      <c r="J277" t="str">
        <f t="shared" si="16"/>
        <v>Sep</v>
      </c>
      <c r="K277">
        <f t="shared" si="17"/>
        <v>2024</v>
      </c>
      <c r="L277">
        <f t="shared" si="18"/>
        <v>560.42999999999995</v>
      </c>
      <c r="M277" t="str">
        <f t="shared" si="19"/>
        <v>Weekday</v>
      </c>
    </row>
    <row r="278" spans="1:13" x14ac:dyDescent="0.35">
      <c r="A278" t="s">
        <v>293</v>
      </c>
      <c r="B278" t="s">
        <v>10</v>
      </c>
      <c r="C278" t="s">
        <v>11</v>
      </c>
      <c r="D278" s="1">
        <v>45360</v>
      </c>
      <c r="E278">
        <v>90.01</v>
      </c>
      <c r="F278">
        <v>1.46</v>
      </c>
      <c r="G278">
        <v>118</v>
      </c>
      <c r="H278" t="s">
        <v>18</v>
      </c>
      <c r="I278">
        <v>7.84</v>
      </c>
      <c r="J278" t="str">
        <f t="shared" si="16"/>
        <v>Mar</v>
      </c>
      <c r="K278">
        <f t="shared" si="17"/>
        <v>2024</v>
      </c>
      <c r="L278">
        <f t="shared" si="18"/>
        <v>705.67840000000001</v>
      </c>
      <c r="M278" t="str">
        <f t="shared" si="19"/>
        <v>Weekend</v>
      </c>
    </row>
    <row r="279" spans="1:13" x14ac:dyDescent="0.35">
      <c r="A279" t="s">
        <v>294</v>
      </c>
      <c r="B279" t="s">
        <v>14</v>
      </c>
      <c r="C279" t="s">
        <v>11</v>
      </c>
      <c r="D279" s="1">
        <v>45393</v>
      </c>
      <c r="E279">
        <v>8.33</v>
      </c>
      <c r="F279">
        <v>2.77</v>
      </c>
      <c r="G279">
        <v>24</v>
      </c>
      <c r="H279" t="s">
        <v>18</v>
      </c>
      <c r="I279">
        <v>3.26</v>
      </c>
      <c r="J279" t="str">
        <f t="shared" si="16"/>
        <v>Apr</v>
      </c>
      <c r="K279">
        <f t="shared" si="17"/>
        <v>2024</v>
      </c>
      <c r="L279">
        <f t="shared" si="18"/>
        <v>27.155799999999999</v>
      </c>
      <c r="M279" t="str">
        <f t="shared" si="19"/>
        <v>Weekday</v>
      </c>
    </row>
    <row r="280" spans="1:13" x14ac:dyDescent="0.35">
      <c r="A280" t="s">
        <v>295</v>
      </c>
      <c r="B280" t="s">
        <v>10</v>
      </c>
      <c r="C280" t="s">
        <v>24</v>
      </c>
      <c r="D280" s="1">
        <v>45391</v>
      </c>
      <c r="E280">
        <v>52.79</v>
      </c>
      <c r="F280">
        <v>1.95</v>
      </c>
      <c r="G280">
        <v>119</v>
      </c>
      <c r="H280" t="s">
        <v>18</v>
      </c>
      <c r="I280">
        <v>7.51</v>
      </c>
      <c r="J280" t="str">
        <f t="shared" si="16"/>
        <v>Apr</v>
      </c>
      <c r="K280">
        <f t="shared" si="17"/>
        <v>2024</v>
      </c>
      <c r="L280">
        <f t="shared" si="18"/>
        <v>396.4529</v>
      </c>
      <c r="M280" t="str">
        <f t="shared" si="19"/>
        <v>Weekday</v>
      </c>
    </row>
    <row r="281" spans="1:13" x14ac:dyDescent="0.35">
      <c r="A281" t="s">
        <v>296</v>
      </c>
      <c r="B281" t="s">
        <v>17</v>
      </c>
      <c r="C281" t="s">
        <v>11</v>
      </c>
      <c r="D281" s="1">
        <v>45403</v>
      </c>
      <c r="E281">
        <v>64.52</v>
      </c>
      <c r="F281">
        <v>9.31</v>
      </c>
      <c r="G281">
        <v>76</v>
      </c>
      <c r="H281" t="s">
        <v>12</v>
      </c>
      <c r="I281">
        <v>9.5299999999999994</v>
      </c>
      <c r="J281" t="str">
        <f t="shared" si="16"/>
        <v>Apr</v>
      </c>
      <c r="K281">
        <f t="shared" si="17"/>
        <v>2024</v>
      </c>
      <c r="L281">
        <f t="shared" si="18"/>
        <v>614.87559999999996</v>
      </c>
      <c r="M281" t="str">
        <f t="shared" si="19"/>
        <v>Weekend</v>
      </c>
    </row>
    <row r="282" spans="1:13" x14ac:dyDescent="0.35">
      <c r="A282" t="s">
        <v>297</v>
      </c>
      <c r="B282" t="s">
        <v>17</v>
      </c>
      <c r="C282" t="s">
        <v>11</v>
      </c>
      <c r="D282" s="1">
        <v>45563</v>
      </c>
      <c r="E282">
        <v>20.260000000000002</v>
      </c>
      <c r="F282">
        <v>3.8</v>
      </c>
      <c r="G282">
        <v>61</v>
      </c>
      <c r="H282" t="s">
        <v>18</v>
      </c>
      <c r="I282">
        <v>6.51</v>
      </c>
      <c r="J282" t="str">
        <f t="shared" si="16"/>
        <v>Sep</v>
      </c>
      <c r="K282">
        <f t="shared" si="17"/>
        <v>2024</v>
      </c>
      <c r="L282">
        <f t="shared" si="18"/>
        <v>131.89260000000002</v>
      </c>
      <c r="M282" t="str">
        <f t="shared" si="19"/>
        <v>Weekend</v>
      </c>
    </row>
    <row r="283" spans="1:13" x14ac:dyDescent="0.35">
      <c r="A283" t="s">
        <v>298</v>
      </c>
      <c r="B283" t="s">
        <v>10</v>
      </c>
      <c r="C283" t="s">
        <v>15</v>
      </c>
      <c r="D283" s="1">
        <v>45654</v>
      </c>
      <c r="E283">
        <v>84.89</v>
      </c>
      <c r="F283">
        <v>3.55</v>
      </c>
      <c r="G283">
        <v>23</v>
      </c>
      <c r="H283" t="s">
        <v>18</v>
      </c>
      <c r="I283">
        <v>3.68</v>
      </c>
      <c r="J283" t="str">
        <f t="shared" si="16"/>
        <v>Dec</v>
      </c>
      <c r="K283">
        <f t="shared" si="17"/>
        <v>2024</v>
      </c>
      <c r="L283">
        <f t="shared" si="18"/>
        <v>312.39519999999999</v>
      </c>
      <c r="M283" t="str">
        <f t="shared" si="19"/>
        <v>Weekend</v>
      </c>
    </row>
    <row r="284" spans="1:13" x14ac:dyDescent="0.35">
      <c r="A284" t="s">
        <v>299</v>
      </c>
      <c r="B284" t="s">
        <v>14</v>
      </c>
      <c r="C284" t="s">
        <v>15</v>
      </c>
      <c r="D284" s="1">
        <v>45441</v>
      </c>
      <c r="E284">
        <v>73.27</v>
      </c>
      <c r="F284">
        <v>1.03</v>
      </c>
      <c r="G284">
        <v>52</v>
      </c>
      <c r="H284" t="s">
        <v>12</v>
      </c>
      <c r="I284">
        <v>8.3000000000000007</v>
      </c>
      <c r="J284" t="str">
        <f t="shared" si="16"/>
        <v>May</v>
      </c>
      <c r="K284">
        <f t="shared" si="17"/>
        <v>2024</v>
      </c>
      <c r="L284">
        <f t="shared" si="18"/>
        <v>608.14099999999996</v>
      </c>
      <c r="M284" t="str">
        <f t="shared" si="19"/>
        <v>Weekday</v>
      </c>
    </row>
    <row r="285" spans="1:13" x14ac:dyDescent="0.35">
      <c r="A285" t="s">
        <v>300</v>
      </c>
      <c r="B285" t="s">
        <v>14</v>
      </c>
      <c r="C285" t="s">
        <v>11</v>
      </c>
      <c r="D285" s="1">
        <v>45351</v>
      </c>
      <c r="E285">
        <v>58.23</v>
      </c>
      <c r="F285">
        <v>9.4700000000000006</v>
      </c>
      <c r="G285">
        <v>102</v>
      </c>
      <c r="H285" t="s">
        <v>12</v>
      </c>
      <c r="I285">
        <v>5.79</v>
      </c>
      <c r="J285" t="str">
        <f t="shared" si="16"/>
        <v>Feb</v>
      </c>
      <c r="K285">
        <f t="shared" si="17"/>
        <v>2024</v>
      </c>
      <c r="L285">
        <f t="shared" si="18"/>
        <v>337.15170000000001</v>
      </c>
      <c r="M285" t="str">
        <f t="shared" si="19"/>
        <v>Weekday</v>
      </c>
    </row>
    <row r="286" spans="1:13" x14ac:dyDescent="0.35">
      <c r="A286" t="s">
        <v>301</v>
      </c>
      <c r="B286" t="s">
        <v>17</v>
      </c>
      <c r="C286" t="s">
        <v>11</v>
      </c>
      <c r="D286" s="1">
        <v>45630</v>
      </c>
      <c r="E286">
        <v>9.34</v>
      </c>
      <c r="F286">
        <v>6.48</v>
      </c>
      <c r="G286">
        <v>114</v>
      </c>
      <c r="H286" t="s">
        <v>12</v>
      </c>
      <c r="I286">
        <v>9.5500000000000007</v>
      </c>
      <c r="J286" t="str">
        <f t="shared" si="16"/>
        <v>Dec</v>
      </c>
      <c r="K286">
        <f t="shared" si="17"/>
        <v>2024</v>
      </c>
      <c r="L286">
        <f t="shared" si="18"/>
        <v>89.197000000000003</v>
      </c>
      <c r="M286" t="str">
        <f t="shared" si="19"/>
        <v>Weekday</v>
      </c>
    </row>
    <row r="287" spans="1:13" x14ac:dyDescent="0.35">
      <c r="A287" t="s">
        <v>302</v>
      </c>
      <c r="B287" t="s">
        <v>17</v>
      </c>
      <c r="C287" t="s">
        <v>11</v>
      </c>
      <c r="D287" s="1">
        <v>45618</v>
      </c>
      <c r="E287">
        <v>12.95</v>
      </c>
      <c r="F287">
        <v>8.7799999999999994</v>
      </c>
      <c r="G287">
        <v>65</v>
      </c>
      <c r="H287" t="s">
        <v>12</v>
      </c>
      <c r="I287">
        <v>9.23</v>
      </c>
      <c r="J287" t="str">
        <f t="shared" si="16"/>
        <v>Nov</v>
      </c>
      <c r="K287">
        <f t="shared" si="17"/>
        <v>2024</v>
      </c>
      <c r="L287">
        <f t="shared" si="18"/>
        <v>119.52849999999999</v>
      </c>
      <c r="M287" t="str">
        <f t="shared" si="19"/>
        <v>Weekday</v>
      </c>
    </row>
    <row r="288" spans="1:13" x14ac:dyDescent="0.35">
      <c r="A288" t="s">
        <v>303</v>
      </c>
      <c r="B288" t="s">
        <v>14</v>
      </c>
      <c r="C288" t="s">
        <v>11</v>
      </c>
      <c r="D288" s="1">
        <v>45509</v>
      </c>
      <c r="E288">
        <v>89.41</v>
      </c>
      <c r="F288">
        <v>1.1299999999999999</v>
      </c>
      <c r="G288">
        <v>78</v>
      </c>
      <c r="H288" t="s">
        <v>18</v>
      </c>
      <c r="I288">
        <v>3.16</v>
      </c>
      <c r="J288" t="str">
        <f t="shared" si="16"/>
        <v>Aug</v>
      </c>
      <c r="K288">
        <f t="shared" si="17"/>
        <v>2024</v>
      </c>
      <c r="L288">
        <f t="shared" si="18"/>
        <v>282.53559999999999</v>
      </c>
      <c r="M288" t="str">
        <f t="shared" si="19"/>
        <v>Weekday</v>
      </c>
    </row>
    <row r="289" spans="1:13" x14ac:dyDescent="0.35">
      <c r="A289" t="s">
        <v>304</v>
      </c>
      <c r="B289" t="s">
        <v>17</v>
      </c>
      <c r="C289" t="s">
        <v>15</v>
      </c>
      <c r="D289" s="1">
        <v>45383</v>
      </c>
      <c r="E289">
        <v>21.94</v>
      </c>
      <c r="F289">
        <v>9.64</v>
      </c>
      <c r="G289">
        <v>87</v>
      </c>
      <c r="H289" t="s">
        <v>18</v>
      </c>
      <c r="I289">
        <v>4.07</v>
      </c>
      <c r="J289" t="str">
        <f t="shared" si="16"/>
        <v>Apr</v>
      </c>
      <c r="K289">
        <f t="shared" si="17"/>
        <v>2024</v>
      </c>
      <c r="L289">
        <f t="shared" si="18"/>
        <v>89.295800000000014</v>
      </c>
      <c r="M289" t="str">
        <f t="shared" si="19"/>
        <v>Weekday</v>
      </c>
    </row>
    <row r="290" spans="1:13" x14ac:dyDescent="0.35">
      <c r="A290" t="s">
        <v>305</v>
      </c>
      <c r="B290" t="s">
        <v>17</v>
      </c>
      <c r="C290" t="s">
        <v>24</v>
      </c>
      <c r="D290" s="1">
        <v>45434</v>
      </c>
      <c r="E290">
        <v>60.01</v>
      </c>
      <c r="F290">
        <v>3.23</v>
      </c>
      <c r="G290">
        <v>9</v>
      </c>
      <c r="H290" t="s">
        <v>12</v>
      </c>
      <c r="I290">
        <v>6.73</v>
      </c>
      <c r="J290" t="str">
        <f t="shared" si="16"/>
        <v>May</v>
      </c>
      <c r="K290">
        <f t="shared" si="17"/>
        <v>2024</v>
      </c>
      <c r="L290">
        <f t="shared" si="18"/>
        <v>403.8673</v>
      </c>
      <c r="M290" t="str">
        <f t="shared" si="19"/>
        <v>Weekday</v>
      </c>
    </row>
    <row r="291" spans="1:13" x14ac:dyDescent="0.35">
      <c r="A291" t="s">
        <v>306</v>
      </c>
      <c r="B291" t="s">
        <v>14</v>
      </c>
      <c r="C291" t="s">
        <v>11</v>
      </c>
      <c r="D291" s="1">
        <v>45412</v>
      </c>
      <c r="E291">
        <v>71.27</v>
      </c>
      <c r="F291">
        <v>2.2599999999999998</v>
      </c>
      <c r="G291">
        <v>76</v>
      </c>
      <c r="H291" t="s">
        <v>12</v>
      </c>
      <c r="I291">
        <v>8.99</v>
      </c>
      <c r="J291" t="str">
        <f t="shared" si="16"/>
        <v>Apr</v>
      </c>
      <c r="K291">
        <f t="shared" si="17"/>
        <v>2024</v>
      </c>
      <c r="L291">
        <f t="shared" si="18"/>
        <v>640.71730000000002</v>
      </c>
      <c r="M291" t="str">
        <f t="shared" si="19"/>
        <v>Weekday</v>
      </c>
    </row>
    <row r="292" spans="1:13" x14ac:dyDescent="0.35">
      <c r="A292" t="s">
        <v>307</v>
      </c>
      <c r="B292" t="s">
        <v>14</v>
      </c>
      <c r="C292" t="s">
        <v>15</v>
      </c>
      <c r="D292" s="1">
        <v>45640</v>
      </c>
      <c r="E292">
        <v>24.94</v>
      </c>
      <c r="F292">
        <v>9.3000000000000007</v>
      </c>
      <c r="G292">
        <v>77</v>
      </c>
      <c r="H292" t="s">
        <v>12</v>
      </c>
      <c r="I292">
        <v>6.1</v>
      </c>
      <c r="J292" t="str">
        <f t="shared" si="16"/>
        <v>Dec</v>
      </c>
      <c r="K292">
        <f t="shared" si="17"/>
        <v>2024</v>
      </c>
      <c r="L292">
        <f t="shared" si="18"/>
        <v>152.13399999999999</v>
      </c>
      <c r="M292" t="str">
        <f t="shared" si="19"/>
        <v>Weekend</v>
      </c>
    </row>
    <row r="293" spans="1:13" x14ac:dyDescent="0.35">
      <c r="A293" t="s">
        <v>308</v>
      </c>
      <c r="B293" t="s">
        <v>17</v>
      </c>
      <c r="C293" t="s">
        <v>24</v>
      </c>
      <c r="D293" s="1">
        <v>45428</v>
      </c>
      <c r="E293">
        <v>23.38</v>
      </c>
      <c r="F293">
        <v>6.92</v>
      </c>
      <c r="G293">
        <v>93</v>
      </c>
      <c r="H293" t="s">
        <v>18</v>
      </c>
      <c r="I293">
        <v>8.8000000000000007</v>
      </c>
      <c r="J293" t="str">
        <f t="shared" si="16"/>
        <v>May</v>
      </c>
      <c r="K293">
        <f t="shared" si="17"/>
        <v>2024</v>
      </c>
      <c r="L293">
        <f t="shared" si="18"/>
        <v>205.744</v>
      </c>
      <c r="M293" t="str">
        <f t="shared" si="19"/>
        <v>Weekday</v>
      </c>
    </row>
    <row r="294" spans="1:13" x14ac:dyDescent="0.35">
      <c r="A294" t="s">
        <v>309</v>
      </c>
      <c r="B294" t="s">
        <v>14</v>
      </c>
      <c r="C294" t="s">
        <v>11</v>
      </c>
      <c r="D294" s="1">
        <v>45492</v>
      </c>
      <c r="E294">
        <v>44.79</v>
      </c>
      <c r="F294">
        <v>9.58</v>
      </c>
      <c r="G294">
        <v>89</v>
      </c>
      <c r="H294" t="s">
        <v>12</v>
      </c>
      <c r="I294">
        <v>4.2</v>
      </c>
      <c r="J294" t="str">
        <f t="shared" si="16"/>
        <v>Jul</v>
      </c>
      <c r="K294">
        <f t="shared" si="17"/>
        <v>2024</v>
      </c>
      <c r="L294">
        <f t="shared" si="18"/>
        <v>188.11799999999999</v>
      </c>
      <c r="M294" t="str">
        <f t="shared" si="19"/>
        <v>Weekday</v>
      </c>
    </row>
    <row r="295" spans="1:13" x14ac:dyDescent="0.35">
      <c r="A295" t="s">
        <v>310</v>
      </c>
      <c r="B295" t="s">
        <v>17</v>
      </c>
      <c r="C295" t="s">
        <v>15</v>
      </c>
      <c r="D295" s="1">
        <v>45614</v>
      </c>
      <c r="E295">
        <v>65.3</v>
      </c>
      <c r="F295">
        <v>3.03</v>
      </c>
      <c r="G295">
        <v>23</v>
      </c>
      <c r="H295" t="s">
        <v>12</v>
      </c>
      <c r="I295">
        <v>5.0199999999999996</v>
      </c>
      <c r="J295" t="str">
        <f t="shared" si="16"/>
        <v>Nov</v>
      </c>
      <c r="K295">
        <f t="shared" si="17"/>
        <v>2024</v>
      </c>
      <c r="L295">
        <f t="shared" si="18"/>
        <v>327.80599999999998</v>
      </c>
      <c r="M295" t="str">
        <f t="shared" si="19"/>
        <v>Weekday</v>
      </c>
    </row>
    <row r="296" spans="1:13" x14ac:dyDescent="0.35">
      <c r="A296" t="s">
        <v>311</v>
      </c>
      <c r="B296" t="s">
        <v>10</v>
      </c>
      <c r="C296" t="s">
        <v>11</v>
      </c>
      <c r="D296" s="1">
        <v>45407</v>
      </c>
      <c r="E296">
        <v>99.3</v>
      </c>
      <c r="F296">
        <v>8.99</v>
      </c>
      <c r="G296">
        <v>85</v>
      </c>
      <c r="H296" t="s">
        <v>18</v>
      </c>
      <c r="I296">
        <v>9.25</v>
      </c>
      <c r="J296" t="str">
        <f t="shared" si="16"/>
        <v>Apr</v>
      </c>
      <c r="K296">
        <f t="shared" si="17"/>
        <v>2024</v>
      </c>
      <c r="L296">
        <f t="shared" si="18"/>
        <v>918.52499999999998</v>
      </c>
      <c r="M296" t="str">
        <f t="shared" si="19"/>
        <v>Weekday</v>
      </c>
    </row>
    <row r="297" spans="1:13" x14ac:dyDescent="0.35">
      <c r="A297" t="s">
        <v>312</v>
      </c>
      <c r="B297" t="s">
        <v>14</v>
      </c>
      <c r="C297" t="s">
        <v>11</v>
      </c>
      <c r="D297" s="1">
        <v>45440</v>
      </c>
      <c r="E297">
        <v>14.31</v>
      </c>
      <c r="F297">
        <v>4.12</v>
      </c>
      <c r="G297">
        <v>87</v>
      </c>
      <c r="H297" t="s">
        <v>18</v>
      </c>
      <c r="I297">
        <v>5.41</v>
      </c>
      <c r="J297" t="str">
        <f t="shared" si="16"/>
        <v>May</v>
      </c>
      <c r="K297">
        <f t="shared" si="17"/>
        <v>2024</v>
      </c>
      <c r="L297">
        <f t="shared" si="18"/>
        <v>77.417100000000005</v>
      </c>
      <c r="M297" t="str">
        <f t="shared" si="19"/>
        <v>Weekday</v>
      </c>
    </row>
    <row r="298" spans="1:13" x14ac:dyDescent="0.35">
      <c r="A298" t="s">
        <v>313</v>
      </c>
      <c r="B298" t="s">
        <v>10</v>
      </c>
      <c r="C298" t="s">
        <v>15</v>
      </c>
      <c r="D298" s="1">
        <v>45567</v>
      </c>
      <c r="E298">
        <v>43.25</v>
      </c>
      <c r="F298">
        <v>4.47</v>
      </c>
      <c r="G298">
        <v>21</v>
      </c>
      <c r="H298" t="s">
        <v>12</v>
      </c>
      <c r="I298">
        <v>8.86</v>
      </c>
      <c r="J298" t="str">
        <f t="shared" si="16"/>
        <v>Oct</v>
      </c>
      <c r="K298">
        <f t="shared" si="17"/>
        <v>2024</v>
      </c>
      <c r="L298">
        <f t="shared" si="18"/>
        <v>383.19499999999999</v>
      </c>
      <c r="M298" t="str">
        <f t="shared" si="19"/>
        <v>Weekday</v>
      </c>
    </row>
    <row r="299" spans="1:13" x14ac:dyDescent="0.35">
      <c r="A299" t="s">
        <v>314</v>
      </c>
      <c r="B299" t="s">
        <v>14</v>
      </c>
      <c r="C299" t="s">
        <v>24</v>
      </c>
      <c r="D299" s="1">
        <v>45464</v>
      </c>
      <c r="E299">
        <v>36.97</v>
      </c>
      <c r="F299">
        <v>5.19</v>
      </c>
      <c r="G299">
        <v>86</v>
      </c>
      <c r="H299" t="s">
        <v>18</v>
      </c>
      <c r="I299">
        <v>9.31</v>
      </c>
      <c r="J299" t="str">
        <f t="shared" si="16"/>
        <v>Jun</v>
      </c>
      <c r="K299">
        <f t="shared" si="17"/>
        <v>2024</v>
      </c>
      <c r="L299">
        <f t="shared" si="18"/>
        <v>344.19069999999999</v>
      </c>
      <c r="M299" t="str">
        <f t="shared" si="19"/>
        <v>Weekday</v>
      </c>
    </row>
    <row r="300" spans="1:13" x14ac:dyDescent="0.35">
      <c r="A300" t="s">
        <v>315</v>
      </c>
      <c r="B300" t="s">
        <v>17</v>
      </c>
      <c r="C300" t="s">
        <v>24</v>
      </c>
      <c r="D300" s="1">
        <v>45311</v>
      </c>
      <c r="E300">
        <v>26.68</v>
      </c>
      <c r="F300">
        <v>3.19</v>
      </c>
      <c r="G300">
        <v>0</v>
      </c>
      <c r="H300" t="s">
        <v>12</v>
      </c>
      <c r="I300">
        <v>3.22</v>
      </c>
      <c r="J300" t="str">
        <f t="shared" si="16"/>
        <v>Jan</v>
      </c>
      <c r="K300">
        <f t="shared" si="17"/>
        <v>2024</v>
      </c>
      <c r="L300">
        <f t="shared" si="18"/>
        <v>85.909599999999998</v>
      </c>
      <c r="M300" t="str">
        <f t="shared" si="19"/>
        <v>Weekend</v>
      </c>
    </row>
    <row r="301" spans="1:13" x14ac:dyDescent="0.35">
      <c r="A301" t="s">
        <v>316</v>
      </c>
      <c r="B301" t="s">
        <v>10</v>
      </c>
      <c r="C301" t="s">
        <v>11</v>
      </c>
      <c r="D301" s="1">
        <v>45435</v>
      </c>
      <c r="E301">
        <v>56.8</v>
      </c>
      <c r="F301">
        <v>2.09</v>
      </c>
      <c r="G301">
        <v>82</v>
      </c>
      <c r="H301" t="s">
        <v>12</v>
      </c>
      <c r="I301">
        <v>6.27</v>
      </c>
      <c r="J301" t="str">
        <f t="shared" si="16"/>
        <v>May</v>
      </c>
      <c r="K301">
        <f t="shared" si="17"/>
        <v>2024</v>
      </c>
      <c r="L301">
        <f t="shared" si="18"/>
        <v>356.13599999999997</v>
      </c>
      <c r="M301" t="str">
        <f t="shared" si="19"/>
        <v>Weekday</v>
      </c>
    </row>
    <row r="302" spans="1:13" x14ac:dyDescent="0.35">
      <c r="A302" t="s">
        <v>317</v>
      </c>
      <c r="B302" t="s">
        <v>14</v>
      </c>
      <c r="C302" t="s">
        <v>15</v>
      </c>
      <c r="D302" s="1">
        <v>45479</v>
      </c>
      <c r="E302">
        <v>34.659999999999997</v>
      </c>
      <c r="F302">
        <v>9.25</v>
      </c>
      <c r="G302">
        <v>9</v>
      </c>
      <c r="H302" t="s">
        <v>18</v>
      </c>
      <c r="I302">
        <v>3.67</v>
      </c>
      <c r="J302" t="str">
        <f t="shared" si="16"/>
        <v>Jul</v>
      </c>
      <c r="K302">
        <f t="shared" si="17"/>
        <v>2024</v>
      </c>
      <c r="L302">
        <f t="shared" si="18"/>
        <v>127.20219999999999</v>
      </c>
      <c r="M302" t="str">
        <f t="shared" si="19"/>
        <v>Weekend</v>
      </c>
    </row>
    <row r="303" spans="1:13" x14ac:dyDescent="0.35">
      <c r="A303" t="s">
        <v>318</v>
      </c>
      <c r="B303" t="s">
        <v>14</v>
      </c>
      <c r="C303" t="s">
        <v>15</v>
      </c>
      <c r="D303" s="1">
        <v>45656</v>
      </c>
      <c r="E303">
        <v>50.55</v>
      </c>
      <c r="F303">
        <v>7.34</v>
      </c>
      <c r="G303">
        <v>17</v>
      </c>
      <c r="H303" t="s">
        <v>18</v>
      </c>
      <c r="I303">
        <v>6.13</v>
      </c>
      <c r="J303" t="str">
        <f t="shared" si="16"/>
        <v>Dec</v>
      </c>
      <c r="K303">
        <f t="shared" si="17"/>
        <v>2024</v>
      </c>
      <c r="L303">
        <f t="shared" si="18"/>
        <v>309.87149999999997</v>
      </c>
      <c r="M303" t="str">
        <f t="shared" si="19"/>
        <v>Weekday</v>
      </c>
    </row>
    <row r="304" spans="1:13" x14ac:dyDescent="0.35">
      <c r="A304" t="s">
        <v>319</v>
      </c>
      <c r="B304" t="s">
        <v>17</v>
      </c>
      <c r="C304" t="s">
        <v>11</v>
      </c>
      <c r="D304" s="1">
        <v>45604</v>
      </c>
      <c r="E304">
        <v>54.88</v>
      </c>
      <c r="F304">
        <v>3.1</v>
      </c>
      <c r="G304">
        <v>19</v>
      </c>
      <c r="H304" t="s">
        <v>12</v>
      </c>
      <c r="I304">
        <v>5.01</v>
      </c>
      <c r="J304" t="str">
        <f t="shared" si="16"/>
        <v>Nov</v>
      </c>
      <c r="K304">
        <f t="shared" si="17"/>
        <v>2024</v>
      </c>
      <c r="L304">
        <f t="shared" si="18"/>
        <v>274.94880000000001</v>
      </c>
      <c r="M304" t="str">
        <f t="shared" si="19"/>
        <v>Weekday</v>
      </c>
    </row>
    <row r="305" spans="1:13" x14ac:dyDescent="0.35">
      <c r="A305" t="s">
        <v>320</v>
      </c>
      <c r="B305" t="s">
        <v>14</v>
      </c>
      <c r="C305" t="s">
        <v>15</v>
      </c>
      <c r="D305" s="1">
        <v>45594</v>
      </c>
      <c r="E305">
        <v>66.78</v>
      </c>
      <c r="F305">
        <v>1.1100000000000001</v>
      </c>
      <c r="G305">
        <v>37</v>
      </c>
      <c r="H305" t="s">
        <v>12</v>
      </c>
      <c r="I305">
        <v>7.06</v>
      </c>
      <c r="J305" t="str">
        <f t="shared" si="16"/>
        <v>Oct</v>
      </c>
      <c r="K305">
        <f t="shared" si="17"/>
        <v>2024</v>
      </c>
      <c r="L305">
        <f t="shared" si="18"/>
        <v>471.46679999999998</v>
      </c>
      <c r="M305" t="str">
        <f t="shared" si="19"/>
        <v>Weekday</v>
      </c>
    </row>
    <row r="306" spans="1:13" x14ac:dyDescent="0.35">
      <c r="A306" t="s">
        <v>321</v>
      </c>
      <c r="B306" t="s">
        <v>10</v>
      </c>
      <c r="C306" t="s">
        <v>11</v>
      </c>
      <c r="D306" s="1">
        <v>45559</v>
      </c>
      <c r="E306">
        <v>37.42</v>
      </c>
      <c r="F306">
        <v>1.81</v>
      </c>
      <c r="G306">
        <v>35</v>
      </c>
      <c r="H306" t="s">
        <v>12</v>
      </c>
      <c r="I306">
        <v>7.72</v>
      </c>
      <c r="J306" t="str">
        <f t="shared" si="16"/>
        <v>Sep</v>
      </c>
      <c r="K306">
        <f t="shared" si="17"/>
        <v>2024</v>
      </c>
      <c r="L306">
        <f t="shared" si="18"/>
        <v>288.88240000000002</v>
      </c>
      <c r="M306" t="str">
        <f t="shared" si="19"/>
        <v>Weekday</v>
      </c>
    </row>
    <row r="307" spans="1:13" x14ac:dyDescent="0.35">
      <c r="A307" t="s">
        <v>322</v>
      </c>
      <c r="B307" t="s">
        <v>14</v>
      </c>
      <c r="C307" t="s">
        <v>24</v>
      </c>
      <c r="D307" s="1">
        <v>45363</v>
      </c>
      <c r="E307">
        <v>53.33</v>
      </c>
      <c r="F307">
        <v>3.36</v>
      </c>
      <c r="G307">
        <v>72</v>
      </c>
      <c r="H307" t="s">
        <v>18</v>
      </c>
      <c r="I307">
        <v>9.59</v>
      </c>
      <c r="J307" t="str">
        <f t="shared" si="16"/>
        <v>Mar</v>
      </c>
      <c r="K307">
        <f t="shared" si="17"/>
        <v>2024</v>
      </c>
      <c r="L307">
        <f t="shared" si="18"/>
        <v>511.43469999999996</v>
      </c>
      <c r="M307" t="str">
        <f t="shared" si="19"/>
        <v>Weekday</v>
      </c>
    </row>
    <row r="308" spans="1:13" x14ac:dyDescent="0.35">
      <c r="A308" t="s">
        <v>323</v>
      </c>
      <c r="B308" t="s">
        <v>17</v>
      </c>
      <c r="C308" t="s">
        <v>15</v>
      </c>
      <c r="D308" s="1">
        <v>45312</v>
      </c>
      <c r="E308">
        <v>90.96</v>
      </c>
      <c r="F308">
        <v>8.02</v>
      </c>
      <c r="G308">
        <v>114</v>
      </c>
      <c r="H308" t="s">
        <v>18</v>
      </c>
      <c r="I308">
        <v>7.56</v>
      </c>
      <c r="J308" t="str">
        <f t="shared" si="16"/>
        <v>Jan</v>
      </c>
      <c r="K308">
        <f t="shared" si="17"/>
        <v>2024</v>
      </c>
      <c r="L308">
        <f t="shared" si="18"/>
        <v>687.65759999999989</v>
      </c>
      <c r="M308" t="str">
        <f t="shared" si="19"/>
        <v>Weekend</v>
      </c>
    </row>
    <row r="309" spans="1:13" x14ac:dyDescent="0.35">
      <c r="A309" t="s">
        <v>324</v>
      </c>
      <c r="B309" t="s">
        <v>17</v>
      </c>
      <c r="C309" t="s">
        <v>24</v>
      </c>
      <c r="D309" s="1">
        <v>45364</v>
      </c>
      <c r="E309">
        <v>77.64</v>
      </c>
      <c r="F309">
        <v>2.81</v>
      </c>
      <c r="G309">
        <v>109</v>
      </c>
      <c r="H309" t="s">
        <v>12</v>
      </c>
      <c r="I309">
        <v>9.4600000000000009</v>
      </c>
      <c r="J309" t="str">
        <f t="shared" si="16"/>
        <v>Mar</v>
      </c>
      <c r="K309">
        <f t="shared" si="17"/>
        <v>2024</v>
      </c>
      <c r="L309">
        <f t="shared" si="18"/>
        <v>734.47440000000006</v>
      </c>
      <c r="M309" t="str">
        <f t="shared" si="19"/>
        <v>Weekday</v>
      </c>
    </row>
    <row r="310" spans="1:13" x14ac:dyDescent="0.35">
      <c r="A310" t="s">
        <v>325</v>
      </c>
      <c r="B310" t="s">
        <v>14</v>
      </c>
      <c r="C310" t="s">
        <v>15</v>
      </c>
      <c r="D310" s="1">
        <v>45622</v>
      </c>
      <c r="E310">
        <v>13.53</v>
      </c>
      <c r="F310">
        <v>7.75</v>
      </c>
      <c r="G310">
        <v>77</v>
      </c>
      <c r="H310" t="s">
        <v>18</v>
      </c>
      <c r="I310">
        <v>9.25</v>
      </c>
      <c r="J310" t="str">
        <f t="shared" si="16"/>
        <v>Nov</v>
      </c>
      <c r="K310">
        <f t="shared" si="17"/>
        <v>2024</v>
      </c>
      <c r="L310">
        <f t="shared" si="18"/>
        <v>125.15249999999999</v>
      </c>
      <c r="M310" t="str">
        <f t="shared" si="19"/>
        <v>Weekday</v>
      </c>
    </row>
    <row r="311" spans="1:13" x14ac:dyDescent="0.35">
      <c r="A311" t="s">
        <v>326</v>
      </c>
      <c r="B311" t="s">
        <v>17</v>
      </c>
      <c r="C311" t="s">
        <v>11</v>
      </c>
      <c r="D311" s="1">
        <v>45646</v>
      </c>
      <c r="E311">
        <v>17.149999999999999</v>
      </c>
      <c r="F311">
        <v>7.16</v>
      </c>
      <c r="G311">
        <v>106</v>
      </c>
      <c r="H311" t="s">
        <v>12</v>
      </c>
      <c r="I311">
        <v>9.65</v>
      </c>
      <c r="J311" t="str">
        <f t="shared" si="16"/>
        <v>Dec</v>
      </c>
      <c r="K311">
        <f t="shared" si="17"/>
        <v>2024</v>
      </c>
      <c r="L311">
        <f t="shared" si="18"/>
        <v>165.4975</v>
      </c>
      <c r="M311" t="str">
        <f t="shared" si="19"/>
        <v>Weekday</v>
      </c>
    </row>
    <row r="312" spans="1:13" x14ac:dyDescent="0.35">
      <c r="A312" t="s">
        <v>327</v>
      </c>
      <c r="B312" t="s">
        <v>10</v>
      </c>
      <c r="C312" t="s">
        <v>24</v>
      </c>
      <c r="D312" s="1">
        <v>45405</v>
      </c>
      <c r="E312">
        <v>63.45</v>
      </c>
      <c r="F312">
        <v>5.56</v>
      </c>
      <c r="G312">
        <v>108</v>
      </c>
      <c r="H312" t="s">
        <v>18</v>
      </c>
      <c r="I312">
        <v>6.39</v>
      </c>
      <c r="J312" t="str">
        <f t="shared" si="16"/>
        <v>Apr</v>
      </c>
      <c r="K312">
        <f t="shared" si="17"/>
        <v>2024</v>
      </c>
      <c r="L312">
        <f t="shared" si="18"/>
        <v>405.44549999999998</v>
      </c>
      <c r="M312" t="str">
        <f t="shared" si="19"/>
        <v>Weekday</v>
      </c>
    </row>
    <row r="313" spans="1:13" x14ac:dyDescent="0.35">
      <c r="A313" t="s">
        <v>328</v>
      </c>
      <c r="B313" t="s">
        <v>14</v>
      </c>
      <c r="C313" t="s">
        <v>11</v>
      </c>
      <c r="D313" s="1">
        <v>45551</v>
      </c>
      <c r="E313">
        <v>65.260000000000005</v>
      </c>
      <c r="F313">
        <v>9.68</v>
      </c>
      <c r="G313">
        <v>13</v>
      </c>
      <c r="H313" t="s">
        <v>12</v>
      </c>
      <c r="I313">
        <v>4.1399999999999997</v>
      </c>
      <c r="J313" t="str">
        <f t="shared" si="16"/>
        <v>Sep</v>
      </c>
      <c r="K313">
        <f t="shared" si="17"/>
        <v>2024</v>
      </c>
      <c r="L313">
        <f t="shared" si="18"/>
        <v>270.1764</v>
      </c>
      <c r="M313" t="str">
        <f t="shared" si="19"/>
        <v>Weekday</v>
      </c>
    </row>
    <row r="314" spans="1:13" x14ac:dyDescent="0.35">
      <c r="A314" t="s">
        <v>329</v>
      </c>
      <c r="B314" t="s">
        <v>14</v>
      </c>
      <c r="C314" t="s">
        <v>15</v>
      </c>
      <c r="D314" s="1">
        <v>45323</v>
      </c>
      <c r="E314">
        <v>83.49</v>
      </c>
      <c r="F314">
        <v>7.96</v>
      </c>
      <c r="G314">
        <v>50</v>
      </c>
      <c r="H314" t="s">
        <v>12</v>
      </c>
      <c r="I314">
        <v>3.8</v>
      </c>
      <c r="J314" t="str">
        <f t="shared" si="16"/>
        <v>Feb</v>
      </c>
      <c r="K314">
        <f t="shared" si="17"/>
        <v>2024</v>
      </c>
      <c r="L314">
        <f t="shared" si="18"/>
        <v>317.26199999999994</v>
      </c>
      <c r="M314" t="str">
        <f t="shared" si="19"/>
        <v>Weekday</v>
      </c>
    </row>
    <row r="315" spans="1:13" x14ac:dyDescent="0.35">
      <c r="A315" t="s">
        <v>330</v>
      </c>
      <c r="B315" t="s">
        <v>17</v>
      </c>
      <c r="C315" t="s">
        <v>15</v>
      </c>
      <c r="D315" s="1">
        <v>45348</v>
      </c>
      <c r="E315">
        <v>47.88</v>
      </c>
      <c r="F315">
        <v>6</v>
      </c>
      <c r="G315">
        <v>37</v>
      </c>
      <c r="H315" t="s">
        <v>18</v>
      </c>
      <c r="I315">
        <v>4.6100000000000003</v>
      </c>
      <c r="J315" t="str">
        <f t="shared" si="16"/>
        <v>Feb</v>
      </c>
      <c r="K315">
        <f t="shared" si="17"/>
        <v>2024</v>
      </c>
      <c r="L315">
        <f t="shared" si="18"/>
        <v>220.72680000000003</v>
      </c>
      <c r="M315" t="str">
        <f t="shared" si="19"/>
        <v>Weekday</v>
      </c>
    </row>
    <row r="316" spans="1:13" x14ac:dyDescent="0.35">
      <c r="A316" t="s">
        <v>331</v>
      </c>
      <c r="B316" t="s">
        <v>14</v>
      </c>
      <c r="C316" t="s">
        <v>15</v>
      </c>
      <c r="D316" s="1">
        <v>45589</v>
      </c>
      <c r="E316">
        <v>17.649999999999999</v>
      </c>
      <c r="F316">
        <v>5.89</v>
      </c>
      <c r="G316">
        <v>19</v>
      </c>
      <c r="H316" t="s">
        <v>18</v>
      </c>
      <c r="I316">
        <v>6.15</v>
      </c>
      <c r="J316" t="str">
        <f t="shared" si="16"/>
        <v>Oct</v>
      </c>
      <c r="K316">
        <f t="shared" si="17"/>
        <v>2024</v>
      </c>
      <c r="L316">
        <f t="shared" si="18"/>
        <v>108.5475</v>
      </c>
      <c r="M316" t="str">
        <f t="shared" si="19"/>
        <v>Weekday</v>
      </c>
    </row>
    <row r="317" spans="1:13" x14ac:dyDescent="0.35">
      <c r="A317" t="s">
        <v>332</v>
      </c>
      <c r="B317" t="s">
        <v>17</v>
      </c>
      <c r="C317" t="s">
        <v>24</v>
      </c>
      <c r="D317" s="1">
        <v>45399</v>
      </c>
      <c r="E317">
        <v>81.02</v>
      </c>
      <c r="F317">
        <v>1.37</v>
      </c>
      <c r="G317">
        <v>40</v>
      </c>
      <c r="H317" t="s">
        <v>18</v>
      </c>
      <c r="I317">
        <v>7.89</v>
      </c>
      <c r="J317" t="str">
        <f t="shared" si="16"/>
        <v>Apr</v>
      </c>
      <c r="K317">
        <f t="shared" si="17"/>
        <v>2024</v>
      </c>
      <c r="L317">
        <f t="shared" si="18"/>
        <v>639.24779999999998</v>
      </c>
      <c r="M317" t="str">
        <f t="shared" si="19"/>
        <v>Weekday</v>
      </c>
    </row>
    <row r="318" spans="1:13" x14ac:dyDescent="0.35">
      <c r="A318" t="s">
        <v>333</v>
      </c>
      <c r="B318" t="s">
        <v>10</v>
      </c>
      <c r="C318" t="s">
        <v>11</v>
      </c>
      <c r="D318" s="1">
        <v>45352</v>
      </c>
      <c r="E318">
        <v>88.84</v>
      </c>
      <c r="F318">
        <v>1.7</v>
      </c>
      <c r="G318">
        <v>119</v>
      </c>
      <c r="H318" t="s">
        <v>18</v>
      </c>
      <c r="I318">
        <v>5.2</v>
      </c>
      <c r="J318" t="str">
        <f t="shared" si="16"/>
        <v>Mar</v>
      </c>
      <c r="K318">
        <f t="shared" si="17"/>
        <v>2024</v>
      </c>
      <c r="L318">
        <f t="shared" si="18"/>
        <v>461.96800000000002</v>
      </c>
      <c r="M318" t="str">
        <f t="shared" si="19"/>
        <v>Weekday</v>
      </c>
    </row>
    <row r="319" spans="1:13" x14ac:dyDescent="0.35">
      <c r="A319" t="s">
        <v>334</v>
      </c>
      <c r="B319" t="s">
        <v>14</v>
      </c>
      <c r="C319" t="s">
        <v>15</v>
      </c>
      <c r="D319" s="1">
        <v>45317</v>
      </c>
      <c r="E319">
        <v>89.44</v>
      </c>
      <c r="F319">
        <v>4.21</v>
      </c>
      <c r="G319">
        <v>105</v>
      </c>
      <c r="H319" t="s">
        <v>18</v>
      </c>
      <c r="I319">
        <v>6.51</v>
      </c>
      <c r="J319" t="str">
        <f t="shared" si="16"/>
        <v>Jan</v>
      </c>
      <c r="K319">
        <f t="shared" si="17"/>
        <v>2024</v>
      </c>
      <c r="L319">
        <f t="shared" si="18"/>
        <v>582.25439999999992</v>
      </c>
      <c r="M319" t="str">
        <f t="shared" si="19"/>
        <v>Weekday</v>
      </c>
    </row>
    <row r="320" spans="1:13" x14ac:dyDescent="0.35">
      <c r="A320" t="s">
        <v>335</v>
      </c>
      <c r="B320" t="s">
        <v>14</v>
      </c>
      <c r="C320" t="s">
        <v>11</v>
      </c>
      <c r="D320" s="1">
        <v>45644</v>
      </c>
      <c r="E320">
        <v>7</v>
      </c>
      <c r="F320">
        <v>4.6100000000000003</v>
      </c>
      <c r="G320">
        <v>53</v>
      </c>
      <c r="H320" t="s">
        <v>12</v>
      </c>
      <c r="I320">
        <v>9.94</v>
      </c>
      <c r="J320" t="str">
        <f t="shared" si="16"/>
        <v>Dec</v>
      </c>
      <c r="K320">
        <f t="shared" si="17"/>
        <v>2024</v>
      </c>
      <c r="L320">
        <f t="shared" si="18"/>
        <v>69.58</v>
      </c>
      <c r="M320" t="str">
        <f t="shared" si="19"/>
        <v>Weekday</v>
      </c>
    </row>
    <row r="321" spans="1:13" x14ac:dyDescent="0.35">
      <c r="A321" t="s">
        <v>336</v>
      </c>
      <c r="B321" t="s">
        <v>10</v>
      </c>
      <c r="C321" t="s">
        <v>15</v>
      </c>
      <c r="D321" s="1">
        <v>45443</v>
      </c>
      <c r="E321">
        <v>65.03</v>
      </c>
      <c r="F321">
        <v>9.4600000000000009</v>
      </c>
      <c r="G321">
        <v>109</v>
      </c>
      <c r="H321" t="s">
        <v>18</v>
      </c>
      <c r="I321">
        <v>8.3699999999999992</v>
      </c>
      <c r="J321" t="str">
        <f t="shared" si="16"/>
        <v>May</v>
      </c>
      <c r="K321">
        <f t="shared" si="17"/>
        <v>2024</v>
      </c>
      <c r="L321">
        <f t="shared" si="18"/>
        <v>544.30109999999991</v>
      </c>
      <c r="M321" t="str">
        <f t="shared" si="19"/>
        <v>Weekday</v>
      </c>
    </row>
    <row r="322" spans="1:13" x14ac:dyDescent="0.35">
      <c r="A322" t="s">
        <v>337</v>
      </c>
      <c r="B322" t="s">
        <v>10</v>
      </c>
      <c r="C322" t="s">
        <v>15</v>
      </c>
      <c r="D322" s="1">
        <v>45527</v>
      </c>
      <c r="E322">
        <v>93.99</v>
      </c>
      <c r="F322">
        <v>4.07</v>
      </c>
      <c r="G322">
        <v>73</v>
      </c>
      <c r="H322" t="s">
        <v>12</v>
      </c>
      <c r="I322">
        <v>3.79</v>
      </c>
      <c r="J322" t="str">
        <f t="shared" si="16"/>
        <v>Aug</v>
      </c>
      <c r="K322">
        <f t="shared" si="17"/>
        <v>2024</v>
      </c>
      <c r="L322">
        <f t="shared" si="18"/>
        <v>356.22210000000001</v>
      </c>
      <c r="M322" t="str">
        <f t="shared" si="19"/>
        <v>Weekday</v>
      </c>
    </row>
    <row r="323" spans="1:13" x14ac:dyDescent="0.35">
      <c r="A323" t="s">
        <v>338</v>
      </c>
      <c r="B323" t="s">
        <v>10</v>
      </c>
      <c r="C323" t="s">
        <v>24</v>
      </c>
      <c r="D323" s="1">
        <v>45520</v>
      </c>
      <c r="E323">
        <v>86.57</v>
      </c>
      <c r="F323">
        <v>6.2</v>
      </c>
      <c r="G323">
        <v>63</v>
      </c>
      <c r="H323" t="s">
        <v>12</v>
      </c>
      <c r="I323">
        <v>6.51</v>
      </c>
      <c r="J323" t="str">
        <f t="shared" ref="J323:J386" si="20">TEXT(D323,"mmm")</f>
        <v>Aug</v>
      </c>
      <c r="K323">
        <f t="shared" ref="K323:K386" si="21">YEAR(D323)</f>
        <v>2024</v>
      </c>
      <c r="L323">
        <f t="shared" ref="L323:L386" si="22">E323*I323</f>
        <v>563.57069999999999</v>
      </c>
      <c r="M323" t="str">
        <f t="shared" ref="M323:M386" si="23">IF(OR(WEEKDAY(D323)=1,WEEKDAY(D323)=7),"Weekend","Weekday")</f>
        <v>Weekday</v>
      </c>
    </row>
    <row r="324" spans="1:13" x14ac:dyDescent="0.35">
      <c r="A324" t="s">
        <v>339</v>
      </c>
      <c r="B324" t="s">
        <v>14</v>
      </c>
      <c r="C324" t="s">
        <v>11</v>
      </c>
      <c r="D324" s="1">
        <v>45544</v>
      </c>
      <c r="E324">
        <v>99.78</v>
      </c>
      <c r="F324">
        <v>9.5399999999999991</v>
      </c>
      <c r="G324">
        <v>24</v>
      </c>
      <c r="H324" t="s">
        <v>18</v>
      </c>
      <c r="I324">
        <v>3.18</v>
      </c>
      <c r="J324" t="str">
        <f t="shared" si="20"/>
        <v>Sep</v>
      </c>
      <c r="K324">
        <f t="shared" si="21"/>
        <v>2024</v>
      </c>
      <c r="L324">
        <f t="shared" si="22"/>
        <v>317.30040000000002</v>
      </c>
      <c r="M324" t="str">
        <f t="shared" si="23"/>
        <v>Weekday</v>
      </c>
    </row>
    <row r="325" spans="1:13" x14ac:dyDescent="0.35">
      <c r="A325" t="s">
        <v>340</v>
      </c>
      <c r="B325" t="s">
        <v>10</v>
      </c>
      <c r="C325" t="s">
        <v>11</v>
      </c>
      <c r="D325" s="1">
        <v>45559</v>
      </c>
      <c r="E325">
        <v>42.45</v>
      </c>
      <c r="F325">
        <v>5.78</v>
      </c>
      <c r="G325">
        <v>9</v>
      </c>
      <c r="H325" t="s">
        <v>12</v>
      </c>
      <c r="I325">
        <v>4.4800000000000004</v>
      </c>
      <c r="J325" t="str">
        <f t="shared" si="20"/>
        <v>Sep</v>
      </c>
      <c r="K325">
        <f t="shared" si="21"/>
        <v>2024</v>
      </c>
      <c r="L325">
        <f t="shared" si="22"/>
        <v>190.17600000000004</v>
      </c>
      <c r="M325" t="str">
        <f t="shared" si="23"/>
        <v>Weekday</v>
      </c>
    </row>
    <row r="326" spans="1:13" x14ac:dyDescent="0.35">
      <c r="A326" t="s">
        <v>341</v>
      </c>
      <c r="B326" t="s">
        <v>10</v>
      </c>
      <c r="C326" t="s">
        <v>15</v>
      </c>
      <c r="D326" s="1">
        <v>45388</v>
      </c>
      <c r="E326">
        <v>70.3</v>
      </c>
      <c r="F326">
        <v>5.44</v>
      </c>
      <c r="G326">
        <v>89</v>
      </c>
      <c r="H326" t="s">
        <v>18</v>
      </c>
      <c r="I326">
        <v>4.8499999999999996</v>
      </c>
      <c r="J326" t="str">
        <f t="shared" si="20"/>
        <v>Apr</v>
      </c>
      <c r="K326">
        <f t="shared" si="21"/>
        <v>2024</v>
      </c>
      <c r="L326">
        <f t="shared" si="22"/>
        <v>340.95499999999998</v>
      </c>
      <c r="M326" t="str">
        <f t="shared" si="23"/>
        <v>Weekend</v>
      </c>
    </row>
    <row r="327" spans="1:13" x14ac:dyDescent="0.35">
      <c r="A327" t="s">
        <v>342</v>
      </c>
      <c r="B327" t="s">
        <v>14</v>
      </c>
      <c r="C327" t="s">
        <v>15</v>
      </c>
      <c r="D327" s="1">
        <v>45330</v>
      </c>
      <c r="E327">
        <v>33.020000000000003</v>
      </c>
      <c r="F327">
        <v>3.09</v>
      </c>
      <c r="G327">
        <v>45</v>
      </c>
      <c r="H327" t="s">
        <v>12</v>
      </c>
      <c r="I327">
        <v>7.71</v>
      </c>
      <c r="J327" t="str">
        <f t="shared" si="20"/>
        <v>Feb</v>
      </c>
      <c r="K327">
        <f t="shared" si="21"/>
        <v>2024</v>
      </c>
      <c r="L327">
        <f t="shared" si="22"/>
        <v>254.58420000000001</v>
      </c>
      <c r="M327" t="str">
        <f t="shared" si="23"/>
        <v>Weekday</v>
      </c>
    </row>
    <row r="328" spans="1:13" x14ac:dyDescent="0.35">
      <c r="A328" t="s">
        <v>343</v>
      </c>
      <c r="B328" t="s">
        <v>17</v>
      </c>
      <c r="C328" t="s">
        <v>11</v>
      </c>
      <c r="D328" s="1">
        <v>45473</v>
      </c>
      <c r="E328">
        <v>90.23</v>
      </c>
      <c r="F328">
        <v>8.02</v>
      </c>
      <c r="G328">
        <v>59</v>
      </c>
      <c r="H328" t="s">
        <v>18</v>
      </c>
      <c r="I328">
        <v>9.4600000000000009</v>
      </c>
      <c r="J328" t="str">
        <f t="shared" si="20"/>
        <v>Jun</v>
      </c>
      <c r="K328">
        <f t="shared" si="21"/>
        <v>2024</v>
      </c>
      <c r="L328">
        <f t="shared" si="22"/>
        <v>853.57580000000007</v>
      </c>
      <c r="M328" t="str">
        <f t="shared" si="23"/>
        <v>Weekend</v>
      </c>
    </row>
    <row r="329" spans="1:13" x14ac:dyDescent="0.35">
      <c r="A329" t="s">
        <v>344</v>
      </c>
      <c r="B329" t="s">
        <v>14</v>
      </c>
      <c r="C329" t="s">
        <v>24</v>
      </c>
      <c r="D329" s="1">
        <v>45583</v>
      </c>
      <c r="E329">
        <v>8.1300000000000008</v>
      </c>
      <c r="F329">
        <v>5.68</v>
      </c>
      <c r="G329">
        <v>38</v>
      </c>
      <c r="H329" t="s">
        <v>12</v>
      </c>
      <c r="I329">
        <v>7.84</v>
      </c>
      <c r="J329" t="str">
        <f t="shared" si="20"/>
        <v>Oct</v>
      </c>
      <c r="K329">
        <f t="shared" si="21"/>
        <v>2024</v>
      </c>
      <c r="L329">
        <f t="shared" si="22"/>
        <v>63.739200000000004</v>
      </c>
      <c r="M329" t="str">
        <f t="shared" si="23"/>
        <v>Weekday</v>
      </c>
    </row>
    <row r="330" spans="1:13" x14ac:dyDescent="0.35">
      <c r="A330" t="s">
        <v>345</v>
      </c>
      <c r="B330" t="s">
        <v>14</v>
      </c>
      <c r="C330" t="s">
        <v>15</v>
      </c>
      <c r="D330" s="1">
        <v>45472</v>
      </c>
      <c r="E330">
        <v>24.38</v>
      </c>
      <c r="F330">
        <v>3.09</v>
      </c>
      <c r="G330">
        <v>16</v>
      </c>
      <c r="H330" t="s">
        <v>18</v>
      </c>
      <c r="I330">
        <v>6.09</v>
      </c>
      <c r="J330" t="str">
        <f t="shared" si="20"/>
        <v>Jun</v>
      </c>
      <c r="K330">
        <f t="shared" si="21"/>
        <v>2024</v>
      </c>
      <c r="L330">
        <f t="shared" si="22"/>
        <v>148.4742</v>
      </c>
      <c r="M330" t="str">
        <f t="shared" si="23"/>
        <v>Weekend</v>
      </c>
    </row>
    <row r="331" spans="1:13" x14ac:dyDescent="0.35">
      <c r="A331" t="s">
        <v>346</v>
      </c>
      <c r="B331" t="s">
        <v>14</v>
      </c>
      <c r="C331" t="s">
        <v>24</v>
      </c>
      <c r="D331" s="1">
        <v>45633</v>
      </c>
      <c r="E331">
        <v>73.34</v>
      </c>
      <c r="F331">
        <v>6.59</v>
      </c>
      <c r="G331">
        <v>66</v>
      </c>
      <c r="H331" t="s">
        <v>12</v>
      </c>
      <c r="I331">
        <v>4.26</v>
      </c>
      <c r="J331" t="str">
        <f t="shared" si="20"/>
        <v>Dec</v>
      </c>
      <c r="K331">
        <f t="shared" si="21"/>
        <v>2024</v>
      </c>
      <c r="L331">
        <f t="shared" si="22"/>
        <v>312.42840000000001</v>
      </c>
      <c r="M331" t="str">
        <f t="shared" si="23"/>
        <v>Weekend</v>
      </c>
    </row>
    <row r="332" spans="1:13" x14ac:dyDescent="0.35">
      <c r="A332" t="s">
        <v>347</v>
      </c>
      <c r="B332" t="s">
        <v>10</v>
      </c>
      <c r="C332" t="s">
        <v>15</v>
      </c>
      <c r="D332" s="1">
        <v>45606</v>
      </c>
      <c r="E332">
        <v>48.3</v>
      </c>
      <c r="F332">
        <v>9.64</v>
      </c>
      <c r="G332">
        <v>14</v>
      </c>
      <c r="H332" t="s">
        <v>12</v>
      </c>
      <c r="I332">
        <v>3.32</v>
      </c>
      <c r="J332" t="str">
        <f t="shared" si="20"/>
        <v>Nov</v>
      </c>
      <c r="K332">
        <f t="shared" si="21"/>
        <v>2024</v>
      </c>
      <c r="L332">
        <f t="shared" si="22"/>
        <v>160.35599999999999</v>
      </c>
      <c r="M332" t="str">
        <f t="shared" si="23"/>
        <v>Weekend</v>
      </c>
    </row>
    <row r="333" spans="1:13" x14ac:dyDescent="0.35">
      <c r="A333" t="s">
        <v>348</v>
      </c>
      <c r="B333" t="s">
        <v>14</v>
      </c>
      <c r="C333" t="s">
        <v>11</v>
      </c>
      <c r="D333" s="1">
        <v>45618</v>
      </c>
      <c r="E333">
        <v>92.77</v>
      </c>
      <c r="F333">
        <v>1.18</v>
      </c>
      <c r="G333">
        <v>30</v>
      </c>
      <c r="H333" t="s">
        <v>12</v>
      </c>
      <c r="I333">
        <v>8.65</v>
      </c>
      <c r="J333" t="str">
        <f t="shared" si="20"/>
        <v>Nov</v>
      </c>
      <c r="K333">
        <f t="shared" si="21"/>
        <v>2024</v>
      </c>
      <c r="L333">
        <f t="shared" si="22"/>
        <v>802.46050000000002</v>
      </c>
      <c r="M333" t="str">
        <f t="shared" si="23"/>
        <v>Weekday</v>
      </c>
    </row>
    <row r="334" spans="1:13" x14ac:dyDescent="0.35">
      <c r="A334" t="s">
        <v>349</v>
      </c>
      <c r="B334" t="s">
        <v>10</v>
      </c>
      <c r="C334" t="s">
        <v>15</v>
      </c>
      <c r="D334" s="1">
        <v>45363</v>
      </c>
      <c r="E334">
        <v>35.08</v>
      </c>
      <c r="F334">
        <v>6.64</v>
      </c>
      <c r="G334">
        <v>69</v>
      </c>
      <c r="H334" t="s">
        <v>12</v>
      </c>
      <c r="I334">
        <v>6.75</v>
      </c>
      <c r="J334" t="str">
        <f t="shared" si="20"/>
        <v>Mar</v>
      </c>
      <c r="K334">
        <f t="shared" si="21"/>
        <v>2024</v>
      </c>
      <c r="L334">
        <f t="shared" si="22"/>
        <v>236.79</v>
      </c>
      <c r="M334" t="str">
        <f t="shared" si="23"/>
        <v>Weekday</v>
      </c>
    </row>
    <row r="335" spans="1:13" x14ac:dyDescent="0.35">
      <c r="A335" t="s">
        <v>350</v>
      </c>
      <c r="B335" t="s">
        <v>17</v>
      </c>
      <c r="C335" t="s">
        <v>15</v>
      </c>
      <c r="D335" s="1">
        <v>45362</v>
      </c>
      <c r="E335">
        <v>31.56</v>
      </c>
      <c r="F335">
        <v>9.24</v>
      </c>
      <c r="G335">
        <v>118</v>
      </c>
      <c r="H335" t="s">
        <v>12</v>
      </c>
      <c r="I335">
        <v>6.42</v>
      </c>
      <c r="J335" t="str">
        <f t="shared" si="20"/>
        <v>Mar</v>
      </c>
      <c r="K335">
        <f t="shared" si="21"/>
        <v>2024</v>
      </c>
      <c r="L335">
        <f t="shared" si="22"/>
        <v>202.61519999999999</v>
      </c>
      <c r="M335" t="str">
        <f t="shared" si="23"/>
        <v>Weekday</v>
      </c>
    </row>
    <row r="336" spans="1:13" x14ac:dyDescent="0.35">
      <c r="A336" t="s">
        <v>351</v>
      </c>
      <c r="B336" t="s">
        <v>17</v>
      </c>
      <c r="C336" t="s">
        <v>15</v>
      </c>
      <c r="D336" s="1">
        <v>45401</v>
      </c>
      <c r="E336">
        <v>35.15</v>
      </c>
      <c r="F336">
        <v>7.61</v>
      </c>
      <c r="G336">
        <v>119</v>
      </c>
      <c r="H336" t="s">
        <v>12</v>
      </c>
      <c r="I336">
        <v>9.74</v>
      </c>
      <c r="J336" t="str">
        <f t="shared" si="20"/>
        <v>Apr</v>
      </c>
      <c r="K336">
        <f t="shared" si="21"/>
        <v>2024</v>
      </c>
      <c r="L336">
        <f t="shared" si="22"/>
        <v>342.36099999999999</v>
      </c>
      <c r="M336" t="str">
        <f t="shared" si="23"/>
        <v>Weekday</v>
      </c>
    </row>
    <row r="337" spans="1:13" x14ac:dyDescent="0.35">
      <c r="A337" t="s">
        <v>352</v>
      </c>
      <c r="B337" t="s">
        <v>14</v>
      </c>
      <c r="C337" t="s">
        <v>11</v>
      </c>
      <c r="D337" s="1">
        <v>45438</v>
      </c>
      <c r="E337">
        <v>30.92</v>
      </c>
      <c r="F337">
        <v>8.33</v>
      </c>
      <c r="G337">
        <v>54</v>
      </c>
      <c r="H337" t="s">
        <v>12</v>
      </c>
      <c r="I337">
        <v>5.57</v>
      </c>
      <c r="J337" t="str">
        <f t="shared" si="20"/>
        <v>May</v>
      </c>
      <c r="K337">
        <f t="shared" si="21"/>
        <v>2024</v>
      </c>
      <c r="L337">
        <f t="shared" si="22"/>
        <v>172.22440000000003</v>
      </c>
      <c r="M337" t="str">
        <f t="shared" si="23"/>
        <v>Weekend</v>
      </c>
    </row>
    <row r="338" spans="1:13" x14ac:dyDescent="0.35">
      <c r="A338" t="s">
        <v>353</v>
      </c>
      <c r="B338" t="s">
        <v>10</v>
      </c>
      <c r="C338" t="s">
        <v>24</v>
      </c>
      <c r="D338" s="1">
        <v>45647</v>
      </c>
      <c r="E338">
        <v>53.31</v>
      </c>
      <c r="F338">
        <v>1.96</v>
      </c>
      <c r="G338">
        <v>13</v>
      </c>
      <c r="H338" t="s">
        <v>12</v>
      </c>
      <c r="I338">
        <v>3.94</v>
      </c>
      <c r="J338" t="str">
        <f t="shared" si="20"/>
        <v>Dec</v>
      </c>
      <c r="K338">
        <f t="shared" si="21"/>
        <v>2024</v>
      </c>
      <c r="L338">
        <f t="shared" si="22"/>
        <v>210.04140000000001</v>
      </c>
      <c r="M338" t="str">
        <f t="shared" si="23"/>
        <v>Weekend</v>
      </c>
    </row>
    <row r="339" spans="1:13" x14ac:dyDescent="0.35">
      <c r="A339" t="s">
        <v>354</v>
      </c>
      <c r="B339" t="s">
        <v>14</v>
      </c>
      <c r="C339" t="s">
        <v>24</v>
      </c>
      <c r="D339" s="1">
        <v>45570</v>
      </c>
      <c r="E339">
        <v>86.21</v>
      </c>
      <c r="F339">
        <v>2.6</v>
      </c>
      <c r="G339">
        <v>32</v>
      </c>
      <c r="H339" t="s">
        <v>12</v>
      </c>
      <c r="I339">
        <v>8.9499999999999993</v>
      </c>
      <c r="J339" t="str">
        <f t="shared" si="20"/>
        <v>Oct</v>
      </c>
      <c r="K339">
        <f t="shared" si="21"/>
        <v>2024</v>
      </c>
      <c r="L339">
        <f t="shared" si="22"/>
        <v>771.57949999999994</v>
      </c>
      <c r="M339" t="str">
        <f t="shared" si="23"/>
        <v>Weekend</v>
      </c>
    </row>
    <row r="340" spans="1:13" x14ac:dyDescent="0.35">
      <c r="A340" t="s">
        <v>355</v>
      </c>
      <c r="B340" t="s">
        <v>14</v>
      </c>
      <c r="C340" t="s">
        <v>11</v>
      </c>
      <c r="D340" s="1">
        <v>45364</v>
      </c>
      <c r="E340">
        <v>67.989999999999995</v>
      </c>
      <c r="F340">
        <v>9.1</v>
      </c>
      <c r="G340">
        <v>4</v>
      </c>
      <c r="H340" t="s">
        <v>18</v>
      </c>
      <c r="I340">
        <v>4.3</v>
      </c>
      <c r="J340" t="str">
        <f t="shared" si="20"/>
        <v>Mar</v>
      </c>
      <c r="K340">
        <f t="shared" si="21"/>
        <v>2024</v>
      </c>
      <c r="L340">
        <f t="shared" si="22"/>
        <v>292.35699999999997</v>
      </c>
      <c r="M340" t="str">
        <f t="shared" si="23"/>
        <v>Weekday</v>
      </c>
    </row>
    <row r="341" spans="1:13" x14ac:dyDescent="0.35">
      <c r="A341" t="s">
        <v>356</v>
      </c>
      <c r="B341" t="s">
        <v>14</v>
      </c>
      <c r="C341" t="s">
        <v>11</v>
      </c>
      <c r="D341" s="1">
        <v>45657</v>
      </c>
      <c r="E341">
        <v>18.829999999999998</v>
      </c>
      <c r="F341">
        <v>1.24</v>
      </c>
      <c r="G341">
        <v>85</v>
      </c>
      <c r="H341" t="s">
        <v>12</v>
      </c>
      <c r="I341">
        <v>7.13</v>
      </c>
      <c r="J341" t="str">
        <f t="shared" si="20"/>
        <v>Dec</v>
      </c>
      <c r="K341">
        <f t="shared" si="21"/>
        <v>2024</v>
      </c>
      <c r="L341">
        <f t="shared" si="22"/>
        <v>134.25789999999998</v>
      </c>
      <c r="M341" t="str">
        <f t="shared" si="23"/>
        <v>Weekday</v>
      </c>
    </row>
    <row r="342" spans="1:13" x14ac:dyDescent="0.35">
      <c r="A342" t="s">
        <v>357</v>
      </c>
      <c r="B342" t="s">
        <v>14</v>
      </c>
      <c r="C342" t="s">
        <v>15</v>
      </c>
      <c r="D342" s="1">
        <v>45352</v>
      </c>
      <c r="E342">
        <v>97.76</v>
      </c>
      <c r="F342">
        <v>6</v>
      </c>
      <c r="G342">
        <v>94</v>
      </c>
      <c r="H342" t="s">
        <v>18</v>
      </c>
      <c r="I342">
        <v>7.47</v>
      </c>
      <c r="J342" t="str">
        <f t="shared" si="20"/>
        <v>Mar</v>
      </c>
      <c r="K342">
        <f t="shared" si="21"/>
        <v>2024</v>
      </c>
      <c r="L342">
        <f t="shared" si="22"/>
        <v>730.2672</v>
      </c>
      <c r="M342" t="str">
        <f t="shared" si="23"/>
        <v>Weekday</v>
      </c>
    </row>
    <row r="343" spans="1:13" x14ac:dyDescent="0.35">
      <c r="A343" t="s">
        <v>358</v>
      </c>
      <c r="B343" t="s">
        <v>10</v>
      </c>
      <c r="C343" t="s">
        <v>15</v>
      </c>
      <c r="D343" s="1">
        <v>45625</v>
      </c>
      <c r="E343">
        <v>12.06</v>
      </c>
      <c r="F343">
        <v>7.06</v>
      </c>
      <c r="G343">
        <v>64</v>
      </c>
      <c r="H343" t="s">
        <v>18</v>
      </c>
      <c r="I343">
        <v>3.75</v>
      </c>
      <c r="J343" t="str">
        <f t="shared" si="20"/>
        <v>Nov</v>
      </c>
      <c r="K343">
        <f t="shared" si="21"/>
        <v>2024</v>
      </c>
      <c r="L343">
        <f t="shared" si="22"/>
        <v>45.225000000000001</v>
      </c>
      <c r="M343" t="str">
        <f t="shared" si="23"/>
        <v>Weekday</v>
      </c>
    </row>
    <row r="344" spans="1:13" x14ac:dyDescent="0.35">
      <c r="A344" t="s">
        <v>359</v>
      </c>
      <c r="B344" t="s">
        <v>10</v>
      </c>
      <c r="C344" t="s">
        <v>24</v>
      </c>
      <c r="D344" s="1">
        <v>45381</v>
      </c>
      <c r="E344">
        <v>87.12</v>
      </c>
      <c r="F344">
        <v>9.27</v>
      </c>
      <c r="G344">
        <v>36</v>
      </c>
      <c r="H344" t="s">
        <v>18</v>
      </c>
      <c r="I344">
        <v>3.08</v>
      </c>
      <c r="J344" t="str">
        <f t="shared" si="20"/>
        <v>Mar</v>
      </c>
      <c r="K344">
        <f t="shared" si="21"/>
        <v>2024</v>
      </c>
      <c r="L344">
        <f t="shared" si="22"/>
        <v>268.32960000000003</v>
      </c>
      <c r="M344" t="str">
        <f t="shared" si="23"/>
        <v>Weekend</v>
      </c>
    </row>
    <row r="345" spans="1:13" x14ac:dyDescent="0.35">
      <c r="A345" t="s">
        <v>360</v>
      </c>
      <c r="B345" t="s">
        <v>10</v>
      </c>
      <c r="C345" t="s">
        <v>15</v>
      </c>
      <c r="D345" s="1">
        <v>45654</v>
      </c>
      <c r="E345">
        <v>76.33</v>
      </c>
      <c r="F345">
        <v>4.7300000000000004</v>
      </c>
      <c r="G345">
        <v>120</v>
      </c>
      <c r="H345" t="s">
        <v>12</v>
      </c>
      <c r="I345">
        <v>9.41</v>
      </c>
      <c r="J345" t="str">
        <f t="shared" si="20"/>
        <v>Dec</v>
      </c>
      <c r="K345">
        <f t="shared" si="21"/>
        <v>2024</v>
      </c>
      <c r="L345">
        <f t="shared" si="22"/>
        <v>718.26530000000002</v>
      </c>
      <c r="M345" t="str">
        <f t="shared" si="23"/>
        <v>Weekend</v>
      </c>
    </row>
    <row r="346" spans="1:13" x14ac:dyDescent="0.35">
      <c r="A346" t="s">
        <v>361</v>
      </c>
      <c r="B346" t="s">
        <v>17</v>
      </c>
      <c r="C346" t="s">
        <v>11</v>
      </c>
      <c r="D346" s="1">
        <v>45452</v>
      </c>
      <c r="E346">
        <v>58.27</v>
      </c>
      <c r="F346">
        <v>8.86</v>
      </c>
      <c r="G346">
        <v>16</v>
      </c>
      <c r="H346" t="s">
        <v>18</v>
      </c>
      <c r="I346">
        <v>5.31</v>
      </c>
      <c r="J346" t="str">
        <f t="shared" si="20"/>
        <v>Jun</v>
      </c>
      <c r="K346">
        <f t="shared" si="21"/>
        <v>2024</v>
      </c>
      <c r="L346">
        <f t="shared" si="22"/>
        <v>309.41370000000001</v>
      </c>
      <c r="M346" t="str">
        <f t="shared" si="23"/>
        <v>Weekend</v>
      </c>
    </row>
    <row r="347" spans="1:13" x14ac:dyDescent="0.35">
      <c r="A347" t="s">
        <v>362</v>
      </c>
      <c r="B347" t="s">
        <v>10</v>
      </c>
      <c r="C347" t="s">
        <v>24</v>
      </c>
      <c r="D347" s="1">
        <v>45611</v>
      </c>
      <c r="E347">
        <v>6.92</v>
      </c>
      <c r="F347">
        <v>6.46</v>
      </c>
      <c r="G347">
        <v>25</v>
      </c>
      <c r="H347" t="s">
        <v>18</v>
      </c>
      <c r="I347">
        <v>9.27</v>
      </c>
      <c r="J347" t="str">
        <f t="shared" si="20"/>
        <v>Nov</v>
      </c>
      <c r="K347">
        <f t="shared" si="21"/>
        <v>2024</v>
      </c>
      <c r="L347">
        <f t="shared" si="22"/>
        <v>64.148399999999995</v>
      </c>
      <c r="M347" t="str">
        <f t="shared" si="23"/>
        <v>Weekday</v>
      </c>
    </row>
    <row r="348" spans="1:13" x14ac:dyDescent="0.35">
      <c r="A348" t="s">
        <v>363</v>
      </c>
      <c r="B348" t="s">
        <v>17</v>
      </c>
      <c r="C348" t="s">
        <v>15</v>
      </c>
      <c r="D348" s="1">
        <v>45537</v>
      </c>
      <c r="E348">
        <v>74.3</v>
      </c>
      <c r="F348">
        <v>1.38</v>
      </c>
      <c r="G348">
        <v>24</v>
      </c>
      <c r="H348" t="s">
        <v>12</v>
      </c>
      <c r="I348">
        <v>9.34</v>
      </c>
      <c r="J348" t="str">
        <f t="shared" si="20"/>
        <v>Sep</v>
      </c>
      <c r="K348">
        <f t="shared" si="21"/>
        <v>2024</v>
      </c>
      <c r="L348">
        <f t="shared" si="22"/>
        <v>693.96199999999999</v>
      </c>
      <c r="M348" t="str">
        <f t="shared" si="23"/>
        <v>Weekday</v>
      </c>
    </row>
    <row r="349" spans="1:13" x14ac:dyDescent="0.35">
      <c r="A349" t="s">
        <v>364</v>
      </c>
      <c r="B349" t="s">
        <v>17</v>
      </c>
      <c r="C349" t="s">
        <v>24</v>
      </c>
      <c r="D349" s="1">
        <v>45511</v>
      </c>
      <c r="E349">
        <v>35</v>
      </c>
      <c r="F349">
        <v>8.9700000000000006</v>
      </c>
      <c r="G349">
        <v>110</v>
      </c>
      <c r="H349" t="s">
        <v>18</v>
      </c>
      <c r="I349">
        <v>7.76</v>
      </c>
      <c r="J349" t="str">
        <f t="shared" si="20"/>
        <v>Aug</v>
      </c>
      <c r="K349">
        <f t="shared" si="21"/>
        <v>2024</v>
      </c>
      <c r="L349">
        <f t="shared" si="22"/>
        <v>271.59999999999997</v>
      </c>
      <c r="M349" t="str">
        <f t="shared" si="23"/>
        <v>Weekday</v>
      </c>
    </row>
    <row r="350" spans="1:13" x14ac:dyDescent="0.35">
      <c r="A350" t="s">
        <v>365</v>
      </c>
      <c r="B350" t="s">
        <v>17</v>
      </c>
      <c r="C350" t="s">
        <v>15</v>
      </c>
      <c r="D350" s="1">
        <v>45370</v>
      </c>
      <c r="E350">
        <v>51.42</v>
      </c>
      <c r="F350">
        <v>2.81</v>
      </c>
      <c r="G350">
        <v>102</v>
      </c>
      <c r="H350" t="s">
        <v>12</v>
      </c>
      <c r="I350">
        <v>4.84</v>
      </c>
      <c r="J350" t="str">
        <f t="shared" si="20"/>
        <v>Mar</v>
      </c>
      <c r="K350">
        <f t="shared" si="21"/>
        <v>2024</v>
      </c>
      <c r="L350">
        <f t="shared" si="22"/>
        <v>248.87280000000001</v>
      </c>
      <c r="M350" t="str">
        <f t="shared" si="23"/>
        <v>Weekday</v>
      </c>
    </row>
    <row r="351" spans="1:13" x14ac:dyDescent="0.35">
      <c r="A351" t="s">
        <v>366</v>
      </c>
      <c r="B351" t="s">
        <v>14</v>
      </c>
      <c r="C351" t="s">
        <v>24</v>
      </c>
      <c r="D351" s="1">
        <v>45482</v>
      </c>
      <c r="E351">
        <v>53.41</v>
      </c>
      <c r="F351">
        <v>3.81</v>
      </c>
      <c r="G351">
        <v>17</v>
      </c>
      <c r="H351" t="s">
        <v>18</v>
      </c>
      <c r="I351">
        <v>9.3000000000000007</v>
      </c>
      <c r="J351" t="str">
        <f t="shared" si="20"/>
        <v>Jul</v>
      </c>
      <c r="K351">
        <f t="shared" si="21"/>
        <v>2024</v>
      </c>
      <c r="L351">
        <f t="shared" si="22"/>
        <v>496.71300000000002</v>
      </c>
      <c r="M351" t="str">
        <f t="shared" si="23"/>
        <v>Weekday</v>
      </c>
    </row>
    <row r="352" spans="1:13" x14ac:dyDescent="0.35">
      <c r="A352" t="s">
        <v>367</v>
      </c>
      <c r="B352" t="s">
        <v>10</v>
      </c>
      <c r="C352" t="s">
        <v>15</v>
      </c>
      <c r="D352" s="1">
        <v>45388</v>
      </c>
      <c r="E352">
        <v>93.08</v>
      </c>
      <c r="F352">
        <v>6.81</v>
      </c>
      <c r="G352">
        <v>96</v>
      </c>
      <c r="H352" t="s">
        <v>12</v>
      </c>
      <c r="I352">
        <v>9.18</v>
      </c>
      <c r="J352" t="str">
        <f t="shared" si="20"/>
        <v>Apr</v>
      </c>
      <c r="K352">
        <f t="shared" si="21"/>
        <v>2024</v>
      </c>
      <c r="L352">
        <f t="shared" si="22"/>
        <v>854.47439999999995</v>
      </c>
      <c r="M352" t="str">
        <f t="shared" si="23"/>
        <v>Weekend</v>
      </c>
    </row>
    <row r="353" spans="1:13" x14ac:dyDescent="0.35">
      <c r="A353" t="s">
        <v>368</v>
      </c>
      <c r="B353" t="s">
        <v>14</v>
      </c>
      <c r="C353" t="s">
        <v>11</v>
      </c>
      <c r="D353" s="1">
        <v>45539</v>
      </c>
      <c r="E353">
        <v>16.59</v>
      </c>
      <c r="F353">
        <v>1.89</v>
      </c>
      <c r="G353">
        <v>35</v>
      </c>
      <c r="H353" t="s">
        <v>12</v>
      </c>
      <c r="I353">
        <v>5.1100000000000003</v>
      </c>
      <c r="J353" t="str">
        <f t="shared" si="20"/>
        <v>Sep</v>
      </c>
      <c r="K353">
        <f t="shared" si="21"/>
        <v>2024</v>
      </c>
      <c r="L353">
        <f t="shared" si="22"/>
        <v>84.774900000000002</v>
      </c>
      <c r="M353" t="str">
        <f t="shared" si="23"/>
        <v>Weekday</v>
      </c>
    </row>
    <row r="354" spans="1:13" x14ac:dyDescent="0.35">
      <c r="A354" t="s">
        <v>369</v>
      </c>
      <c r="B354" t="s">
        <v>14</v>
      </c>
      <c r="C354" t="s">
        <v>24</v>
      </c>
      <c r="D354" s="1">
        <v>45624</v>
      </c>
      <c r="E354">
        <v>14.55</v>
      </c>
      <c r="F354">
        <v>9.15</v>
      </c>
      <c r="G354">
        <v>94</v>
      </c>
      <c r="H354" t="s">
        <v>12</v>
      </c>
      <c r="I354">
        <v>5.78</v>
      </c>
      <c r="J354" t="str">
        <f t="shared" si="20"/>
        <v>Nov</v>
      </c>
      <c r="K354">
        <f t="shared" si="21"/>
        <v>2024</v>
      </c>
      <c r="L354">
        <f t="shared" si="22"/>
        <v>84.099000000000004</v>
      </c>
      <c r="M354" t="str">
        <f t="shared" si="23"/>
        <v>Weekday</v>
      </c>
    </row>
    <row r="355" spans="1:13" x14ac:dyDescent="0.35">
      <c r="A355" t="s">
        <v>370</v>
      </c>
      <c r="B355" t="s">
        <v>10</v>
      </c>
      <c r="C355" t="s">
        <v>15</v>
      </c>
      <c r="D355" s="1">
        <v>45416</v>
      </c>
      <c r="E355">
        <v>17.63</v>
      </c>
      <c r="F355">
        <v>2.16</v>
      </c>
      <c r="G355">
        <v>92</v>
      </c>
      <c r="H355" t="s">
        <v>12</v>
      </c>
      <c r="I355">
        <v>4.75</v>
      </c>
      <c r="J355" t="str">
        <f t="shared" si="20"/>
        <v>May</v>
      </c>
      <c r="K355">
        <f t="shared" si="21"/>
        <v>2024</v>
      </c>
      <c r="L355">
        <f t="shared" si="22"/>
        <v>83.742499999999993</v>
      </c>
      <c r="M355" t="str">
        <f t="shared" si="23"/>
        <v>Weekend</v>
      </c>
    </row>
    <row r="356" spans="1:13" x14ac:dyDescent="0.35">
      <c r="A356" t="s">
        <v>371</v>
      </c>
      <c r="B356" t="s">
        <v>17</v>
      </c>
      <c r="C356" t="s">
        <v>24</v>
      </c>
      <c r="D356" s="1">
        <v>45406</v>
      </c>
      <c r="E356">
        <v>46.2</v>
      </c>
      <c r="F356">
        <v>1.29</v>
      </c>
      <c r="G356">
        <v>74</v>
      </c>
      <c r="H356" t="s">
        <v>18</v>
      </c>
      <c r="I356">
        <v>8.8800000000000008</v>
      </c>
      <c r="J356" t="str">
        <f t="shared" si="20"/>
        <v>Apr</v>
      </c>
      <c r="K356">
        <f t="shared" si="21"/>
        <v>2024</v>
      </c>
      <c r="L356">
        <f t="shared" si="22"/>
        <v>410.25600000000009</v>
      </c>
      <c r="M356" t="str">
        <f t="shared" si="23"/>
        <v>Weekday</v>
      </c>
    </row>
    <row r="357" spans="1:13" x14ac:dyDescent="0.35">
      <c r="A357" t="s">
        <v>372</v>
      </c>
      <c r="B357" t="s">
        <v>14</v>
      </c>
      <c r="C357" t="s">
        <v>15</v>
      </c>
      <c r="D357" s="1">
        <v>45652</v>
      </c>
      <c r="E357">
        <v>65.17</v>
      </c>
      <c r="F357">
        <v>1.25</v>
      </c>
      <c r="G357">
        <v>94</v>
      </c>
      <c r="H357" t="s">
        <v>18</v>
      </c>
      <c r="I357">
        <v>9.94</v>
      </c>
      <c r="J357" t="str">
        <f t="shared" si="20"/>
        <v>Dec</v>
      </c>
      <c r="K357">
        <f t="shared" si="21"/>
        <v>2024</v>
      </c>
      <c r="L357">
        <f t="shared" si="22"/>
        <v>647.78980000000001</v>
      </c>
      <c r="M357" t="str">
        <f t="shared" si="23"/>
        <v>Weekday</v>
      </c>
    </row>
    <row r="358" spans="1:13" x14ac:dyDescent="0.35">
      <c r="A358" t="s">
        <v>373</v>
      </c>
      <c r="B358" t="s">
        <v>14</v>
      </c>
      <c r="C358" t="s">
        <v>15</v>
      </c>
      <c r="D358" s="1">
        <v>45459</v>
      </c>
      <c r="E358">
        <v>94.28</v>
      </c>
      <c r="F358">
        <v>5.33</v>
      </c>
      <c r="G358">
        <v>68</v>
      </c>
      <c r="H358" t="s">
        <v>18</v>
      </c>
      <c r="I358">
        <v>4.1900000000000004</v>
      </c>
      <c r="J358" t="str">
        <f t="shared" si="20"/>
        <v>Jun</v>
      </c>
      <c r="K358">
        <f t="shared" si="21"/>
        <v>2024</v>
      </c>
      <c r="L358">
        <f t="shared" si="22"/>
        <v>395.03320000000002</v>
      </c>
      <c r="M358" t="str">
        <f t="shared" si="23"/>
        <v>Weekend</v>
      </c>
    </row>
    <row r="359" spans="1:13" x14ac:dyDescent="0.35">
      <c r="A359" t="s">
        <v>374</v>
      </c>
      <c r="B359" t="s">
        <v>17</v>
      </c>
      <c r="C359" t="s">
        <v>24</v>
      </c>
      <c r="D359" s="1">
        <v>45457</v>
      </c>
      <c r="E359">
        <v>38.799999999999997</v>
      </c>
      <c r="F359">
        <v>8.82</v>
      </c>
      <c r="G359">
        <v>38</v>
      </c>
      <c r="H359" t="s">
        <v>12</v>
      </c>
      <c r="I359">
        <v>5.89</v>
      </c>
      <c r="J359" t="str">
        <f t="shared" si="20"/>
        <v>Jun</v>
      </c>
      <c r="K359">
        <f t="shared" si="21"/>
        <v>2024</v>
      </c>
      <c r="L359">
        <f t="shared" si="22"/>
        <v>228.53199999999998</v>
      </c>
      <c r="M359" t="str">
        <f t="shared" si="23"/>
        <v>Weekday</v>
      </c>
    </row>
    <row r="360" spans="1:13" x14ac:dyDescent="0.35">
      <c r="A360" t="s">
        <v>375</v>
      </c>
      <c r="B360" t="s">
        <v>10</v>
      </c>
      <c r="C360" t="s">
        <v>15</v>
      </c>
      <c r="D360" s="1">
        <v>45294</v>
      </c>
      <c r="E360">
        <v>69.3</v>
      </c>
      <c r="F360">
        <v>6.1</v>
      </c>
      <c r="G360">
        <v>1</v>
      </c>
      <c r="H360" t="s">
        <v>18</v>
      </c>
      <c r="I360">
        <v>3.76</v>
      </c>
      <c r="J360" t="str">
        <f t="shared" si="20"/>
        <v>Jan</v>
      </c>
      <c r="K360">
        <f t="shared" si="21"/>
        <v>2024</v>
      </c>
      <c r="L360">
        <f t="shared" si="22"/>
        <v>260.56799999999998</v>
      </c>
      <c r="M360" t="str">
        <f t="shared" si="23"/>
        <v>Weekday</v>
      </c>
    </row>
    <row r="361" spans="1:13" x14ac:dyDescent="0.35">
      <c r="A361" t="s">
        <v>376</v>
      </c>
      <c r="B361" t="s">
        <v>17</v>
      </c>
      <c r="C361" t="s">
        <v>11</v>
      </c>
      <c r="D361" s="1">
        <v>45384</v>
      </c>
      <c r="E361">
        <v>58.52</v>
      </c>
      <c r="F361">
        <v>3.95</v>
      </c>
      <c r="G361">
        <v>88</v>
      </c>
      <c r="H361" t="s">
        <v>12</v>
      </c>
      <c r="I361">
        <v>4.4000000000000004</v>
      </c>
      <c r="J361" t="str">
        <f t="shared" si="20"/>
        <v>Apr</v>
      </c>
      <c r="K361">
        <f t="shared" si="21"/>
        <v>2024</v>
      </c>
      <c r="L361">
        <f t="shared" si="22"/>
        <v>257.48800000000006</v>
      </c>
      <c r="M361" t="str">
        <f t="shared" si="23"/>
        <v>Weekday</v>
      </c>
    </row>
    <row r="362" spans="1:13" x14ac:dyDescent="0.35">
      <c r="A362" t="s">
        <v>377</v>
      </c>
      <c r="B362" t="s">
        <v>17</v>
      </c>
      <c r="C362" t="s">
        <v>24</v>
      </c>
      <c r="D362" s="1">
        <v>45335</v>
      </c>
      <c r="E362">
        <v>16.239999999999998</v>
      </c>
      <c r="F362">
        <v>6.97</v>
      </c>
      <c r="G362">
        <v>10</v>
      </c>
      <c r="H362" t="s">
        <v>18</v>
      </c>
      <c r="I362">
        <v>6.02</v>
      </c>
      <c r="J362" t="str">
        <f t="shared" si="20"/>
        <v>Feb</v>
      </c>
      <c r="K362">
        <f t="shared" si="21"/>
        <v>2024</v>
      </c>
      <c r="L362">
        <f t="shared" si="22"/>
        <v>97.76479999999998</v>
      </c>
      <c r="M362" t="str">
        <f t="shared" si="23"/>
        <v>Weekday</v>
      </c>
    </row>
    <row r="363" spans="1:13" x14ac:dyDescent="0.35">
      <c r="A363" t="s">
        <v>378</v>
      </c>
      <c r="B363" t="s">
        <v>17</v>
      </c>
      <c r="C363" t="s">
        <v>11</v>
      </c>
      <c r="D363" s="1">
        <v>45431</v>
      </c>
      <c r="E363">
        <v>84.65</v>
      </c>
      <c r="F363">
        <v>2.94</v>
      </c>
      <c r="G363">
        <v>12</v>
      </c>
      <c r="H363" t="s">
        <v>18</v>
      </c>
      <c r="I363">
        <v>7.08</v>
      </c>
      <c r="J363" t="str">
        <f t="shared" si="20"/>
        <v>May</v>
      </c>
      <c r="K363">
        <f t="shared" si="21"/>
        <v>2024</v>
      </c>
      <c r="L363">
        <f t="shared" si="22"/>
        <v>599.322</v>
      </c>
      <c r="M363" t="str">
        <f t="shared" si="23"/>
        <v>Weekend</v>
      </c>
    </row>
    <row r="364" spans="1:13" x14ac:dyDescent="0.35">
      <c r="A364" t="s">
        <v>379</v>
      </c>
      <c r="B364" t="s">
        <v>17</v>
      </c>
      <c r="C364" t="s">
        <v>24</v>
      </c>
      <c r="D364" s="1">
        <v>45590</v>
      </c>
      <c r="E364">
        <v>84.06</v>
      </c>
      <c r="F364">
        <v>8.85</v>
      </c>
      <c r="G364">
        <v>73</v>
      </c>
      <c r="H364" t="s">
        <v>18</v>
      </c>
      <c r="I364">
        <v>3.66</v>
      </c>
      <c r="J364" t="str">
        <f t="shared" si="20"/>
        <v>Oct</v>
      </c>
      <c r="K364">
        <f t="shared" si="21"/>
        <v>2024</v>
      </c>
      <c r="L364">
        <f t="shared" si="22"/>
        <v>307.65960000000001</v>
      </c>
      <c r="M364" t="str">
        <f t="shared" si="23"/>
        <v>Weekday</v>
      </c>
    </row>
    <row r="365" spans="1:13" x14ac:dyDescent="0.35">
      <c r="A365" t="s">
        <v>380</v>
      </c>
      <c r="B365" t="s">
        <v>14</v>
      </c>
      <c r="C365" t="s">
        <v>15</v>
      </c>
      <c r="D365" s="1">
        <v>45501</v>
      </c>
      <c r="E365">
        <v>18.48</v>
      </c>
      <c r="F365">
        <v>9.18</v>
      </c>
      <c r="G365">
        <v>39</v>
      </c>
      <c r="H365" t="s">
        <v>12</v>
      </c>
      <c r="I365">
        <v>4.9400000000000004</v>
      </c>
      <c r="J365" t="str">
        <f t="shared" si="20"/>
        <v>Jul</v>
      </c>
      <c r="K365">
        <f t="shared" si="21"/>
        <v>2024</v>
      </c>
      <c r="L365">
        <f t="shared" si="22"/>
        <v>91.291200000000003</v>
      </c>
      <c r="M365" t="str">
        <f t="shared" si="23"/>
        <v>Weekend</v>
      </c>
    </row>
    <row r="366" spans="1:13" x14ac:dyDescent="0.35">
      <c r="A366" t="s">
        <v>381</v>
      </c>
      <c r="B366" t="s">
        <v>14</v>
      </c>
      <c r="C366" t="s">
        <v>24</v>
      </c>
      <c r="D366" s="1">
        <v>45365</v>
      </c>
      <c r="E366">
        <v>78.02</v>
      </c>
      <c r="F366">
        <v>6.6</v>
      </c>
      <c r="G366">
        <v>38</v>
      </c>
      <c r="H366" t="s">
        <v>12</v>
      </c>
      <c r="I366">
        <v>6.71</v>
      </c>
      <c r="J366" t="str">
        <f t="shared" si="20"/>
        <v>Mar</v>
      </c>
      <c r="K366">
        <f t="shared" si="21"/>
        <v>2024</v>
      </c>
      <c r="L366">
        <f t="shared" si="22"/>
        <v>523.51419999999996</v>
      </c>
      <c r="M366" t="str">
        <f t="shared" si="23"/>
        <v>Weekday</v>
      </c>
    </row>
    <row r="367" spans="1:13" x14ac:dyDescent="0.35">
      <c r="A367" t="s">
        <v>382</v>
      </c>
      <c r="B367" t="s">
        <v>17</v>
      </c>
      <c r="C367" t="s">
        <v>11</v>
      </c>
      <c r="D367" s="1">
        <v>45393</v>
      </c>
      <c r="E367">
        <v>88.87</v>
      </c>
      <c r="F367">
        <v>8.69</v>
      </c>
      <c r="G367">
        <v>70</v>
      </c>
      <c r="H367" t="s">
        <v>12</v>
      </c>
      <c r="I367">
        <v>6.62</v>
      </c>
      <c r="J367" t="str">
        <f t="shared" si="20"/>
        <v>Apr</v>
      </c>
      <c r="K367">
        <f t="shared" si="21"/>
        <v>2024</v>
      </c>
      <c r="L367">
        <f t="shared" si="22"/>
        <v>588.31940000000009</v>
      </c>
      <c r="M367" t="str">
        <f t="shared" si="23"/>
        <v>Weekday</v>
      </c>
    </row>
    <row r="368" spans="1:13" x14ac:dyDescent="0.35">
      <c r="A368" t="s">
        <v>383</v>
      </c>
      <c r="B368" t="s">
        <v>14</v>
      </c>
      <c r="C368" t="s">
        <v>24</v>
      </c>
      <c r="D368" s="1">
        <v>45591</v>
      </c>
      <c r="E368">
        <v>78.77</v>
      </c>
      <c r="F368">
        <v>6.65</v>
      </c>
      <c r="G368">
        <v>114</v>
      </c>
      <c r="H368" t="s">
        <v>18</v>
      </c>
      <c r="I368">
        <v>3.55</v>
      </c>
      <c r="J368" t="str">
        <f t="shared" si="20"/>
        <v>Oct</v>
      </c>
      <c r="K368">
        <f t="shared" si="21"/>
        <v>2024</v>
      </c>
      <c r="L368">
        <f t="shared" si="22"/>
        <v>279.63349999999997</v>
      </c>
      <c r="M368" t="str">
        <f t="shared" si="23"/>
        <v>Weekend</v>
      </c>
    </row>
    <row r="369" spans="1:13" x14ac:dyDescent="0.35">
      <c r="A369" t="s">
        <v>384</v>
      </c>
      <c r="B369" t="s">
        <v>10</v>
      </c>
      <c r="C369" t="s">
        <v>24</v>
      </c>
      <c r="D369" s="1">
        <v>45477</v>
      </c>
      <c r="E369">
        <v>65.55</v>
      </c>
      <c r="F369">
        <v>7.89</v>
      </c>
      <c r="G369">
        <v>65</v>
      </c>
      <c r="H369" t="s">
        <v>12</v>
      </c>
      <c r="I369">
        <v>7.39</v>
      </c>
      <c r="J369" t="str">
        <f t="shared" si="20"/>
        <v>Jul</v>
      </c>
      <c r="K369">
        <f t="shared" si="21"/>
        <v>2024</v>
      </c>
      <c r="L369">
        <f t="shared" si="22"/>
        <v>484.41449999999998</v>
      </c>
      <c r="M369" t="str">
        <f t="shared" si="23"/>
        <v>Weekday</v>
      </c>
    </row>
    <row r="370" spans="1:13" x14ac:dyDescent="0.35">
      <c r="A370" t="s">
        <v>385</v>
      </c>
      <c r="B370" t="s">
        <v>14</v>
      </c>
      <c r="C370" t="s">
        <v>11</v>
      </c>
      <c r="D370" s="1">
        <v>45566</v>
      </c>
      <c r="E370">
        <v>44.1</v>
      </c>
      <c r="F370">
        <v>1.22</v>
      </c>
      <c r="G370">
        <v>108</v>
      </c>
      <c r="H370" t="s">
        <v>12</v>
      </c>
      <c r="I370">
        <v>8.94</v>
      </c>
      <c r="J370" t="str">
        <f t="shared" si="20"/>
        <v>Oct</v>
      </c>
      <c r="K370">
        <f t="shared" si="21"/>
        <v>2024</v>
      </c>
      <c r="L370">
        <f t="shared" si="22"/>
        <v>394.25400000000002</v>
      </c>
      <c r="M370" t="str">
        <f t="shared" si="23"/>
        <v>Weekday</v>
      </c>
    </row>
    <row r="371" spans="1:13" x14ac:dyDescent="0.35">
      <c r="A371" t="s">
        <v>386</v>
      </c>
      <c r="B371" t="s">
        <v>17</v>
      </c>
      <c r="C371" t="s">
        <v>11</v>
      </c>
      <c r="D371" s="1">
        <v>45349</v>
      </c>
      <c r="E371">
        <v>96.03</v>
      </c>
      <c r="F371">
        <v>2.4500000000000002</v>
      </c>
      <c r="G371">
        <v>14</v>
      </c>
      <c r="H371" t="s">
        <v>12</v>
      </c>
      <c r="I371">
        <v>6.17</v>
      </c>
      <c r="J371" t="str">
        <f t="shared" si="20"/>
        <v>Feb</v>
      </c>
      <c r="K371">
        <f t="shared" si="21"/>
        <v>2024</v>
      </c>
      <c r="L371">
        <f t="shared" si="22"/>
        <v>592.50509999999997</v>
      </c>
      <c r="M371" t="str">
        <f t="shared" si="23"/>
        <v>Weekday</v>
      </c>
    </row>
    <row r="372" spans="1:13" x14ac:dyDescent="0.35">
      <c r="A372" t="s">
        <v>387</v>
      </c>
      <c r="B372" t="s">
        <v>10</v>
      </c>
      <c r="C372" t="s">
        <v>24</v>
      </c>
      <c r="D372" s="1">
        <v>45349</v>
      </c>
      <c r="E372">
        <v>19.309999999999999</v>
      </c>
      <c r="F372">
        <v>8.5</v>
      </c>
      <c r="G372">
        <v>93</v>
      </c>
      <c r="H372" t="s">
        <v>18</v>
      </c>
      <c r="I372">
        <v>9.69</v>
      </c>
      <c r="J372" t="str">
        <f t="shared" si="20"/>
        <v>Feb</v>
      </c>
      <c r="K372">
        <f t="shared" si="21"/>
        <v>2024</v>
      </c>
      <c r="L372">
        <f t="shared" si="22"/>
        <v>187.11389999999997</v>
      </c>
      <c r="M372" t="str">
        <f t="shared" si="23"/>
        <v>Weekday</v>
      </c>
    </row>
    <row r="373" spans="1:13" x14ac:dyDescent="0.35">
      <c r="A373" t="s">
        <v>388</v>
      </c>
      <c r="B373" t="s">
        <v>10</v>
      </c>
      <c r="C373" t="s">
        <v>24</v>
      </c>
      <c r="D373" s="1">
        <v>45607</v>
      </c>
      <c r="E373">
        <v>87.92</v>
      </c>
      <c r="F373">
        <v>6.32</v>
      </c>
      <c r="G373">
        <v>43</v>
      </c>
      <c r="H373" t="s">
        <v>12</v>
      </c>
      <c r="I373">
        <v>5.7</v>
      </c>
      <c r="J373" t="str">
        <f t="shared" si="20"/>
        <v>Nov</v>
      </c>
      <c r="K373">
        <f t="shared" si="21"/>
        <v>2024</v>
      </c>
      <c r="L373">
        <f t="shared" si="22"/>
        <v>501.14400000000001</v>
      </c>
      <c r="M373" t="str">
        <f t="shared" si="23"/>
        <v>Weekday</v>
      </c>
    </row>
    <row r="374" spans="1:13" x14ac:dyDescent="0.35">
      <c r="A374" t="s">
        <v>389</v>
      </c>
      <c r="B374" t="s">
        <v>14</v>
      </c>
      <c r="C374" t="s">
        <v>11</v>
      </c>
      <c r="D374" s="1">
        <v>45455</v>
      </c>
      <c r="E374">
        <v>86.46</v>
      </c>
      <c r="F374">
        <v>5.9</v>
      </c>
      <c r="G374">
        <v>42</v>
      </c>
      <c r="H374" t="s">
        <v>18</v>
      </c>
      <c r="I374">
        <v>6.26</v>
      </c>
      <c r="J374" t="str">
        <f t="shared" si="20"/>
        <v>Jun</v>
      </c>
      <c r="K374">
        <f t="shared" si="21"/>
        <v>2024</v>
      </c>
      <c r="L374">
        <f t="shared" si="22"/>
        <v>541.2396</v>
      </c>
      <c r="M374" t="str">
        <f t="shared" si="23"/>
        <v>Weekday</v>
      </c>
    </row>
    <row r="375" spans="1:13" x14ac:dyDescent="0.35">
      <c r="A375" t="s">
        <v>390</v>
      </c>
      <c r="B375" t="s">
        <v>10</v>
      </c>
      <c r="C375" t="s">
        <v>15</v>
      </c>
      <c r="D375" s="1">
        <v>45417</v>
      </c>
      <c r="E375">
        <v>39.479999999999997</v>
      </c>
      <c r="F375">
        <v>3.46</v>
      </c>
      <c r="G375">
        <v>37</v>
      </c>
      <c r="H375" t="s">
        <v>12</v>
      </c>
      <c r="I375">
        <v>9.99</v>
      </c>
      <c r="J375" t="str">
        <f t="shared" si="20"/>
        <v>May</v>
      </c>
      <c r="K375">
        <f t="shared" si="21"/>
        <v>2024</v>
      </c>
      <c r="L375">
        <f t="shared" si="22"/>
        <v>394.40519999999998</v>
      </c>
      <c r="M375" t="str">
        <f t="shared" si="23"/>
        <v>Weekend</v>
      </c>
    </row>
    <row r="376" spans="1:13" x14ac:dyDescent="0.35">
      <c r="A376" t="s">
        <v>391</v>
      </c>
      <c r="B376" t="s">
        <v>10</v>
      </c>
      <c r="C376" t="s">
        <v>11</v>
      </c>
      <c r="D376" s="1">
        <v>45426</v>
      </c>
      <c r="E376">
        <v>54.16</v>
      </c>
      <c r="F376">
        <v>4.08</v>
      </c>
      <c r="G376">
        <v>62</v>
      </c>
      <c r="H376" t="s">
        <v>18</v>
      </c>
      <c r="I376">
        <v>6.44</v>
      </c>
      <c r="J376" t="str">
        <f t="shared" si="20"/>
        <v>May</v>
      </c>
      <c r="K376">
        <f t="shared" si="21"/>
        <v>2024</v>
      </c>
      <c r="L376">
        <f t="shared" si="22"/>
        <v>348.79039999999998</v>
      </c>
      <c r="M376" t="str">
        <f t="shared" si="23"/>
        <v>Weekday</v>
      </c>
    </row>
    <row r="377" spans="1:13" x14ac:dyDescent="0.35">
      <c r="A377" t="s">
        <v>392</v>
      </c>
      <c r="B377" t="s">
        <v>17</v>
      </c>
      <c r="C377" t="s">
        <v>24</v>
      </c>
      <c r="D377" s="1">
        <v>45568</v>
      </c>
      <c r="E377">
        <v>6.46</v>
      </c>
      <c r="F377">
        <v>4.41</v>
      </c>
      <c r="G377">
        <v>111</v>
      </c>
      <c r="H377" t="s">
        <v>18</v>
      </c>
      <c r="I377">
        <v>6.79</v>
      </c>
      <c r="J377" t="str">
        <f t="shared" si="20"/>
        <v>Oct</v>
      </c>
      <c r="K377">
        <f t="shared" si="21"/>
        <v>2024</v>
      </c>
      <c r="L377">
        <f t="shared" si="22"/>
        <v>43.863399999999999</v>
      </c>
      <c r="M377" t="str">
        <f t="shared" si="23"/>
        <v>Weekday</v>
      </c>
    </row>
    <row r="378" spans="1:13" x14ac:dyDescent="0.35">
      <c r="A378" t="s">
        <v>393</v>
      </c>
      <c r="B378" t="s">
        <v>14</v>
      </c>
      <c r="C378" t="s">
        <v>15</v>
      </c>
      <c r="D378" s="1">
        <v>45636</v>
      </c>
      <c r="E378">
        <v>91.27</v>
      </c>
      <c r="F378">
        <v>1.26</v>
      </c>
      <c r="G378">
        <v>57</v>
      </c>
      <c r="H378" t="s">
        <v>12</v>
      </c>
      <c r="I378">
        <v>7.02</v>
      </c>
      <c r="J378" t="str">
        <f t="shared" si="20"/>
        <v>Dec</v>
      </c>
      <c r="K378">
        <f t="shared" si="21"/>
        <v>2024</v>
      </c>
      <c r="L378">
        <f t="shared" si="22"/>
        <v>640.71539999999993</v>
      </c>
      <c r="M378" t="str">
        <f t="shared" si="23"/>
        <v>Weekday</v>
      </c>
    </row>
    <row r="379" spans="1:13" x14ac:dyDescent="0.35">
      <c r="A379" t="s">
        <v>394</v>
      </c>
      <c r="B379" t="s">
        <v>14</v>
      </c>
      <c r="C379" t="s">
        <v>24</v>
      </c>
      <c r="D379" s="1">
        <v>45388</v>
      </c>
      <c r="E379">
        <v>66.22</v>
      </c>
      <c r="F379">
        <v>2.6</v>
      </c>
      <c r="G379">
        <v>50</v>
      </c>
      <c r="H379" t="s">
        <v>12</v>
      </c>
      <c r="I379">
        <v>9.6</v>
      </c>
      <c r="J379" t="str">
        <f t="shared" si="20"/>
        <v>Apr</v>
      </c>
      <c r="K379">
        <f t="shared" si="21"/>
        <v>2024</v>
      </c>
      <c r="L379">
        <f t="shared" si="22"/>
        <v>635.71199999999999</v>
      </c>
      <c r="M379" t="str">
        <f t="shared" si="23"/>
        <v>Weekend</v>
      </c>
    </row>
    <row r="380" spans="1:13" x14ac:dyDescent="0.35">
      <c r="A380" t="s">
        <v>395</v>
      </c>
      <c r="B380" t="s">
        <v>17</v>
      </c>
      <c r="C380" t="s">
        <v>11</v>
      </c>
      <c r="D380" s="1">
        <v>45640</v>
      </c>
      <c r="E380">
        <v>89.74</v>
      </c>
      <c r="F380">
        <v>9.82</v>
      </c>
      <c r="G380">
        <v>99</v>
      </c>
      <c r="H380" t="s">
        <v>18</v>
      </c>
      <c r="I380">
        <v>4.78</v>
      </c>
      <c r="J380" t="str">
        <f t="shared" si="20"/>
        <v>Dec</v>
      </c>
      <c r="K380">
        <f t="shared" si="21"/>
        <v>2024</v>
      </c>
      <c r="L380">
        <f t="shared" si="22"/>
        <v>428.9572</v>
      </c>
      <c r="M380" t="str">
        <f t="shared" si="23"/>
        <v>Weekend</v>
      </c>
    </row>
    <row r="381" spans="1:13" x14ac:dyDescent="0.35">
      <c r="A381" t="s">
        <v>396</v>
      </c>
      <c r="B381" t="s">
        <v>10</v>
      </c>
      <c r="C381" t="s">
        <v>11</v>
      </c>
      <c r="D381" s="1">
        <v>45570</v>
      </c>
      <c r="E381">
        <v>53.9</v>
      </c>
      <c r="F381">
        <v>6.01</v>
      </c>
      <c r="G381">
        <v>64</v>
      </c>
      <c r="H381" t="s">
        <v>18</v>
      </c>
      <c r="I381">
        <v>4.68</v>
      </c>
      <c r="J381" t="str">
        <f t="shared" si="20"/>
        <v>Oct</v>
      </c>
      <c r="K381">
        <f t="shared" si="21"/>
        <v>2024</v>
      </c>
      <c r="L381">
        <f t="shared" si="22"/>
        <v>252.25199999999998</v>
      </c>
      <c r="M381" t="str">
        <f t="shared" si="23"/>
        <v>Weekend</v>
      </c>
    </row>
    <row r="382" spans="1:13" x14ac:dyDescent="0.35">
      <c r="A382" t="s">
        <v>397</v>
      </c>
      <c r="B382" t="s">
        <v>14</v>
      </c>
      <c r="C382" t="s">
        <v>15</v>
      </c>
      <c r="D382" s="1">
        <v>45545</v>
      </c>
      <c r="E382">
        <v>71.91</v>
      </c>
      <c r="F382">
        <v>8.9700000000000006</v>
      </c>
      <c r="G382">
        <v>76</v>
      </c>
      <c r="H382" t="s">
        <v>12</v>
      </c>
      <c r="I382">
        <v>3.39</v>
      </c>
      <c r="J382" t="str">
        <f t="shared" si="20"/>
        <v>Sep</v>
      </c>
      <c r="K382">
        <f t="shared" si="21"/>
        <v>2024</v>
      </c>
      <c r="L382">
        <f t="shared" si="22"/>
        <v>243.7749</v>
      </c>
      <c r="M382" t="str">
        <f t="shared" si="23"/>
        <v>Weekday</v>
      </c>
    </row>
    <row r="383" spans="1:13" x14ac:dyDescent="0.35">
      <c r="A383" t="s">
        <v>398</v>
      </c>
      <c r="B383" t="s">
        <v>10</v>
      </c>
      <c r="C383" t="s">
        <v>11</v>
      </c>
      <c r="D383" s="1">
        <v>45595</v>
      </c>
      <c r="E383">
        <v>5.31</v>
      </c>
      <c r="F383">
        <v>3.91</v>
      </c>
      <c r="G383">
        <v>43</v>
      </c>
      <c r="H383" t="s">
        <v>18</v>
      </c>
      <c r="I383">
        <v>9.4700000000000006</v>
      </c>
      <c r="J383" t="str">
        <f t="shared" si="20"/>
        <v>Oct</v>
      </c>
      <c r="K383">
        <f t="shared" si="21"/>
        <v>2024</v>
      </c>
      <c r="L383">
        <f t="shared" si="22"/>
        <v>50.285699999999999</v>
      </c>
      <c r="M383" t="str">
        <f t="shared" si="23"/>
        <v>Weekday</v>
      </c>
    </row>
    <row r="384" spans="1:13" x14ac:dyDescent="0.35">
      <c r="A384" t="s">
        <v>399</v>
      </c>
      <c r="B384" t="s">
        <v>14</v>
      </c>
      <c r="C384" t="s">
        <v>24</v>
      </c>
      <c r="D384" s="1">
        <v>45494</v>
      </c>
      <c r="E384">
        <v>77.180000000000007</v>
      </c>
      <c r="F384">
        <v>5.86</v>
      </c>
      <c r="G384">
        <v>98</v>
      </c>
      <c r="H384" t="s">
        <v>18</v>
      </c>
      <c r="I384">
        <v>9.08</v>
      </c>
      <c r="J384" t="str">
        <f t="shared" si="20"/>
        <v>Jul</v>
      </c>
      <c r="K384">
        <f t="shared" si="21"/>
        <v>2024</v>
      </c>
      <c r="L384">
        <f t="shared" si="22"/>
        <v>700.79440000000011</v>
      </c>
      <c r="M384" t="str">
        <f t="shared" si="23"/>
        <v>Weekend</v>
      </c>
    </row>
    <row r="385" spans="1:13" x14ac:dyDescent="0.35">
      <c r="A385" t="s">
        <v>400</v>
      </c>
      <c r="B385" t="s">
        <v>14</v>
      </c>
      <c r="C385" t="s">
        <v>11</v>
      </c>
      <c r="D385" s="1">
        <v>45313</v>
      </c>
      <c r="E385">
        <v>83.25</v>
      </c>
      <c r="F385">
        <v>5.96</v>
      </c>
      <c r="G385">
        <v>25</v>
      </c>
      <c r="H385" t="s">
        <v>18</v>
      </c>
      <c r="I385">
        <v>7.34</v>
      </c>
      <c r="J385" t="str">
        <f t="shared" si="20"/>
        <v>Jan</v>
      </c>
      <c r="K385">
        <f t="shared" si="21"/>
        <v>2024</v>
      </c>
      <c r="L385">
        <f t="shared" si="22"/>
        <v>611.05499999999995</v>
      </c>
      <c r="M385" t="str">
        <f t="shared" si="23"/>
        <v>Weekday</v>
      </c>
    </row>
    <row r="386" spans="1:13" x14ac:dyDescent="0.35">
      <c r="A386" t="s">
        <v>401</v>
      </c>
      <c r="B386" t="s">
        <v>10</v>
      </c>
      <c r="C386" t="s">
        <v>11</v>
      </c>
      <c r="D386" s="1">
        <v>45472</v>
      </c>
      <c r="E386">
        <v>99.16</v>
      </c>
      <c r="F386">
        <v>3.28</v>
      </c>
      <c r="G386">
        <v>119</v>
      </c>
      <c r="H386" t="s">
        <v>12</v>
      </c>
      <c r="I386">
        <v>3.9</v>
      </c>
      <c r="J386" t="str">
        <f t="shared" si="20"/>
        <v>Jun</v>
      </c>
      <c r="K386">
        <f t="shared" si="21"/>
        <v>2024</v>
      </c>
      <c r="L386">
        <f t="shared" si="22"/>
        <v>386.72399999999999</v>
      </c>
      <c r="M386" t="str">
        <f t="shared" si="23"/>
        <v>Weekend</v>
      </c>
    </row>
    <row r="387" spans="1:13" x14ac:dyDescent="0.35">
      <c r="A387" t="s">
        <v>402</v>
      </c>
      <c r="B387" t="s">
        <v>10</v>
      </c>
      <c r="C387" t="s">
        <v>24</v>
      </c>
      <c r="D387" s="1">
        <v>45534</v>
      </c>
      <c r="E387">
        <v>6.56</v>
      </c>
      <c r="F387">
        <v>7.48</v>
      </c>
      <c r="G387">
        <v>25</v>
      </c>
      <c r="H387" t="s">
        <v>12</v>
      </c>
      <c r="I387">
        <v>6.21</v>
      </c>
      <c r="J387" t="str">
        <f t="shared" ref="J387:J450" si="24">TEXT(D387,"mmm")</f>
        <v>Aug</v>
      </c>
      <c r="K387">
        <f t="shared" ref="K387:K450" si="25">YEAR(D387)</f>
        <v>2024</v>
      </c>
      <c r="L387">
        <f t="shared" ref="L387:L450" si="26">E387*I387</f>
        <v>40.7376</v>
      </c>
      <c r="M387" t="str">
        <f t="shared" ref="M387:M450" si="27">IF(OR(WEEKDAY(D387)=1,WEEKDAY(D387)=7),"Weekend","Weekday")</f>
        <v>Weekday</v>
      </c>
    </row>
    <row r="388" spans="1:13" x14ac:dyDescent="0.35">
      <c r="A388" t="s">
        <v>403</v>
      </c>
      <c r="B388" t="s">
        <v>17</v>
      </c>
      <c r="C388" t="s">
        <v>24</v>
      </c>
      <c r="D388" s="1">
        <v>45557</v>
      </c>
      <c r="E388">
        <v>9.8800000000000008</v>
      </c>
      <c r="F388">
        <v>9.43</v>
      </c>
      <c r="G388">
        <v>52</v>
      </c>
      <c r="H388" t="s">
        <v>18</v>
      </c>
      <c r="I388">
        <v>7.56</v>
      </c>
      <c r="J388" t="str">
        <f t="shared" si="24"/>
        <v>Sep</v>
      </c>
      <c r="K388">
        <f t="shared" si="25"/>
        <v>2024</v>
      </c>
      <c r="L388">
        <f t="shared" si="26"/>
        <v>74.692800000000005</v>
      </c>
      <c r="M388" t="str">
        <f t="shared" si="27"/>
        <v>Weekend</v>
      </c>
    </row>
    <row r="389" spans="1:13" x14ac:dyDescent="0.35">
      <c r="A389" t="s">
        <v>404</v>
      </c>
      <c r="B389" t="s">
        <v>10</v>
      </c>
      <c r="C389" t="s">
        <v>15</v>
      </c>
      <c r="D389" s="1">
        <v>45490</v>
      </c>
      <c r="E389">
        <v>35.020000000000003</v>
      </c>
      <c r="F389">
        <v>9.36</v>
      </c>
      <c r="G389">
        <v>113</v>
      </c>
      <c r="H389" t="s">
        <v>12</v>
      </c>
      <c r="I389">
        <v>7.99</v>
      </c>
      <c r="J389" t="str">
        <f t="shared" si="24"/>
        <v>Jul</v>
      </c>
      <c r="K389">
        <f t="shared" si="25"/>
        <v>2024</v>
      </c>
      <c r="L389">
        <f t="shared" si="26"/>
        <v>279.80980000000005</v>
      </c>
      <c r="M389" t="str">
        <f t="shared" si="27"/>
        <v>Weekday</v>
      </c>
    </row>
    <row r="390" spans="1:13" x14ac:dyDescent="0.35">
      <c r="A390" t="s">
        <v>405</v>
      </c>
      <c r="B390" t="s">
        <v>14</v>
      </c>
      <c r="C390" t="s">
        <v>24</v>
      </c>
      <c r="D390" s="1">
        <v>45453</v>
      </c>
      <c r="E390">
        <v>92.95</v>
      </c>
      <c r="F390">
        <v>1.43</v>
      </c>
      <c r="G390">
        <v>120</v>
      </c>
      <c r="H390" t="s">
        <v>18</v>
      </c>
      <c r="I390">
        <v>8.09</v>
      </c>
      <c r="J390" t="str">
        <f t="shared" si="24"/>
        <v>Jun</v>
      </c>
      <c r="K390">
        <f t="shared" si="25"/>
        <v>2024</v>
      </c>
      <c r="L390">
        <f t="shared" si="26"/>
        <v>751.96550000000002</v>
      </c>
      <c r="M390" t="str">
        <f t="shared" si="27"/>
        <v>Weekday</v>
      </c>
    </row>
    <row r="391" spans="1:13" x14ac:dyDescent="0.35">
      <c r="A391" t="s">
        <v>406</v>
      </c>
      <c r="B391" t="s">
        <v>14</v>
      </c>
      <c r="C391" t="s">
        <v>24</v>
      </c>
      <c r="D391" s="1">
        <v>45556</v>
      </c>
      <c r="E391">
        <v>55.31</v>
      </c>
      <c r="F391">
        <v>6.53</v>
      </c>
      <c r="G391">
        <v>93</v>
      </c>
      <c r="H391" t="s">
        <v>18</v>
      </c>
      <c r="I391">
        <v>4.3600000000000003</v>
      </c>
      <c r="J391" t="str">
        <f t="shared" si="24"/>
        <v>Sep</v>
      </c>
      <c r="K391">
        <f t="shared" si="25"/>
        <v>2024</v>
      </c>
      <c r="L391">
        <f t="shared" si="26"/>
        <v>241.15160000000003</v>
      </c>
      <c r="M391" t="str">
        <f t="shared" si="27"/>
        <v>Weekend</v>
      </c>
    </row>
    <row r="392" spans="1:13" x14ac:dyDescent="0.35">
      <c r="A392" t="s">
        <v>407</v>
      </c>
      <c r="B392" t="s">
        <v>10</v>
      </c>
      <c r="C392" t="s">
        <v>11</v>
      </c>
      <c r="D392" s="1">
        <v>45612</v>
      </c>
      <c r="E392">
        <v>85.79</v>
      </c>
      <c r="F392">
        <v>9.32</v>
      </c>
      <c r="G392">
        <v>110</v>
      </c>
      <c r="H392" t="s">
        <v>18</v>
      </c>
      <c r="I392">
        <v>6.61</v>
      </c>
      <c r="J392" t="str">
        <f t="shared" si="24"/>
        <v>Nov</v>
      </c>
      <c r="K392">
        <f t="shared" si="25"/>
        <v>2024</v>
      </c>
      <c r="L392">
        <f t="shared" si="26"/>
        <v>567.07190000000003</v>
      </c>
      <c r="M392" t="str">
        <f t="shared" si="27"/>
        <v>Weekend</v>
      </c>
    </row>
    <row r="393" spans="1:13" x14ac:dyDescent="0.35">
      <c r="A393" t="s">
        <v>408</v>
      </c>
      <c r="B393" t="s">
        <v>17</v>
      </c>
      <c r="C393" t="s">
        <v>11</v>
      </c>
      <c r="D393" s="1">
        <v>45528</v>
      </c>
      <c r="E393">
        <v>19.309999999999999</v>
      </c>
      <c r="F393">
        <v>5</v>
      </c>
      <c r="G393">
        <v>34</v>
      </c>
      <c r="H393" t="s">
        <v>18</v>
      </c>
      <c r="I393">
        <v>5.73</v>
      </c>
      <c r="J393" t="str">
        <f t="shared" si="24"/>
        <v>Aug</v>
      </c>
      <c r="K393">
        <f t="shared" si="25"/>
        <v>2024</v>
      </c>
      <c r="L393">
        <f t="shared" si="26"/>
        <v>110.6463</v>
      </c>
      <c r="M393" t="str">
        <f t="shared" si="27"/>
        <v>Weekend</v>
      </c>
    </row>
    <row r="394" spans="1:13" x14ac:dyDescent="0.35">
      <c r="A394" t="s">
        <v>409</v>
      </c>
      <c r="B394" t="s">
        <v>17</v>
      </c>
      <c r="C394" t="s">
        <v>15</v>
      </c>
      <c r="D394" s="1">
        <v>45371</v>
      </c>
      <c r="E394">
        <v>92.78</v>
      </c>
      <c r="F394">
        <v>8.06</v>
      </c>
      <c r="G394">
        <v>82</v>
      </c>
      <c r="H394" t="s">
        <v>12</v>
      </c>
      <c r="I394">
        <v>4.05</v>
      </c>
      <c r="J394" t="str">
        <f t="shared" si="24"/>
        <v>Mar</v>
      </c>
      <c r="K394">
        <f t="shared" si="25"/>
        <v>2024</v>
      </c>
      <c r="L394">
        <f t="shared" si="26"/>
        <v>375.75900000000001</v>
      </c>
      <c r="M394" t="str">
        <f t="shared" si="27"/>
        <v>Weekday</v>
      </c>
    </row>
    <row r="395" spans="1:13" x14ac:dyDescent="0.35">
      <c r="A395" t="s">
        <v>410</v>
      </c>
      <c r="B395" t="s">
        <v>14</v>
      </c>
      <c r="C395" t="s">
        <v>11</v>
      </c>
      <c r="D395" s="1">
        <v>45312</v>
      </c>
      <c r="E395">
        <v>95.86</v>
      </c>
      <c r="F395">
        <v>5.73</v>
      </c>
      <c r="G395">
        <v>19</v>
      </c>
      <c r="H395" t="s">
        <v>12</v>
      </c>
      <c r="I395">
        <v>8.76</v>
      </c>
      <c r="J395" t="str">
        <f t="shared" si="24"/>
        <v>Jan</v>
      </c>
      <c r="K395">
        <f t="shared" si="25"/>
        <v>2024</v>
      </c>
      <c r="L395">
        <f t="shared" si="26"/>
        <v>839.73360000000002</v>
      </c>
      <c r="M395" t="str">
        <f t="shared" si="27"/>
        <v>Weekend</v>
      </c>
    </row>
    <row r="396" spans="1:13" x14ac:dyDescent="0.35">
      <c r="A396" t="s">
        <v>411</v>
      </c>
      <c r="B396" t="s">
        <v>10</v>
      </c>
      <c r="C396" t="s">
        <v>11</v>
      </c>
      <c r="D396" s="1">
        <v>45358</v>
      </c>
      <c r="E396">
        <v>79.709999999999994</v>
      </c>
      <c r="F396">
        <v>6.4</v>
      </c>
      <c r="G396">
        <v>95</v>
      </c>
      <c r="H396" t="s">
        <v>18</v>
      </c>
      <c r="I396">
        <v>8.92</v>
      </c>
      <c r="J396" t="str">
        <f t="shared" si="24"/>
        <v>Mar</v>
      </c>
      <c r="K396">
        <f t="shared" si="25"/>
        <v>2024</v>
      </c>
      <c r="L396">
        <f t="shared" si="26"/>
        <v>711.01319999999998</v>
      </c>
      <c r="M396" t="str">
        <f t="shared" si="27"/>
        <v>Weekday</v>
      </c>
    </row>
    <row r="397" spans="1:13" x14ac:dyDescent="0.35">
      <c r="A397" t="s">
        <v>412</v>
      </c>
      <c r="B397" t="s">
        <v>10</v>
      </c>
      <c r="C397" t="s">
        <v>24</v>
      </c>
      <c r="D397" s="1">
        <v>45401</v>
      </c>
      <c r="E397">
        <v>35.94</v>
      </c>
      <c r="F397">
        <v>1.94</v>
      </c>
      <c r="G397">
        <v>62</v>
      </c>
      <c r="H397" t="s">
        <v>12</v>
      </c>
      <c r="I397">
        <v>4.9400000000000004</v>
      </c>
      <c r="J397" t="str">
        <f t="shared" si="24"/>
        <v>Apr</v>
      </c>
      <c r="K397">
        <f t="shared" si="25"/>
        <v>2024</v>
      </c>
      <c r="L397">
        <f t="shared" si="26"/>
        <v>177.5436</v>
      </c>
      <c r="M397" t="str">
        <f t="shared" si="27"/>
        <v>Weekday</v>
      </c>
    </row>
    <row r="398" spans="1:13" x14ac:dyDescent="0.35">
      <c r="A398" t="s">
        <v>413</v>
      </c>
      <c r="B398" t="s">
        <v>14</v>
      </c>
      <c r="C398" t="s">
        <v>15</v>
      </c>
      <c r="D398" s="1">
        <v>45646</v>
      </c>
      <c r="E398">
        <v>57.41</v>
      </c>
      <c r="F398">
        <v>6.9</v>
      </c>
      <c r="G398">
        <v>16</v>
      </c>
      <c r="H398" t="s">
        <v>18</v>
      </c>
      <c r="I398">
        <v>3.97</v>
      </c>
      <c r="J398" t="str">
        <f t="shared" si="24"/>
        <v>Dec</v>
      </c>
      <c r="K398">
        <f t="shared" si="25"/>
        <v>2024</v>
      </c>
      <c r="L398">
        <f t="shared" si="26"/>
        <v>227.9177</v>
      </c>
      <c r="M398" t="str">
        <f t="shared" si="27"/>
        <v>Weekday</v>
      </c>
    </row>
    <row r="399" spans="1:13" x14ac:dyDescent="0.35">
      <c r="A399" t="s">
        <v>414</v>
      </c>
      <c r="B399" t="s">
        <v>10</v>
      </c>
      <c r="C399" t="s">
        <v>24</v>
      </c>
      <c r="D399" s="1">
        <v>45635</v>
      </c>
      <c r="E399">
        <v>95.16</v>
      </c>
      <c r="F399">
        <v>7.13</v>
      </c>
      <c r="G399">
        <v>93</v>
      </c>
      <c r="H399" t="s">
        <v>18</v>
      </c>
      <c r="I399">
        <v>9.89</v>
      </c>
      <c r="J399" t="str">
        <f t="shared" si="24"/>
        <v>Dec</v>
      </c>
      <c r="K399">
        <f t="shared" si="25"/>
        <v>2024</v>
      </c>
      <c r="L399">
        <f t="shared" si="26"/>
        <v>941.13240000000008</v>
      </c>
      <c r="M399" t="str">
        <f t="shared" si="27"/>
        <v>Weekday</v>
      </c>
    </row>
    <row r="400" spans="1:13" x14ac:dyDescent="0.35">
      <c r="A400" t="s">
        <v>415</v>
      </c>
      <c r="B400" t="s">
        <v>14</v>
      </c>
      <c r="C400" t="s">
        <v>15</v>
      </c>
      <c r="D400" s="1">
        <v>45575</v>
      </c>
      <c r="E400">
        <v>93.27</v>
      </c>
      <c r="F400">
        <v>5.46</v>
      </c>
      <c r="G400">
        <v>7</v>
      </c>
      <c r="H400" t="s">
        <v>12</v>
      </c>
      <c r="I400">
        <v>8.9700000000000006</v>
      </c>
      <c r="J400" t="str">
        <f t="shared" si="24"/>
        <v>Oct</v>
      </c>
      <c r="K400">
        <f t="shared" si="25"/>
        <v>2024</v>
      </c>
      <c r="L400">
        <f t="shared" si="26"/>
        <v>836.63189999999997</v>
      </c>
      <c r="M400" t="str">
        <f t="shared" si="27"/>
        <v>Weekday</v>
      </c>
    </row>
    <row r="401" spans="1:13" x14ac:dyDescent="0.35">
      <c r="A401" t="s">
        <v>416</v>
      </c>
      <c r="B401" t="s">
        <v>14</v>
      </c>
      <c r="C401" t="s">
        <v>15</v>
      </c>
      <c r="D401" s="1">
        <v>45454</v>
      </c>
      <c r="E401">
        <v>65.739999999999995</v>
      </c>
      <c r="F401">
        <v>9.59</v>
      </c>
      <c r="G401">
        <v>25</v>
      </c>
      <c r="H401" t="s">
        <v>18</v>
      </c>
      <c r="I401">
        <v>6.58</v>
      </c>
      <c r="J401" t="str">
        <f t="shared" si="24"/>
        <v>Jun</v>
      </c>
      <c r="K401">
        <f t="shared" si="25"/>
        <v>2024</v>
      </c>
      <c r="L401">
        <f t="shared" si="26"/>
        <v>432.56919999999997</v>
      </c>
      <c r="M401" t="str">
        <f t="shared" si="27"/>
        <v>Weekday</v>
      </c>
    </row>
    <row r="402" spans="1:13" x14ac:dyDescent="0.35">
      <c r="A402" t="s">
        <v>417</v>
      </c>
      <c r="B402" t="s">
        <v>10</v>
      </c>
      <c r="C402" t="s">
        <v>11</v>
      </c>
      <c r="D402" s="1">
        <v>45417</v>
      </c>
      <c r="E402">
        <v>56.49</v>
      </c>
      <c r="F402">
        <v>3.15</v>
      </c>
      <c r="G402">
        <v>40</v>
      </c>
      <c r="H402" t="s">
        <v>18</v>
      </c>
      <c r="I402">
        <v>9.74</v>
      </c>
      <c r="J402" t="str">
        <f t="shared" si="24"/>
        <v>May</v>
      </c>
      <c r="K402">
        <f t="shared" si="25"/>
        <v>2024</v>
      </c>
      <c r="L402">
        <f t="shared" si="26"/>
        <v>550.21260000000007</v>
      </c>
      <c r="M402" t="str">
        <f t="shared" si="27"/>
        <v>Weekend</v>
      </c>
    </row>
    <row r="403" spans="1:13" x14ac:dyDescent="0.35">
      <c r="A403" t="s">
        <v>418</v>
      </c>
      <c r="B403" t="s">
        <v>14</v>
      </c>
      <c r="C403" t="s">
        <v>24</v>
      </c>
      <c r="D403" s="1">
        <v>45440</v>
      </c>
      <c r="E403">
        <v>56.09</v>
      </c>
      <c r="F403">
        <v>7.81</v>
      </c>
      <c r="G403">
        <v>75</v>
      </c>
      <c r="H403" t="s">
        <v>12</v>
      </c>
      <c r="I403">
        <v>3.39</v>
      </c>
      <c r="J403" t="str">
        <f t="shared" si="24"/>
        <v>May</v>
      </c>
      <c r="K403">
        <f t="shared" si="25"/>
        <v>2024</v>
      </c>
      <c r="L403">
        <f t="shared" si="26"/>
        <v>190.14510000000001</v>
      </c>
      <c r="M403" t="str">
        <f t="shared" si="27"/>
        <v>Weekday</v>
      </c>
    </row>
    <row r="404" spans="1:13" x14ac:dyDescent="0.35">
      <c r="A404" t="s">
        <v>419</v>
      </c>
      <c r="B404" t="s">
        <v>10</v>
      </c>
      <c r="C404" t="s">
        <v>15</v>
      </c>
      <c r="D404" s="1">
        <v>45609</v>
      </c>
      <c r="E404">
        <v>54.4</v>
      </c>
      <c r="F404">
        <v>7.08</v>
      </c>
      <c r="G404">
        <v>100</v>
      </c>
      <c r="H404" t="s">
        <v>18</v>
      </c>
      <c r="I404">
        <v>9</v>
      </c>
      <c r="J404" t="str">
        <f t="shared" si="24"/>
        <v>Nov</v>
      </c>
      <c r="K404">
        <f t="shared" si="25"/>
        <v>2024</v>
      </c>
      <c r="L404">
        <f t="shared" si="26"/>
        <v>489.59999999999997</v>
      </c>
      <c r="M404" t="str">
        <f t="shared" si="27"/>
        <v>Weekday</v>
      </c>
    </row>
    <row r="405" spans="1:13" x14ac:dyDescent="0.35">
      <c r="A405" t="s">
        <v>420</v>
      </c>
      <c r="B405" t="s">
        <v>14</v>
      </c>
      <c r="C405" t="s">
        <v>11</v>
      </c>
      <c r="D405" s="1">
        <v>45527</v>
      </c>
      <c r="E405">
        <v>95.32</v>
      </c>
      <c r="F405">
        <v>7.47</v>
      </c>
      <c r="G405">
        <v>102</v>
      </c>
      <c r="H405" t="s">
        <v>12</v>
      </c>
      <c r="I405">
        <v>9.9</v>
      </c>
      <c r="J405" t="str">
        <f t="shared" si="24"/>
        <v>Aug</v>
      </c>
      <c r="K405">
        <f t="shared" si="25"/>
        <v>2024</v>
      </c>
      <c r="L405">
        <f t="shared" si="26"/>
        <v>943.66800000000001</v>
      </c>
      <c r="M405" t="str">
        <f t="shared" si="27"/>
        <v>Weekday</v>
      </c>
    </row>
    <row r="406" spans="1:13" x14ac:dyDescent="0.35">
      <c r="A406" t="s">
        <v>421</v>
      </c>
      <c r="B406" t="s">
        <v>14</v>
      </c>
      <c r="C406" t="s">
        <v>11</v>
      </c>
      <c r="D406" s="1">
        <v>45543</v>
      </c>
      <c r="E406">
        <v>11.5</v>
      </c>
      <c r="F406">
        <v>9.66</v>
      </c>
      <c r="G406">
        <v>0</v>
      </c>
      <c r="H406" t="s">
        <v>12</v>
      </c>
      <c r="I406">
        <v>8.6199999999999992</v>
      </c>
      <c r="J406" t="str">
        <f t="shared" si="24"/>
        <v>Sep</v>
      </c>
      <c r="K406">
        <f t="shared" si="25"/>
        <v>2024</v>
      </c>
      <c r="L406">
        <f t="shared" si="26"/>
        <v>99.13</v>
      </c>
      <c r="M406" t="str">
        <f t="shared" si="27"/>
        <v>Weekend</v>
      </c>
    </row>
    <row r="407" spans="1:13" x14ac:dyDescent="0.35">
      <c r="A407" t="s">
        <v>422</v>
      </c>
      <c r="B407" t="s">
        <v>17</v>
      </c>
      <c r="C407" t="s">
        <v>15</v>
      </c>
      <c r="D407" s="1">
        <v>45638</v>
      </c>
      <c r="E407">
        <v>50.18</v>
      </c>
      <c r="F407">
        <v>3.52</v>
      </c>
      <c r="G407">
        <v>41</v>
      </c>
      <c r="H407" t="s">
        <v>12</v>
      </c>
      <c r="I407">
        <v>4.59</v>
      </c>
      <c r="J407" t="str">
        <f t="shared" si="24"/>
        <v>Dec</v>
      </c>
      <c r="K407">
        <f t="shared" si="25"/>
        <v>2024</v>
      </c>
      <c r="L407">
        <f t="shared" si="26"/>
        <v>230.3262</v>
      </c>
      <c r="M407" t="str">
        <f t="shared" si="27"/>
        <v>Weekday</v>
      </c>
    </row>
    <row r="408" spans="1:13" x14ac:dyDescent="0.35">
      <c r="A408" t="s">
        <v>423</v>
      </c>
      <c r="B408" t="s">
        <v>17</v>
      </c>
      <c r="C408" t="s">
        <v>24</v>
      </c>
      <c r="D408" s="1">
        <v>45597</v>
      </c>
      <c r="E408">
        <v>14.33</v>
      </c>
      <c r="F408">
        <v>4.78</v>
      </c>
      <c r="G408">
        <v>1</v>
      </c>
      <c r="H408" t="s">
        <v>18</v>
      </c>
      <c r="I408">
        <v>8.4700000000000006</v>
      </c>
      <c r="J408" t="str">
        <f t="shared" si="24"/>
        <v>Nov</v>
      </c>
      <c r="K408">
        <f t="shared" si="25"/>
        <v>2024</v>
      </c>
      <c r="L408">
        <f t="shared" si="26"/>
        <v>121.3751</v>
      </c>
      <c r="M408" t="str">
        <f t="shared" si="27"/>
        <v>Weekday</v>
      </c>
    </row>
    <row r="409" spans="1:13" x14ac:dyDescent="0.35">
      <c r="A409" t="s">
        <v>424</v>
      </c>
      <c r="B409" t="s">
        <v>10</v>
      </c>
      <c r="C409" t="s">
        <v>24</v>
      </c>
      <c r="D409" s="1">
        <v>45554</v>
      </c>
      <c r="E409">
        <v>71.739999999999995</v>
      </c>
      <c r="F409">
        <v>3.43</v>
      </c>
      <c r="G409">
        <v>97</v>
      </c>
      <c r="H409" t="s">
        <v>12</v>
      </c>
      <c r="I409">
        <v>7.16</v>
      </c>
      <c r="J409" t="str">
        <f t="shared" si="24"/>
        <v>Sep</v>
      </c>
      <c r="K409">
        <f t="shared" si="25"/>
        <v>2024</v>
      </c>
      <c r="L409">
        <f t="shared" si="26"/>
        <v>513.65840000000003</v>
      </c>
      <c r="M409" t="str">
        <f t="shared" si="27"/>
        <v>Weekday</v>
      </c>
    </row>
    <row r="410" spans="1:13" x14ac:dyDescent="0.35">
      <c r="A410" t="s">
        <v>425</v>
      </c>
      <c r="B410" t="s">
        <v>10</v>
      </c>
      <c r="C410" t="s">
        <v>24</v>
      </c>
      <c r="D410" s="1">
        <v>45476</v>
      </c>
      <c r="E410">
        <v>40.28</v>
      </c>
      <c r="F410">
        <v>5.76</v>
      </c>
      <c r="G410">
        <v>6</v>
      </c>
      <c r="H410" t="s">
        <v>12</v>
      </c>
      <c r="I410">
        <v>4.05</v>
      </c>
      <c r="J410" t="str">
        <f t="shared" si="24"/>
        <v>Jul</v>
      </c>
      <c r="K410">
        <f t="shared" si="25"/>
        <v>2024</v>
      </c>
      <c r="L410">
        <f t="shared" si="26"/>
        <v>163.13399999999999</v>
      </c>
      <c r="M410" t="str">
        <f t="shared" si="27"/>
        <v>Weekday</v>
      </c>
    </row>
    <row r="411" spans="1:13" x14ac:dyDescent="0.35">
      <c r="A411" t="s">
        <v>426</v>
      </c>
      <c r="B411" t="s">
        <v>10</v>
      </c>
      <c r="C411" t="s">
        <v>15</v>
      </c>
      <c r="D411" s="1">
        <v>45428</v>
      </c>
      <c r="E411">
        <v>91.49</v>
      </c>
      <c r="F411">
        <v>1.61</v>
      </c>
      <c r="G411">
        <v>77</v>
      </c>
      <c r="H411" t="s">
        <v>18</v>
      </c>
      <c r="I411">
        <v>5.6</v>
      </c>
      <c r="J411" t="str">
        <f t="shared" si="24"/>
        <v>May</v>
      </c>
      <c r="K411">
        <f t="shared" si="25"/>
        <v>2024</v>
      </c>
      <c r="L411">
        <f t="shared" si="26"/>
        <v>512.34399999999994</v>
      </c>
      <c r="M411" t="str">
        <f t="shared" si="27"/>
        <v>Weekday</v>
      </c>
    </row>
    <row r="412" spans="1:13" x14ac:dyDescent="0.35">
      <c r="A412" t="s">
        <v>427</v>
      </c>
      <c r="B412" t="s">
        <v>17</v>
      </c>
      <c r="C412" t="s">
        <v>24</v>
      </c>
      <c r="D412" s="1">
        <v>45517</v>
      </c>
      <c r="E412">
        <v>52.36</v>
      </c>
      <c r="F412">
        <v>6.89</v>
      </c>
      <c r="G412">
        <v>46</v>
      </c>
      <c r="H412" t="s">
        <v>18</v>
      </c>
      <c r="I412">
        <v>8.4</v>
      </c>
      <c r="J412" t="str">
        <f t="shared" si="24"/>
        <v>Aug</v>
      </c>
      <c r="K412">
        <f t="shared" si="25"/>
        <v>2024</v>
      </c>
      <c r="L412">
        <f t="shared" si="26"/>
        <v>439.82400000000001</v>
      </c>
      <c r="M412" t="str">
        <f t="shared" si="27"/>
        <v>Weekday</v>
      </c>
    </row>
    <row r="413" spans="1:13" x14ac:dyDescent="0.35">
      <c r="A413" t="s">
        <v>428</v>
      </c>
      <c r="B413" t="s">
        <v>17</v>
      </c>
      <c r="C413" t="s">
        <v>15</v>
      </c>
      <c r="D413" s="1">
        <v>45398</v>
      </c>
      <c r="E413">
        <v>19.559999999999999</v>
      </c>
      <c r="F413">
        <v>8.8800000000000008</v>
      </c>
      <c r="G413">
        <v>99</v>
      </c>
      <c r="H413" t="s">
        <v>12</v>
      </c>
      <c r="I413">
        <v>9.01</v>
      </c>
      <c r="J413" t="str">
        <f t="shared" si="24"/>
        <v>Apr</v>
      </c>
      <c r="K413">
        <f t="shared" si="25"/>
        <v>2024</v>
      </c>
      <c r="L413">
        <f t="shared" si="26"/>
        <v>176.23559999999998</v>
      </c>
      <c r="M413" t="str">
        <f t="shared" si="27"/>
        <v>Weekday</v>
      </c>
    </row>
    <row r="414" spans="1:13" x14ac:dyDescent="0.35">
      <c r="A414" t="s">
        <v>429</v>
      </c>
      <c r="B414" t="s">
        <v>17</v>
      </c>
      <c r="C414" t="s">
        <v>24</v>
      </c>
      <c r="D414" s="1">
        <v>45324</v>
      </c>
      <c r="E414">
        <v>35.19</v>
      </c>
      <c r="F414">
        <v>9.09</v>
      </c>
      <c r="G414">
        <v>64</v>
      </c>
      <c r="H414" t="s">
        <v>18</v>
      </c>
      <c r="I414">
        <v>5.88</v>
      </c>
      <c r="J414" t="str">
        <f t="shared" si="24"/>
        <v>Feb</v>
      </c>
      <c r="K414">
        <f t="shared" si="25"/>
        <v>2024</v>
      </c>
      <c r="L414">
        <f t="shared" si="26"/>
        <v>206.91719999999998</v>
      </c>
      <c r="M414" t="str">
        <f t="shared" si="27"/>
        <v>Weekday</v>
      </c>
    </row>
    <row r="415" spans="1:13" x14ac:dyDescent="0.35">
      <c r="A415" t="s">
        <v>430</v>
      </c>
      <c r="B415" t="s">
        <v>14</v>
      </c>
      <c r="C415" t="s">
        <v>11</v>
      </c>
      <c r="D415" s="1">
        <v>45494</v>
      </c>
      <c r="E415">
        <v>70.41</v>
      </c>
      <c r="F415">
        <v>3.5</v>
      </c>
      <c r="G415">
        <v>83</v>
      </c>
      <c r="H415" t="s">
        <v>18</v>
      </c>
      <c r="I415">
        <v>9.49</v>
      </c>
      <c r="J415" t="str">
        <f t="shared" si="24"/>
        <v>Jul</v>
      </c>
      <c r="K415">
        <f t="shared" si="25"/>
        <v>2024</v>
      </c>
      <c r="L415">
        <f t="shared" si="26"/>
        <v>668.19089999999994</v>
      </c>
      <c r="M415" t="str">
        <f t="shared" si="27"/>
        <v>Weekend</v>
      </c>
    </row>
    <row r="416" spans="1:13" x14ac:dyDescent="0.35">
      <c r="A416" t="s">
        <v>431</v>
      </c>
      <c r="B416" t="s">
        <v>10</v>
      </c>
      <c r="C416" t="s">
        <v>11</v>
      </c>
      <c r="D416" s="1">
        <v>45452</v>
      </c>
      <c r="E416">
        <v>49.94</v>
      </c>
      <c r="F416">
        <v>6.43</v>
      </c>
      <c r="G416">
        <v>84</v>
      </c>
      <c r="H416" t="s">
        <v>12</v>
      </c>
      <c r="I416">
        <v>7.55</v>
      </c>
      <c r="J416" t="str">
        <f t="shared" si="24"/>
        <v>Jun</v>
      </c>
      <c r="K416">
        <f t="shared" si="25"/>
        <v>2024</v>
      </c>
      <c r="L416">
        <f t="shared" si="26"/>
        <v>377.04699999999997</v>
      </c>
      <c r="M416" t="str">
        <f t="shared" si="27"/>
        <v>Weekend</v>
      </c>
    </row>
    <row r="417" spans="1:13" x14ac:dyDescent="0.35">
      <c r="A417" t="s">
        <v>432</v>
      </c>
      <c r="B417" t="s">
        <v>17</v>
      </c>
      <c r="C417" t="s">
        <v>15</v>
      </c>
      <c r="D417" s="1">
        <v>45430</v>
      </c>
      <c r="E417">
        <v>80.13</v>
      </c>
      <c r="F417">
        <v>8.9600000000000009</v>
      </c>
      <c r="G417">
        <v>41</v>
      </c>
      <c r="H417" t="s">
        <v>18</v>
      </c>
      <c r="I417">
        <v>9.7799999999999994</v>
      </c>
      <c r="J417" t="str">
        <f t="shared" si="24"/>
        <v>May</v>
      </c>
      <c r="K417">
        <f t="shared" si="25"/>
        <v>2024</v>
      </c>
      <c r="L417">
        <f t="shared" si="26"/>
        <v>783.67139999999995</v>
      </c>
      <c r="M417" t="str">
        <f t="shared" si="27"/>
        <v>Weekend</v>
      </c>
    </row>
    <row r="418" spans="1:13" x14ac:dyDescent="0.35">
      <c r="A418" t="s">
        <v>433</v>
      </c>
      <c r="B418" t="s">
        <v>14</v>
      </c>
      <c r="C418" t="s">
        <v>24</v>
      </c>
      <c r="D418" s="1">
        <v>45652</v>
      </c>
      <c r="E418">
        <v>31.56</v>
      </c>
      <c r="F418">
        <v>9.1</v>
      </c>
      <c r="G418">
        <v>24</v>
      </c>
      <c r="H418" t="s">
        <v>12</v>
      </c>
      <c r="I418">
        <v>7.81</v>
      </c>
      <c r="J418" t="str">
        <f t="shared" si="24"/>
        <v>Dec</v>
      </c>
      <c r="K418">
        <f t="shared" si="25"/>
        <v>2024</v>
      </c>
      <c r="L418">
        <f t="shared" si="26"/>
        <v>246.48359999999997</v>
      </c>
      <c r="M418" t="str">
        <f t="shared" si="27"/>
        <v>Weekday</v>
      </c>
    </row>
    <row r="419" spans="1:13" x14ac:dyDescent="0.35">
      <c r="A419" t="s">
        <v>434</v>
      </c>
      <c r="B419" t="s">
        <v>10</v>
      </c>
      <c r="C419" t="s">
        <v>11</v>
      </c>
      <c r="D419" s="1">
        <v>45333</v>
      </c>
      <c r="E419">
        <v>61.65</v>
      </c>
      <c r="F419">
        <v>7.8</v>
      </c>
      <c r="G419">
        <v>21</v>
      </c>
      <c r="H419" t="s">
        <v>12</v>
      </c>
      <c r="I419">
        <v>5.36</v>
      </c>
      <c r="J419" t="str">
        <f t="shared" si="24"/>
        <v>Feb</v>
      </c>
      <c r="K419">
        <f t="shared" si="25"/>
        <v>2024</v>
      </c>
      <c r="L419">
        <f t="shared" si="26"/>
        <v>330.44400000000002</v>
      </c>
      <c r="M419" t="str">
        <f t="shared" si="27"/>
        <v>Weekend</v>
      </c>
    </row>
    <row r="420" spans="1:13" x14ac:dyDescent="0.35">
      <c r="A420" t="s">
        <v>435</v>
      </c>
      <c r="B420" t="s">
        <v>14</v>
      </c>
      <c r="C420" t="s">
        <v>24</v>
      </c>
      <c r="D420" s="1">
        <v>45416</v>
      </c>
      <c r="E420">
        <v>29.74</v>
      </c>
      <c r="F420">
        <v>8.3800000000000008</v>
      </c>
      <c r="G420">
        <v>102</v>
      </c>
      <c r="H420" t="s">
        <v>12</v>
      </c>
      <c r="I420">
        <v>7.6</v>
      </c>
      <c r="J420" t="str">
        <f t="shared" si="24"/>
        <v>May</v>
      </c>
      <c r="K420">
        <f t="shared" si="25"/>
        <v>2024</v>
      </c>
      <c r="L420">
        <f t="shared" si="26"/>
        <v>226.02399999999997</v>
      </c>
      <c r="M420" t="str">
        <f t="shared" si="27"/>
        <v>Weekend</v>
      </c>
    </row>
    <row r="421" spans="1:13" x14ac:dyDescent="0.35">
      <c r="A421" t="s">
        <v>436</v>
      </c>
      <c r="B421" t="s">
        <v>14</v>
      </c>
      <c r="C421" t="s">
        <v>24</v>
      </c>
      <c r="D421" s="1">
        <v>45636</v>
      </c>
      <c r="E421">
        <v>75.66</v>
      </c>
      <c r="F421">
        <v>4.74</v>
      </c>
      <c r="G421">
        <v>62</v>
      </c>
      <c r="H421" t="s">
        <v>18</v>
      </c>
      <c r="I421">
        <v>9.67</v>
      </c>
      <c r="J421" t="str">
        <f t="shared" si="24"/>
        <v>Dec</v>
      </c>
      <c r="K421">
        <f t="shared" si="25"/>
        <v>2024</v>
      </c>
      <c r="L421">
        <f t="shared" si="26"/>
        <v>731.63220000000001</v>
      </c>
      <c r="M421" t="str">
        <f t="shared" si="27"/>
        <v>Weekday</v>
      </c>
    </row>
    <row r="422" spans="1:13" x14ac:dyDescent="0.35">
      <c r="A422" t="s">
        <v>437</v>
      </c>
      <c r="B422" t="s">
        <v>10</v>
      </c>
      <c r="C422" t="s">
        <v>15</v>
      </c>
      <c r="D422" s="1">
        <v>45413</v>
      </c>
      <c r="E422">
        <v>71.12</v>
      </c>
      <c r="F422">
        <v>7.87</v>
      </c>
      <c r="G422">
        <v>1</v>
      </c>
      <c r="H422" t="s">
        <v>12</v>
      </c>
      <c r="I422">
        <v>8.36</v>
      </c>
      <c r="J422" t="str">
        <f t="shared" si="24"/>
        <v>May</v>
      </c>
      <c r="K422">
        <f t="shared" si="25"/>
        <v>2024</v>
      </c>
      <c r="L422">
        <f t="shared" si="26"/>
        <v>594.56320000000005</v>
      </c>
      <c r="M422" t="str">
        <f t="shared" si="27"/>
        <v>Weekday</v>
      </c>
    </row>
    <row r="423" spans="1:13" x14ac:dyDescent="0.35">
      <c r="A423" t="s">
        <v>438</v>
      </c>
      <c r="B423" t="s">
        <v>10</v>
      </c>
      <c r="C423" t="s">
        <v>11</v>
      </c>
      <c r="D423" s="1">
        <v>45640</v>
      </c>
      <c r="E423">
        <v>14.04</v>
      </c>
      <c r="F423">
        <v>9.01</v>
      </c>
      <c r="G423">
        <v>28</v>
      </c>
      <c r="H423" t="s">
        <v>18</v>
      </c>
      <c r="I423">
        <v>4.54</v>
      </c>
      <c r="J423" t="str">
        <f t="shared" si="24"/>
        <v>Dec</v>
      </c>
      <c r="K423">
        <f t="shared" si="25"/>
        <v>2024</v>
      </c>
      <c r="L423">
        <f t="shared" si="26"/>
        <v>63.741599999999998</v>
      </c>
      <c r="M423" t="str">
        <f t="shared" si="27"/>
        <v>Weekend</v>
      </c>
    </row>
    <row r="424" spans="1:13" x14ac:dyDescent="0.35">
      <c r="A424" t="s">
        <v>439</v>
      </c>
      <c r="B424" t="s">
        <v>17</v>
      </c>
      <c r="C424" t="s">
        <v>15</v>
      </c>
      <c r="D424" s="1">
        <v>45533</v>
      </c>
      <c r="E424">
        <v>96.17</v>
      </c>
      <c r="F424">
        <v>1.48</v>
      </c>
      <c r="G424">
        <v>21</v>
      </c>
      <c r="H424" t="s">
        <v>12</v>
      </c>
      <c r="I424">
        <v>6.09</v>
      </c>
      <c r="J424" t="str">
        <f t="shared" si="24"/>
        <v>Aug</v>
      </c>
      <c r="K424">
        <f t="shared" si="25"/>
        <v>2024</v>
      </c>
      <c r="L424">
        <f t="shared" si="26"/>
        <v>585.67529999999999</v>
      </c>
      <c r="M424" t="str">
        <f t="shared" si="27"/>
        <v>Weekday</v>
      </c>
    </row>
    <row r="425" spans="1:13" x14ac:dyDescent="0.35">
      <c r="A425" t="s">
        <v>440</v>
      </c>
      <c r="B425" t="s">
        <v>14</v>
      </c>
      <c r="C425" t="s">
        <v>11</v>
      </c>
      <c r="D425" s="1">
        <v>45405</v>
      </c>
      <c r="E425">
        <v>96.97</v>
      </c>
      <c r="F425">
        <v>8.16</v>
      </c>
      <c r="G425">
        <v>17</v>
      </c>
      <c r="H425" t="s">
        <v>12</v>
      </c>
      <c r="I425">
        <v>3.56</v>
      </c>
      <c r="J425" t="str">
        <f t="shared" si="24"/>
        <v>Apr</v>
      </c>
      <c r="K425">
        <f t="shared" si="25"/>
        <v>2024</v>
      </c>
      <c r="L425">
        <f t="shared" si="26"/>
        <v>345.21320000000003</v>
      </c>
      <c r="M425" t="str">
        <f t="shared" si="27"/>
        <v>Weekday</v>
      </c>
    </row>
    <row r="426" spans="1:13" x14ac:dyDescent="0.35">
      <c r="A426" t="s">
        <v>441</v>
      </c>
      <c r="B426" t="s">
        <v>17</v>
      </c>
      <c r="C426" t="s">
        <v>15</v>
      </c>
      <c r="D426" s="1">
        <v>45616</v>
      </c>
      <c r="E426">
        <v>6.02</v>
      </c>
      <c r="F426">
        <v>8.98</v>
      </c>
      <c r="G426">
        <v>53</v>
      </c>
      <c r="H426" t="s">
        <v>12</v>
      </c>
      <c r="I426">
        <v>4.59</v>
      </c>
      <c r="J426" t="str">
        <f t="shared" si="24"/>
        <v>Nov</v>
      </c>
      <c r="K426">
        <f t="shared" si="25"/>
        <v>2024</v>
      </c>
      <c r="L426">
        <f t="shared" si="26"/>
        <v>27.631799999999998</v>
      </c>
      <c r="M426" t="str">
        <f t="shared" si="27"/>
        <v>Weekday</v>
      </c>
    </row>
    <row r="427" spans="1:13" x14ac:dyDescent="0.35">
      <c r="A427" t="s">
        <v>442</v>
      </c>
      <c r="B427" t="s">
        <v>10</v>
      </c>
      <c r="C427" t="s">
        <v>15</v>
      </c>
      <c r="D427" s="1">
        <v>45444</v>
      </c>
      <c r="E427">
        <v>8.9499999999999993</v>
      </c>
      <c r="F427">
        <v>7.48</v>
      </c>
      <c r="G427">
        <v>110</v>
      </c>
      <c r="H427" t="s">
        <v>18</v>
      </c>
      <c r="I427">
        <v>3.7</v>
      </c>
      <c r="J427" t="str">
        <f t="shared" si="24"/>
        <v>Jun</v>
      </c>
      <c r="K427">
        <f t="shared" si="25"/>
        <v>2024</v>
      </c>
      <c r="L427">
        <f t="shared" si="26"/>
        <v>33.115000000000002</v>
      </c>
      <c r="M427" t="str">
        <f t="shared" si="27"/>
        <v>Weekend</v>
      </c>
    </row>
    <row r="428" spans="1:13" x14ac:dyDescent="0.35">
      <c r="A428" t="s">
        <v>443</v>
      </c>
      <c r="B428" t="s">
        <v>17</v>
      </c>
      <c r="C428" t="s">
        <v>11</v>
      </c>
      <c r="D428" s="1">
        <v>45562</v>
      </c>
      <c r="E428">
        <v>13.8</v>
      </c>
      <c r="F428">
        <v>6.19</v>
      </c>
      <c r="G428">
        <v>75</v>
      </c>
      <c r="H428" t="s">
        <v>12</v>
      </c>
      <c r="I428">
        <v>4.4000000000000004</v>
      </c>
      <c r="J428" t="str">
        <f t="shared" si="24"/>
        <v>Sep</v>
      </c>
      <c r="K428">
        <f t="shared" si="25"/>
        <v>2024</v>
      </c>
      <c r="L428">
        <f t="shared" si="26"/>
        <v>60.720000000000006</v>
      </c>
      <c r="M428" t="str">
        <f t="shared" si="27"/>
        <v>Weekday</v>
      </c>
    </row>
    <row r="429" spans="1:13" x14ac:dyDescent="0.35">
      <c r="A429" t="s">
        <v>444</v>
      </c>
      <c r="B429" t="s">
        <v>14</v>
      </c>
      <c r="C429" t="s">
        <v>15</v>
      </c>
      <c r="D429" s="1">
        <v>45542</v>
      </c>
      <c r="E429">
        <v>53.66</v>
      </c>
      <c r="F429">
        <v>6.99</v>
      </c>
      <c r="G429">
        <v>100</v>
      </c>
      <c r="H429" t="s">
        <v>12</v>
      </c>
      <c r="I429">
        <v>4.92</v>
      </c>
      <c r="J429" t="str">
        <f t="shared" si="24"/>
        <v>Sep</v>
      </c>
      <c r="K429">
        <f t="shared" si="25"/>
        <v>2024</v>
      </c>
      <c r="L429">
        <f t="shared" si="26"/>
        <v>264.00719999999995</v>
      </c>
      <c r="M429" t="str">
        <f t="shared" si="27"/>
        <v>Weekend</v>
      </c>
    </row>
    <row r="430" spans="1:13" x14ac:dyDescent="0.35">
      <c r="A430" t="s">
        <v>445</v>
      </c>
      <c r="B430" t="s">
        <v>17</v>
      </c>
      <c r="C430" t="s">
        <v>11</v>
      </c>
      <c r="D430" s="1">
        <v>45377</v>
      </c>
      <c r="E430">
        <v>87.78</v>
      </c>
      <c r="F430">
        <v>3.26</v>
      </c>
      <c r="G430">
        <v>28</v>
      </c>
      <c r="H430" t="s">
        <v>12</v>
      </c>
      <c r="I430">
        <v>3.38</v>
      </c>
      <c r="J430" t="str">
        <f t="shared" si="24"/>
        <v>Mar</v>
      </c>
      <c r="K430">
        <f t="shared" si="25"/>
        <v>2024</v>
      </c>
      <c r="L430">
        <f t="shared" si="26"/>
        <v>296.69639999999998</v>
      </c>
      <c r="M430" t="str">
        <f t="shared" si="27"/>
        <v>Weekday</v>
      </c>
    </row>
    <row r="431" spans="1:13" x14ac:dyDescent="0.35">
      <c r="A431" t="s">
        <v>446</v>
      </c>
      <c r="B431" t="s">
        <v>14</v>
      </c>
      <c r="C431" t="s">
        <v>24</v>
      </c>
      <c r="D431" s="1">
        <v>45342</v>
      </c>
      <c r="E431">
        <v>52.74</v>
      </c>
      <c r="F431">
        <v>5.4</v>
      </c>
      <c r="G431">
        <v>16</v>
      </c>
      <c r="H431" t="s">
        <v>12</v>
      </c>
      <c r="I431">
        <v>5.3</v>
      </c>
      <c r="J431" t="str">
        <f t="shared" si="24"/>
        <v>Feb</v>
      </c>
      <c r="K431">
        <f t="shared" si="25"/>
        <v>2024</v>
      </c>
      <c r="L431">
        <f t="shared" si="26"/>
        <v>279.52199999999999</v>
      </c>
      <c r="M431" t="str">
        <f t="shared" si="27"/>
        <v>Weekday</v>
      </c>
    </row>
    <row r="432" spans="1:13" x14ac:dyDescent="0.35">
      <c r="A432" t="s">
        <v>447</v>
      </c>
      <c r="B432" t="s">
        <v>10</v>
      </c>
      <c r="C432" t="s">
        <v>11</v>
      </c>
      <c r="D432" s="1">
        <v>45371</v>
      </c>
      <c r="E432">
        <v>81.06</v>
      </c>
      <c r="F432">
        <v>7.17</v>
      </c>
      <c r="G432">
        <v>38</v>
      </c>
      <c r="H432" t="s">
        <v>12</v>
      </c>
      <c r="I432">
        <v>5.0999999999999996</v>
      </c>
      <c r="J432" t="str">
        <f t="shared" si="24"/>
        <v>Mar</v>
      </c>
      <c r="K432">
        <f t="shared" si="25"/>
        <v>2024</v>
      </c>
      <c r="L432">
        <f t="shared" si="26"/>
        <v>413.40600000000001</v>
      </c>
      <c r="M432" t="str">
        <f t="shared" si="27"/>
        <v>Weekday</v>
      </c>
    </row>
    <row r="433" spans="1:13" x14ac:dyDescent="0.35">
      <c r="A433" t="s">
        <v>448</v>
      </c>
      <c r="B433" t="s">
        <v>14</v>
      </c>
      <c r="C433" t="s">
        <v>11</v>
      </c>
      <c r="D433" s="1">
        <v>45483</v>
      </c>
      <c r="E433">
        <v>9.82</v>
      </c>
      <c r="F433">
        <v>2.27</v>
      </c>
      <c r="G433">
        <v>58</v>
      </c>
      <c r="H433" t="s">
        <v>18</v>
      </c>
      <c r="I433">
        <v>9.9499999999999993</v>
      </c>
      <c r="J433" t="str">
        <f t="shared" si="24"/>
        <v>Jul</v>
      </c>
      <c r="K433">
        <f t="shared" si="25"/>
        <v>2024</v>
      </c>
      <c r="L433">
        <f t="shared" si="26"/>
        <v>97.708999999999989</v>
      </c>
      <c r="M433" t="str">
        <f t="shared" si="27"/>
        <v>Weekday</v>
      </c>
    </row>
    <row r="434" spans="1:13" x14ac:dyDescent="0.35">
      <c r="A434" t="s">
        <v>449</v>
      </c>
      <c r="B434" t="s">
        <v>17</v>
      </c>
      <c r="C434" t="s">
        <v>24</v>
      </c>
      <c r="D434" s="1">
        <v>45483</v>
      </c>
      <c r="E434">
        <v>20.07</v>
      </c>
      <c r="F434">
        <v>1.96</v>
      </c>
      <c r="G434">
        <v>88</v>
      </c>
      <c r="H434" t="s">
        <v>12</v>
      </c>
      <c r="I434">
        <v>7.46</v>
      </c>
      <c r="J434" t="str">
        <f t="shared" si="24"/>
        <v>Jul</v>
      </c>
      <c r="K434">
        <f t="shared" si="25"/>
        <v>2024</v>
      </c>
      <c r="L434">
        <f t="shared" si="26"/>
        <v>149.72220000000002</v>
      </c>
      <c r="M434" t="str">
        <f t="shared" si="27"/>
        <v>Weekday</v>
      </c>
    </row>
    <row r="435" spans="1:13" x14ac:dyDescent="0.35">
      <c r="A435" t="s">
        <v>450</v>
      </c>
      <c r="B435" t="s">
        <v>17</v>
      </c>
      <c r="C435" t="s">
        <v>11</v>
      </c>
      <c r="D435" s="1">
        <v>45303</v>
      </c>
      <c r="E435">
        <v>84.04</v>
      </c>
      <c r="F435">
        <v>6.95</v>
      </c>
      <c r="G435">
        <v>117</v>
      </c>
      <c r="H435" t="s">
        <v>18</v>
      </c>
      <c r="I435">
        <v>7.11</v>
      </c>
      <c r="J435" t="str">
        <f t="shared" si="24"/>
        <v>Jan</v>
      </c>
      <c r="K435">
        <f t="shared" si="25"/>
        <v>2024</v>
      </c>
      <c r="L435">
        <f t="shared" si="26"/>
        <v>597.52440000000013</v>
      </c>
      <c r="M435" t="str">
        <f t="shared" si="27"/>
        <v>Weekday</v>
      </c>
    </row>
    <row r="436" spans="1:13" x14ac:dyDescent="0.35">
      <c r="A436" t="s">
        <v>451</v>
      </c>
      <c r="B436" t="s">
        <v>10</v>
      </c>
      <c r="C436" t="s">
        <v>11</v>
      </c>
      <c r="D436" s="1">
        <v>45388</v>
      </c>
      <c r="E436">
        <v>69.78</v>
      </c>
      <c r="F436">
        <v>3.45</v>
      </c>
      <c r="G436">
        <v>2</v>
      </c>
      <c r="H436" t="s">
        <v>18</v>
      </c>
      <c r="I436">
        <v>7.52</v>
      </c>
      <c r="J436" t="str">
        <f t="shared" si="24"/>
        <v>Apr</v>
      </c>
      <c r="K436">
        <f t="shared" si="25"/>
        <v>2024</v>
      </c>
      <c r="L436">
        <f t="shared" si="26"/>
        <v>524.74559999999997</v>
      </c>
      <c r="M436" t="str">
        <f t="shared" si="27"/>
        <v>Weekend</v>
      </c>
    </row>
    <row r="437" spans="1:13" x14ac:dyDescent="0.35">
      <c r="A437" t="s">
        <v>452</v>
      </c>
      <c r="B437" t="s">
        <v>14</v>
      </c>
      <c r="C437" t="s">
        <v>11</v>
      </c>
      <c r="D437" s="1">
        <v>45587</v>
      </c>
      <c r="E437">
        <v>61.05</v>
      </c>
      <c r="F437">
        <v>5.13</v>
      </c>
      <c r="G437">
        <v>3</v>
      </c>
      <c r="H437" t="s">
        <v>18</v>
      </c>
      <c r="I437">
        <v>9.0500000000000007</v>
      </c>
      <c r="J437" t="str">
        <f t="shared" si="24"/>
        <v>Oct</v>
      </c>
      <c r="K437">
        <f t="shared" si="25"/>
        <v>2024</v>
      </c>
      <c r="L437">
        <f t="shared" si="26"/>
        <v>552.50250000000005</v>
      </c>
      <c r="M437" t="str">
        <f t="shared" si="27"/>
        <v>Weekday</v>
      </c>
    </row>
    <row r="438" spans="1:13" x14ac:dyDescent="0.35">
      <c r="A438" t="s">
        <v>453</v>
      </c>
      <c r="B438" t="s">
        <v>17</v>
      </c>
      <c r="C438" t="s">
        <v>15</v>
      </c>
      <c r="D438" s="1">
        <v>45403</v>
      </c>
      <c r="E438">
        <v>74.14</v>
      </c>
      <c r="F438">
        <v>4.1500000000000004</v>
      </c>
      <c r="G438">
        <v>0</v>
      </c>
      <c r="H438" t="s">
        <v>12</v>
      </c>
      <c r="I438">
        <v>8.59</v>
      </c>
      <c r="J438" t="str">
        <f t="shared" si="24"/>
        <v>Apr</v>
      </c>
      <c r="K438">
        <f t="shared" si="25"/>
        <v>2024</v>
      </c>
      <c r="L438">
        <f t="shared" si="26"/>
        <v>636.86260000000004</v>
      </c>
      <c r="M438" t="str">
        <f t="shared" si="27"/>
        <v>Weekend</v>
      </c>
    </row>
    <row r="439" spans="1:13" x14ac:dyDescent="0.35">
      <c r="A439" t="s">
        <v>454</v>
      </c>
      <c r="B439" t="s">
        <v>10</v>
      </c>
      <c r="C439" t="s">
        <v>15</v>
      </c>
      <c r="D439" s="1">
        <v>45653</v>
      </c>
      <c r="E439">
        <v>33.32</v>
      </c>
      <c r="F439">
        <v>2.56</v>
      </c>
      <c r="G439">
        <v>1</v>
      </c>
      <c r="H439" t="s">
        <v>18</v>
      </c>
      <c r="I439">
        <v>4.54</v>
      </c>
      <c r="J439" t="str">
        <f t="shared" si="24"/>
        <v>Dec</v>
      </c>
      <c r="K439">
        <f t="shared" si="25"/>
        <v>2024</v>
      </c>
      <c r="L439">
        <f t="shared" si="26"/>
        <v>151.27279999999999</v>
      </c>
      <c r="M439" t="str">
        <f t="shared" si="27"/>
        <v>Weekday</v>
      </c>
    </row>
    <row r="440" spans="1:13" x14ac:dyDescent="0.35">
      <c r="A440" t="s">
        <v>455</v>
      </c>
      <c r="B440" t="s">
        <v>10</v>
      </c>
      <c r="C440" t="s">
        <v>24</v>
      </c>
      <c r="D440" s="1">
        <v>45637</v>
      </c>
      <c r="E440">
        <v>25.08</v>
      </c>
      <c r="F440">
        <v>9.1999999999999993</v>
      </c>
      <c r="G440">
        <v>70</v>
      </c>
      <c r="H440" t="s">
        <v>12</v>
      </c>
      <c r="I440">
        <v>4.22</v>
      </c>
      <c r="J440" t="str">
        <f t="shared" si="24"/>
        <v>Dec</v>
      </c>
      <c r="K440">
        <f t="shared" si="25"/>
        <v>2024</v>
      </c>
      <c r="L440">
        <f t="shared" si="26"/>
        <v>105.83759999999998</v>
      </c>
      <c r="M440" t="str">
        <f t="shared" si="27"/>
        <v>Weekday</v>
      </c>
    </row>
    <row r="441" spans="1:13" x14ac:dyDescent="0.35">
      <c r="A441" t="s">
        <v>456</v>
      </c>
      <c r="B441" t="s">
        <v>14</v>
      </c>
      <c r="C441" t="s">
        <v>24</v>
      </c>
      <c r="D441" s="1">
        <v>45456</v>
      </c>
      <c r="E441">
        <v>32.68</v>
      </c>
      <c r="F441">
        <v>2.2000000000000002</v>
      </c>
      <c r="G441">
        <v>33</v>
      </c>
      <c r="H441" t="s">
        <v>12</v>
      </c>
      <c r="I441">
        <v>8.26</v>
      </c>
      <c r="J441" t="str">
        <f t="shared" si="24"/>
        <v>Jun</v>
      </c>
      <c r="K441">
        <f t="shared" si="25"/>
        <v>2024</v>
      </c>
      <c r="L441">
        <f t="shared" si="26"/>
        <v>269.93680000000001</v>
      </c>
      <c r="M441" t="str">
        <f t="shared" si="27"/>
        <v>Weekday</v>
      </c>
    </row>
    <row r="442" spans="1:13" x14ac:dyDescent="0.35">
      <c r="A442" t="s">
        <v>457</v>
      </c>
      <c r="B442" t="s">
        <v>17</v>
      </c>
      <c r="C442" t="s">
        <v>15</v>
      </c>
      <c r="D442" s="1">
        <v>45352</v>
      </c>
      <c r="E442">
        <v>7.09</v>
      </c>
      <c r="F442">
        <v>2.2000000000000002</v>
      </c>
      <c r="G442">
        <v>74</v>
      </c>
      <c r="H442" t="s">
        <v>18</v>
      </c>
      <c r="I442">
        <v>4.0999999999999996</v>
      </c>
      <c r="J442" t="str">
        <f t="shared" si="24"/>
        <v>Mar</v>
      </c>
      <c r="K442">
        <f t="shared" si="25"/>
        <v>2024</v>
      </c>
      <c r="L442">
        <f t="shared" si="26"/>
        <v>29.068999999999996</v>
      </c>
      <c r="M442" t="str">
        <f t="shared" si="27"/>
        <v>Weekday</v>
      </c>
    </row>
    <row r="443" spans="1:13" x14ac:dyDescent="0.35">
      <c r="A443" t="s">
        <v>458</v>
      </c>
      <c r="B443" t="s">
        <v>14</v>
      </c>
      <c r="C443" t="s">
        <v>11</v>
      </c>
      <c r="D443" s="1">
        <v>45601</v>
      </c>
      <c r="E443">
        <v>78.69</v>
      </c>
      <c r="F443">
        <v>9.16</v>
      </c>
      <c r="G443">
        <v>108</v>
      </c>
      <c r="H443" t="s">
        <v>12</v>
      </c>
      <c r="I443">
        <v>6.84</v>
      </c>
      <c r="J443" t="str">
        <f t="shared" si="24"/>
        <v>Nov</v>
      </c>
      <c r="K443">
        <f t="shared" si="25"/>
        <v>2024</v>
      </c>
      <c r="L443">
        <f t="shared" si="26"/>
        <v>538.2396</v>
      </c>
      <c r="M443" t="str">
        <f t="shared" si="27"/>
        <v>Weekday</v>
      </c>
    </row>
    <row r="444" spans="1:13" x14ac:dyDescent="0.35">
      <c r="A444" t="s">
        <v>459</v>
      </c>
      <c r="B444" t="s">
        <v>14</v>
      </c>
      <c r="C444" t="s">
        <v>24</v>
      </c>
      <c r="D444" s="1">
        <v>45626</v>
      </c>
      <c r="E444">
        <v>86.72</v>
      </c>
      <c r="F444">
        <v>9.41</v>
      </c>
      <c r="G444">
        <v>115</v>
      </c>
      <c r="H444" t="s">
        <v>18</v>
      </c>
      <c r="I444">
        <v>3.6</v>
      </c>
      <c r="J444" t="str">
        <f t="shared" si="24"/>
        <v>Nov</v>
      </c>
      <c r="K444">
        <f t="shared" si="25"/>
        <v>2024</v>
      </c>
      <c r="L444">
        <f t="shared" si="26"/>
        <v>312.19200000000001</v>
      </c>
      <c r="M444" t="str">
        <f t="shared" si="27"/>
        <v>Weekend</v>
      </c>
    </row>
    <row r="445" spans="1:13" x14ac:dyDescent="0.35">
      <c r="A445" t="s">
        <v>460</v>
      </c>
      <c r="B445" t="s">
        <v>17</v>
      </c>
      <c r="C445" t="s">
        <v>24</v>
      </c>
      <c r="D445" s="1">
        <v>45303</v>
      </c>
      <c r="E445">
        <v>6.4</v>
      </c>
      <c r="F445">
        <v>3.98</v>
      </c>
      <c r="G445">
        <v>6</v>
      </c>
      <c r="H445" t="s">
        <v>18</v>
      </c>
      <c r="I445">
        <v>5.23</v>
      </c>
      <c r="J445" t="str">
        <f t="shared" si="24"/>
        <v>Jan</v>
      </c>
      <c r="K445">
        <f t="shared" si="25"/>
        <v>2024</v>
      </c>
      <c r="L445">
        <f t="shared" si="26"/>
        <v>33.472000000000001</v>
      </c>
      <c r="M445" t="str">
        <f t="shared" si="27"/>
        <v>Weekday</v>
      </c>
    </row>
    <row r="446" spans="1:13" x14ac:dyDescent="0.35">
      <c r="A446" t="s">
        <v>461</v>
      </c>
      <c r="B446" t="s">
        <v>14</v>
      </c>
      <c r="C446" t="s">
        <v>11</v>
      </c>
      <c r="D446" s="1">
        <v>45443</v>
      </c>
      <c r="E446">
        <v>15.28</v>
      </c>
      <c r="F446">
        <v>4</v>
      </c>
      <c r="G446">
        <v>113</v>
      </c>
      <c r="H446" t="s">
        <v>18</v>
      </c>
      <c r="I446">
        <v>3.17</v>
      </c>
      <c r="J446" t="str">
        <f t="shared" si="24"/>
        <v>May</v>
      </c>
      <c r="K446">
        <f t="shared" si="25"/>
        <v>2024</v>
      </c>
      <c r="L446">
        <f t="shared" si="26"/>
        <v>48.437599999999996</v>
      </c>
      <c r="M446" t="str">
        <f t="shared" si="27"/>
        <v>Weekday</v>
      </c>
    </row>
    <row r="447" spans="1:13" x14ac:dyDescent="0.35">
      <c r="A447" t="s">
        <v>462</v>
      </c>
      <c r="B447" t="s">
        <v>10</v>
      </c>
      <c r="C447" t="s">
        <v>15</v>
      </c>
      <c r="D447" s="1">
        <v>45458</v>
      </c>
      <c r="E447">
        <v>73.89</v>
      </c>
      <c r="F447">
        <v>4.5599999999999996</v>
      </c>
      <c r="G447">
        <v>30</v>
      </c>
      <c r="H447" t="s">
        <v>12</v>
      </c>
      <c r="I447">
        <v>6.2</v>
      </c>
      <c r="J447" t="str">
        <f t="shared" si="24"/>
        <v>Jun</v>
      </c>
      <c r="K447">
        <f t="shared" si="25"/>
        <v>2024</v>
      </c>
      <c r="L447">
        <f t="shared" si="26"/>
        <v>458.11799999999999</v>
      </c>
      <c r="M447" t="str">
        <f t="shared" si="27"/>
        <v>Weekend</v>
      </c>
    </row>
    <row r="448" spans="1:13" x14ac:dyDescent="0.35">
      <c r="A448" t="s">
        <v>463</v>
      </c>
      <c r="B448" t="s">
        <v>10</v>
      </c>
      <c r="C448" t="s">
        <v>24</v>
      </c>
      <c r="D448" s="1">
        <v>45469</v>
      </c>
      <c r="E448">
        <v>79.94</v>
      </c>
      <c r="F448">
        <v>7.88</v>
      </c>
      <c r="G448">
        <v>25</v>
      </c>
      <c r="H448" t="s">
        <v>12</v>
      </c>
      <c r="I448">
        <v>8.91</v>
      </c>
      <c r="J448" t="str">
        <f t="shared" si="24"/>
        <v>Jun</v>
      </c>
      <c r="K448">
        <f t="shared" si="25"/>
        <v>2024</v>
      </c>
      <c r="L448">
        <f t="shared" si="26"/>
        <v>712.2654</v>
      </c>
      <c r="M448" t="str">
        <f t="shared" si="27"/>
        <v>Weekday</v>
      </c>
    </row>
    <row r="449" spans="1:13" x14ac:dyDescent="0.35">
      <c r="A449" t="s">
        <v>464</v>
      </c>
      <c r="B449" t="s">
        <v>14</v>
      </c>
      <c r="C449" t="s">
        <v>24</v>
      </c>
      <c r="D449" s="1">
        <v>45420</v>
      </c>
      <c r="E449">
        <v>44.5</v>
      </c>
      <c r="F449">
        <v>5.9</v>
      </c>
      <c r="G449">
        <v>27</v>
      </c>
      <c r="H449" t="s">
        <v>12</v>
      </c>
      <c r="I449">
        <v>4.79</v>
      </c>
      <c r="J449" t="str">
        <f t="shared" si="24"/>
        <v>May</v>
      </c>
      <c r="K449">
        <f t="shared" si="25"/>
        <v>2024</v>
      </c>
      <c r="L449">
        <f t="shared" si="26"/>
        <v>213.155</v>
      </c>
      <c r="M449" t="str">
        <f t="shared" si="27"/>
        <v>Weekday</v>
      </c>
    </row>
    <row r="450" spans="1:13" x14ac:dyDescent="0.35">
      <c r="A450" t="s">
        <v>465</v>
      </c>
      <c r="B450" t="s">
        <v>10</v>
      </c>
      <c r="C450" t="s">
        <v>11</v>
      </c>
      <c r="D450" s="1">
        <v>45430</v>
      </c>
      <c r="E450">
        <v>94.94</v>
      </c>
      <c r="F450">
        <v>7.51</v>
      </c>
      <c r="G450">
        <v>91</v>
      </c>
      <c r="H450" t="s">
        <v>18</v>
      </c>
      <c r="I450">
        <v>6.24</v>
      </c>
      <c r="J450" t="str">
        <f t="shared" si="24"/>
        <v>May</v>
      </c>
      <c r="K450">
        <f t="shared" si="25"/>
        <v>2024</v>
      </c>
      <c r="L450">
        <f t="shared" si="26"/>
        <v>592.42560000000003</v>
      </c>
      <c r="M450" t="str">
        <f t="shared" si="27"/>
        <v>Weekend</v>
      </c>
    </row>
    <row r="451" spans="1:13" x14ac:dyDescent="0.35">
      <c r="A451" t="s">
        <v>466</v>
      </c>
      <c r="B451" t="s">
        <v>17</v>
      </c>
      <c r="C451" t="s">
        <v>11</v>
      </c>
      <c r="D451" s="1">
        <v>45472</v>
      </c>
      <c r="E451">
        <v>30.92</v>
      </c>
      <c r="F451">
        <v>8.32</v>
      </c>
      <c r="G451">
        <v>75</v>
      </c>
      <c r="H451" t="s">
        <v>12</v>
      </c>
      <c r="I451">
        <v>9.16</v>
      </c>
      <c r="J451" t="str">
        <f t="shared" ref="J451:J514" si="28">TEXT(D451,"mmm")</f>
        <v>Jun</v>
      </c>
      <c r="K451">
        <f t="shared" ref="K451:K514" si="29">YEAR(D451)</f>
        <v>2024</v>
      </c>
      <c r="L451">
        <f t="shared" ref="L451:L514" si="30">E451*I451</f>
        <v>283.22720000000004</v>
      </c>
      <c r="M451" t="str">
        <f t="shared" ref="M451:M514" si="31">IF(OR(WEEKDAY(D451)=1,WEEKDAY(D451)=7),"Weekend","Weekday")</f>
        <v>Weekend</v>
      </c>
    </row>
    <row r="452" spans="1:13" x14ac:dyDescent="0.35">
      <c r="A452" t="s">
        <v>467</v>
      </c>
      <c r="B452" t="s">
        <v>17</v>
      </c>
      <c r="C452" t="s">
        <v>15</v>
      </c>
      <c r="D452" s="1">
        <v>45454</v>
      </c>
      <c r="E452">
        <v>72.790000000000006</v>
      </c>
      <c r="F452">
        <v>1.49</v>
      </c>
      <c r="G452">
        <v>46</v>
      </c>
      <c r="H452" t="s">
        <v>18</v>
      </c>
      <c r="I452">
        <v>3.66</v>
      </c>
      <c r="J452" t="str">
        <f t="shared" si="28"/>
        <v>Jun</v>
      </c>
      <c r="K452">
        <f t="shared" si="29"/>
        <v>2024</v>
      </c>
      <c r="L452">
        <f t="shared" si="30"/>
        <v>266.41140000000001</v>
      </c>
      <c r="M452" t="str">
        <f t="shared" si="31"/>
        <v>Weekday</v>
      </c>
    </row>
    <row r="453" spans="1:13" x14ac:dyDescent="0.35">
      <c r="A453" t="s">
        <v>468</v>
      </c>
      <c r="B453" t="s">
        <v>17</v>
      </c>
      <c r="C453" t="s">
        <v>15</v>
      </c>
      <c r="D453" s="1">
        <v>45298</v>
      </c>
      <c r="E453">
        <v>42.83</v>
      </c>
      <c r="F453">
        <v>8.91</v>
      </c>
      <c r="G453">
        <v>32</v>
      </c>
      <c r="H453" t="s">
        <v>18</v>
      </c>
      <c r="I453">
        <v>6.8</v>
      </c>
      <c r="J453" t="str">
        <f t="shared" si="28"/>
        <v>Jan</v>
      </c>
      <c r="K453">
        <f t="shared" si="29"/>
        <v>2024</v>
      </c>
      <c r="L453">
        <f t="shared" si="30"/>
        <v>291.24399999999997</v>
      </c>
      <c r="M453" t="str">
        <f t="shared" si="31"/>
        <v>Weekend</v>
      </c>
    </row>
    <row r="454" spans="1:13" x14ac:dyDescent="0.35">
      <c r="A454" t="s">
        <v>469</v>
      </c>
      <c r="B454" t="s">
        <v>14</v>
      </c>
      <c r="C454" t="s">
        <v>15</v>
      </c>
      <c r="D454" s="1">
        <v>45467</v>
      </c>
      <c r="E454">
        <v>73</v>
      </c>
      <c r="F454">
        <v>6.14</v>
      </c>
      <c r="G454">
        <v>92</v>
      </c>
      <c r="H454" t="s">
        <v>18</v>
      </c>
      <c r="I454">
        <v>5.74</v>
      </c>
      <c r="J454" t="str">
        <f t="shared" si="28"/>
        <v>Jun</v>
      </c>
      <c r="K454">
        <f t="shared" si="29"/>
        <v>2024</v>
      </c>
      <c r="L454">
        <f t="shared" si="30"/>
        <v>419.02000000000004</v>
      </c>
      <c r="M454" t="str">
        <f t="shared" si="31"/>
        <v>Weekday</v>
      </c>
    </row>
    <row r="455" spans="1:13" x14ac:dyDescent="0.35">
      <c r="A455" t="s">
        <v>470</v>
      </c>
      <c r="B455" t="s">
        <v>10</v>
      </c>
      <c r="C455" t="s">
        <v>24</v>
      </c>
      <c r="D455" s="1">
        <v>45614</v>
      </c>
      <c r="E455">
        <v>35.78</v>
      </c>
      <c r="F455">
        <v>6.25</v>
      </c>
      <c r="G455">
        <v>113</v>
      </c>
      <c r="H455" t="s">
        <v>12</v>
      </c>
      <c r="I455">
        <v>4.96</v>
      </c>
      <c r="J455" t="str">
        <f t="shared" si="28"/>
        <v>Nov</v>
      </c>
      <c r="K455">
        <f t="shared" si="29"/>
        <v>2024</v>
      </c>
      <c r="L455">
        <f t="shared" si="30"/>
        <v>177.46880000000002</v>
      </c>
      <c r="M455" t="str">
        <f t="shared" si="31"/>
        <v>Weekday</v>
      </c>
    </row>
    <row r="456" spans="1:13" x14ac:dyDescent="0.35">
      <c r="A456" t="s">
        <v>471</v>
      </c>
      <c r="B456" t="s">
        <v>14</v>
      </c>
      <c r="C456" t="s">
        <v>11</v>
      </c>
      <c r="D456" s="1">
        <v>45433</v>
      </c>
      <c r="E456">
        <v>29.55</v>
      </c>
      <c r="F456">
        <v>6.15</v>
      </c>
      <c r="G456">
        <v>50</v>
      </c>
      <c r="H456" t="s">
        <v>12</v>
      </c>
      <c r="I456">
        <v>3.07</v>
      </c>
      <c r="J456" t="str">
        <f t="shared" si="28"/>
        <v>May</v>
      </c>
      <c r="K456">
        <f t="shared" si="29"/>
        <v>2024</v>
      </c>
      <c r="L456">
        <f t="shared" si="30"/>
        <v>90.718499999999992</v>
      </c>
      <c r="M456" t="str">
        <f t="shared" si="31"/>
        <v>Weekday</v>
      </c>
    </row>
    <row r="457" spans="1:13" x14ac:dyDescent="0.35">
      <c r="A457" t="s">
        <v>472</v>
      </c>
      <c r="B457" t="s">
        <v>14</v>
      </c>
      <c r="C457" t="s">
        <v>24</v>
      </c>
      <c r="D457" s="1">
        <v>45614</v>
      </c>
      <c r="E457">
        <v>40.450000000000003</v>
      </c>
      <c r="F457">
        <v>7.73</v>
      </c>
      <c r="G457">
        <v>78</v>
      </c>
      <c r="H457" t="s">
        <v>18</v>
      </c>
      <c r="I457">
        <v>4.46</v>
      </c>
      <c r="J457" t="str">
        <f t="shared" si="28"/>
        <v>Nov</v>
      </c>
      <c r="K457">
        <f t="shared" si="29"/>
        <v>2024</v>
      </c>
      <c r="L457">
        <f t="shared" si="30"/>
        <v>180.40700000000001</v>
      </c>
      <c r="M457" t="str">
        <f t="shared" si="31"/>
        <v>Weekday</v>
      </c>
    </row>
    <row r="458" spans="1:13" x14ac:dyDescent="0.35">
      <c r="A458" t="s">
        <v>473</v>
      </c>
      <c r="B458" t="s">
        <v>14</v>
      </c>
      <c r="C458" t="s">
        <v>15</v>
      </c>
      <c r="D458" s="1">
        <v>45418</v>
      </c>
      <c r="E458">
        <v>43.95</v>
      </c>
      <c r="F458">
        <v>3.14</v>
      </c>
      <c r="G458">
        <v>52</v>
      </c>
      <c r="H458" t="s">
        <v>12</v>
      </c>
      <c r="I458">
        <v>4.09</v>
      </c>
      <c r="J458" t="str">
        <f t="shared" si="28"/>
        <v>May</v>
      </c>
      <c r="K458">
        <f t="shared" si="29"/>
        <v>2024</v>
      </c>
      <c r="L458">
        <f t="shared" si="30"/>
        <v>179.75550000000001</v>
      </c>
      <c r="M458" t="str">
        <f t="shared" si="31"/>
        <v>Weekday</v>
      </c>
    </row>
    <row r="459" spans="1:13" x14ac:dyDescent="0.35">
      <c r="A459" t="s">
        <v>474</v>
      </c>
      <c r="B459" t="s">
        <v>17</v>
      </c>
      <c r="C459" t="s">
        <v>24</v>
      </c>
      <c r="D459" s="1">
        <v>45459</v>
      </c>
      <c r="E459">
        <v>28.72</v>
      </c>
      <c r="F459">
        <v>6.34</v>
      </c>
      <c r="G459">
        <v>42</v>
      </c>
      <c r="H459" t="s">
        <v>18</v>
      </c>
      <c r="I459">
        <v>9.19</v>
      </c>
      <c r="J459" t="str">
        <f t="shared" si="28"/>
        <v>Jun</v>
      </c>
      <c r="K459">
        <f t="shared" si="29"/>
        <v>2024</v>
      </c>
      <c r="L459">
        <f t="shared" si="30"/>
        <v>263.93679999999995</v>
      </c>
      <c r="M459" t="str">
        <f t="shared" si="31"/>
        <v>Weekend</v>
      </c>
    </row>
    <row r="460" spans="1:13" x14ac:dyDescent="0.35">
      <c r="A460" t="s">
        <v>475</v>
      </c>
      <c r="B460" t="s">
        <v>14</v>
      </c>
      <c r="C460" t="s">
        <v>15</v>
      </c>
      <c r="D460" s="1">
        <v>45591</v>
      </c>
      <c r="E460">
        <v>39.58</v>
      </c>
      <c r="F460">
        <v>5.23</v>
      </c>
      <c r="G460">
        <v>11</v>
      </c>
      <c r="H460" t="s">
        <v>12</v>
      </c>
      <c r="I460">
        <v>8.5</v>
      </c>
      <c r="J460" t="str">
        <f t="shared" si="28"/>
        <v>Oct</v>
      </c>
      <c r="K460">
        <f t="shared" si="29"/>
        <v>2024</v>
      </c>
      <c r="L460">
        <f t="shared" si="30"/>
        <v>336.43</v>
      </c>
      <c r="M460" t="str">
        <f t="shared" si="31"/>
        <v>Weekend</v>
      </c>
    </row>
    <row r="461" spans="1:13" x14ac:dyDescent="0.35">
      <c r="A461" t="s">
        <v>476</v>
      </c>
      <c r="B461" t="s">
        <v>14</v>
      </c>
      <c r="C461" t="s">
        <v>15</v>
      </c>
      <c r="D461" s="1">
        <v>45385</v>
      </c>
      <c r="E461">
        <v>47.01</v>
      </c>
      <c r="F461">
        <v>8.7799999999999994</v>
      </c>
      <c r="G461">
        <v>72</v>
      </c>
      <c r="H461" t="s">
        <v>12</v>
      </c>
      <c r="I461">
        <v>8.75</v>
      </c>
      <c r="J461" t="str">
        <f t="shared" si="28"/>
        <v>Apr</v>
      </c>
      <c r="K461">
        <f t="shared" si="29"/>
        <v>2024</v>
      </c>
      <c r="L461">
        <f t="shared" si="30"/>
        <v>411.33749999999998</v>
      </c>
      <c r="M461" t="str">
        <f t="shared" si="31"/>
        <v>Weekday</v>
      </c>
    </row>
    <row r="462" spans="1:13" x14ac:dyDescent="0.35">
      <c r="A462" t="s">
        <v>477</v>
      </c>
      <c r="B462" t="s">
        <v>17</v>
      </c>
      <c r="C462" t="s">
        <v>11</v>
      </c>
      <c r="D462" s="1">
        <v>45415</v>
      </c>
      <c r="E462">
        <v>85.7</v>
      </c>
      <c r="F462">
        <v>9.41</v>
      </c>
      <c r="G462">
        <v>33</v>
      </c>
      <c r="H462" t="s">
        <v>18</v>
      </c>
      <c r="I462">
        <v>9.43</v>
      </c>
      <c r="J462" t="str">
        <f t="shared" si="28"/>
        <v>May</v>
      </c>
      <c r="K462">
        <f t="shared" si="29"/>
        <v>2024</v>
      </c>
      <c r="L462">
        <f t="shared" si="30"/>
        <v>808.15099999999995</v>
      </c>
      <c r="M462" t="str">
        <f t="shared" si="31"/>
        <v>Weekday</v>
      </c>
    </row>
    <row r="463" spans="1:13" x14ac:dyDescent="0.35">
      <c r="A463" t="s">
        <v>478</v>
      </c>
      <c r="B463" t="s">
        <v>10</v>
      </c>
      <c r="C463" t="s">
        <v>24</v>
      </c>
      <c r="D463" s="1">
        <v>45364</v>
      </c>
      <c r="E463">
        <v>73.81</v>
      </c>
      <c r="F463">
        <v>9.56</v>
      </c>
      <c r="G463">
        <v>35</v>
      </c>
      <c r="H463" t="s">
        <v>18</v>
      </c>
      <c r="I463">
        <v>6.6</v>
      </c>
      <c r="J463" t="str">
        <f t="shared" si="28"/>
        <v>Mar</v>
      </c>
      <c r="K463">
        <f t="shared" si="29"/>
        <v>2024</v>
      </c>
      <c r="L463">
        <f t="shared" si="30"/>
        <v>487.14600000000002</v>
      </c>
      <c r="M463" t="str">
        <f t="shared" si="31"/>
        <v>Weekday</v>
      </c>
    </row>
    <row r="464" spans="1:13" x14ac:dyDescent="0.35">
      <c r="A464" t="s">
        <v>479</v>
      </c>
      <c r="B464" t="s">
        <v>14</v>
      </c>
      <c r="C464" t="s">
        <v>11</v>
      </c>
      <c r="D464" s="1">
        <v>45445</v>
      </c>
      <c r="E464">
        <v>78.75</v>
      </c>
      <c r="F464">
        <v>9.17</v>
      </c>
      <c r="G464">
        <v>53</v>
      </c>
      <c r="H464" t="s">
        <v>18</v>
      </c>
      <c r="I464">
        <v>9.07</v>
      </c>
      <c r="J464" t="str">
        <f t="shared" si="28"/>
        <v>Jun</v>
      </c>
      <c r="K464">
        <f t="shared" si="29"/>
        <v>2024</v>
      </c>
      <c r="L464">
        <f t="shared" si="30"/>
        <v>714.26250000000005</v>
      </c>
      <c r="M464" t="str">
        <f t="shared" si="31"/>
        <v>Weekend</v>
      </c>
    </row>
    <row r="465" spans="1:13" x14ac:dyDescent="0.35">
      <c r="A465" t="s">
        <v>480</v>
      </c>
      <c r="B465" t="s">
        <v>14</v>
      </c>
      <c r="C465" t="s">
        <v>11</v>
      </c>
      <c r="D465" s="1">
        <v>45421</v>
      </c>
      <c r="E465">
        <v>58.63</v>
      </c>
      <c r="F465">
        <v>9.48</v>
      </c>
      <c r="G465">
        <v>93</v>
      </c>
      <c r="H465" t="s">
        <v>18</v>
      </c>
      <c r="I465">
        <v>6.87</v>
      </c>
      <c r="J465" t="str">
        <f t="shared" si="28"/>
        <v>May</v>
      </c>
      <c r="K465">
        <f t="shared" si="29"/>
        <v>2024</v>
      </c>
      <c r="L465">
        <f t="shared" si="30"/>
        <v>402.78810000000004</v>
      </c>
      <c r="M465" t="str">
        <f t="shared" si="31"/>
        <v>Weekday</v>
      </c>
    </row>
    <row r="466" spans="1:13" x14ac:dyDescent="0.35">
      <c r="A466" t="s">
        <v>481</v>
      </c>
      <c r="B466" t="s">
        <v>10</v>
      </c>
      <c r="C466" t="s">
        <v>15</v>
      </c>
      <c r="D466" s="1">
        <v>45457</v>
      </c>
      <c r="E466">
        <v>96.93</v>
      </c>
      <c r="F466">
        <v>8.44</v>
      </c>
      <c r="G466">
        <v>23</v>
      </c>
      <c r="H466" t="s">
        <v>18</v>
      </c>
      <c r="I466">
        <v>3.22</v>
      </c>
      <c r="J466" t="str">
        <f t="shared" si="28"/>
        <v>Jun</v>
      </c>
      <c r="K466">
        <f t="shared" si="29"/>
        <v>2024</v>
      </c>
      <c r="L466">
        <f t="shared" si="30"/>
        <v>312.11460000000005</v>
      </c>
      <c r="M466" t="str">
        <f t="shared" si="31"/>
        <v>Weekday</v>
      </c>
    </row>
    <row r="467" spans="1:13" x14ac:dyDescent="0.35">
      <c r="A467" t="s">
        <v>482</v>
      </c>
      <c r="B467" t="s">
        <v>10</v>
      </c>
      <c r="C467" t="s">
        <v>11</v>
      </c>
      <c r="D467" s="1">
        <v>45491</v>
      </c>
      <c r="E467">
        <v>17.25</v>
      </c>
      <c r="F467">
        <v>9.65</v>
      </c>
      <c r="G467">
        <v>113</v>
      </c>
      <c r="H467" t="s">
        <v>18</v>
      </c>
      <c r="I467">
        <v>8.11</v>
      </c>
      <c r="J467" t="str">
        <f t="shared" si="28"/>
        <v>Jul</v>
      </c>
      <c r="K467">
        <f t="shared" si="29"/>
        <v>2024</v>
      </c>
      <c r="L467">
        <f t="shared" si="30"/>
        <v>139.89749999999998</v>
      </c>
      <c r="M467" t="str">
        <f t="shared" si="31"/>
        <v>Weekday</v>
      </c>
    </row>
    <row r="468" spans="1:13" x14ac:dyDescent="0.35">
      <c r="A468" t="s">
        <v>483</v>
      </c>
      <c r="B468" t="s">
        <v>17</v>
      </c>
      <c r="C468" t="s">
        <v>11</v>
      </c>
      <c r="D468" s="1">
        <v>45546</v>
      </c>
      <c r="E468">
        <v>14.53</v>
      </c>
      <c r="F468">
        <v>8.52</v>
      </c>
      <c r="G468">
        <v>9</v>
      </c>
      <c r="H468" t="s">
        <v>18</v>
      </c>
      <c r="I468">
        <v>7.43</v>
      </c>
      <c r="J468" t="str">
        <f t="shared" si="28"/>
        <v>Sep</v>
      </c>
      <c r="K468">
        <f t="shared" si="29"/>
        <v>2024</v>
      </c>
      <c r="L468">
        <f t="shared" si="30"/>
        <v>107.9579</v>
      </c>
      <c r="M468" t="str">
        <f t="shared" si="31"/>
        <v>Weekday</v>
      </c>
    </row>
    <row r="469" spans="1:13" x14ac:dyDescent="0.35">
      <c r="A469" t="s">
        <v>484</v>
      </c>
      <c r="B469" t="s">
        <v>14</v>
      </c>
      <c r="C469" t="s">
        <v>11</v>
      </c>
      <c r="D469" s="1">
        <v>45562</v>
      </c>
      <c r="E469">
        <v>6.59</v>
      </c>
      <c r="F469">
        <v>7.99</v>
      </c>
      <c r="G469">
        <v>110</v>
      </c>
      <c r="H469" t="s">
        <v>12</v>
      </c>
      <c r="I469">
        <v>7.68</v>
      </c>
      <c r="J469" t="str">
        <f t="shared" si="28"/>
        <v>Sep</v>
      </c>
      <c r="K469">
        <f t="shared" si="29"/>
        <v>2024</v>
      </c>
      <c r="L469">
        <f t="shared" si="30"/>
        <v>50.611199999999997</v>
      </c>
      <c r="M469" t="str">
        <f t="shared" si="31"/>
        <v>Weekday</v>
      </c>
    </row>
    <row r="470" spans="1:13" x14ac:dyDescent="0.35">
      <c r="A470" t="s">
        <v>485</v>
      </c>
      <c r="B470" t="s">
        <v>10</v>
      </c>
      <c r="C470" t="s">
        <v>24</v>
      </c>
      <c r="D470" s="1">
        <v>45568</v>
      </c>
      <c r="E470">
        <v>85.86</v>
      </c>
      <c r="F470">
        <v>8.31</v>
      </c>
      <c r="G470">
        <v>36</v>
      </c>
      <c r="H470" t="s">
        <v>12</v>
      </c>
      <c r="I470">
        <v>9.4</v>
      </c>
      <c r="J470" t="str">
        <f t="shared" si="28"/>
        <v>Oct</v>
      </c>
      <c r="K470">
        <f t="shared" si="29"/>
        <v>2024</v>
      </c>
      <c r="L470">
        <f t="shared" si="30"/>
        <v>807.08400000000006</v>
      </c>
      <c r="M470" t="str">
        <f t="shared" si="31"/>
        <v>Weekday</v>
      </c>
    </row>
    <row r="471" spans="1:13" x14ac:dyDescent="0.35">
      <c r="A471" t="s">
        <v>486</v>
      </c>
      <c r="B471" t="s">
        <v>10</v>
      </c>
      <c r="C471" t="s">
        <v>15</v>
      </c>
      <c r="D471" s="1">
        <v>45377</v>
      </c>
      <c r="E471">
        <v>34.61</v>
      </c>
      <c r="F471">
        <v>5.29</v>
      </c>
      <c r="G471">
        <v>16</v>
      </c>
      <c r="H471" t="s">
        <v>18</v>
      </c>
      <c r="I471">
        <v>9.0399999999999991</v>
      </c>
      <c r="J471" t="str">
        <f t="shared" si="28"/>
        <v>Mar</v>
      </c>
      <c r="K471">
        <f t="shared" si="29"/>
        <v>2024</v>
      </c>
      <c r="L471">
        <f t="shared" si="30"/>
        <v>312.87439999999998</v>
      </c>
      <c r="M471" t="str">
        <f t="shared" si="31"/>
        <v>Weekday</v>
      </c>
    </row>
    <row r="472" spans="1:13" x14ac:dyDescent="0.35">
      <c r="A472" t="s">
        <v>487</v>
      </c>
      <c r="B472" t="s">
        <v>14</v>
      </c>
      <c r="C472" t="s">
        <v>24</v>
      </c>
      <c r="D472" s="1">
        <v>45539</v>
      </c>
      <c r="E472">
        <v>84.78</v>
      </c>
      <c r="F472">
        <v>8.89</v>
      </c>
      <c r="G472">
        <v>22</v>
      </c>
      <c r="H472" t="s">
        <v>18</v>
      </c>
      <c r="I472">
        <v>7.2</v>
      </c>
      <c r="J472" t="str">
        <f t="shared" si="28"/>
        <v>Sep</v>
      </c>
      <c r="K472">
        <f t="shared" si="29"/>
        <v>2024</v>
      </c>
      <c r="L472">
        <f t="shared" si="30"/>
        <v>610.41600000000005</v>
      </c>
      <c r="M472" t="str">
        <f t="shared" si="31"/>
        <v>Weekday</v>
      </c>
    </row>
    <row r="473" spans="1:13" x14ac:dyDescent="0.35">
      <c r="A473" t="s">
        <v>488</v>
      </c>
      <c r="B473" t="s">
        <v>14</v>
      </c>
      <c r="C473" t="s">
        <v>15</v>
      </c>
      <c r="D473" s="1">
        <v>45564</v>
      </c>
      <c r="E473">
        <v>59.98</v>
      </c>
      <c r="F473">
        <v>7.52</v>
      </c>
      <c r="G473">
        <v>17</v>
      </c>
      <c r="H473" t="s">
        <v>18</v>
      </c>
      <c r="I473">
        <v>4.26</v>
      </c>
      <c r="J473" t="str">
        <f t="shared" si="28"/>
        <v>Sep</v>
      </c>
      <c r="K473">
        <f t="shared" si="29"/>
        <v>2024</v>
      </c>
      <c r="L473">
        <f t="shared" si="30"/>
        <v>255.51479999999998</v>
      </c>
      <c r="M473" t="str">
        <f t="shared" si="31"/>
        <v>Weekend</v>
      </c>
    </row>
    <row r="474" spans="1:13" x14ac:dyDescent="0.35">
      <c r="A474" t="s">
        <v>489</v>
      </c>
      <c r="B474" t="s">
        <v>14</v>
      </c>
      <c r="C474" t="s">
        <v>11</v>
      </c>
      <c r="D474" s="1">
        <v>45323</v>
      </c>
      <c r="E474">
        <v>59.07</v>
      </c>
      <c r="F474">
        <v>8.42</v>
      </c>
      <c r="G474">
        <v>21</v>
      </c>
      <c r="H474" t="s">
        <v>18</v>
      </c>
      <c r="I474">
        <v>4.25</v>
      </c>
      <c r="J474" t="str">
        <f t="shared" si="28"/>
        <v>Feb</v>
      </c>
      <c r="K474">
        <f t="shared" si="29"/>
        <v>2024</v>
      </c>
      <c r="L474">
        <f t="shared" si="30"/>
        <v>251.04750000000001</v>
      </c>
      <c r="M474" t="str">
        <f t="shared" si="31"/>
        <v>Weekday</v>
      </c>
    </row>
    <row r="475" spans="1:13" x14ac:dyDescent="0.35">
      <c r="A475" t="s">
        <v>490</v>
      </c>
      <c r="B475" t="s">
        <v>10</v>
      </c>
      <c r="C475" t="s">
        <v>15</v>
      </c>
      <c r="D475" s="1">
        <v>45644</v>
      </c>
      <c r="E475">
        <v>87.6</v>
      </c>
      <c r="F475">
        <v>2.1800000000000002</v>
      </c>
      <c r="G475">
        <v>85</v>
      </c>
      <c r="H475" t="s">
        <v>18</v>
      </c>
      <c r="I475">
        <v>8.9700000000000006</v>
      </c>
      <c r="J475" t="str">
        <f t="shared" si="28"/>
        <v>Dec</v>
      </c>
      <c r="K475">
        <f t="shared" si="29"/>
        <v>2024</v>
      </c>
      <c r="L475">
        <f t="shared" si="30"/>
        <v>785.77200000000005</v>
      </c>
      <c r="M475" t="str">
        <f t="shared" si="31"/>
        <v>Weekday</v>
      </c>
    </row>
    <row r="476" spans="1:13" x14ac:dyDescent="0.35">
      <c r="A476" t="s">
        <v>491</v>
      </c>
      <c r="B476" t="s">
        <v>14</v>
      </c>
      <c r="C476" t="s">
        <v>11</v>
      </c>
      <c r="D476" s="1">
        <v>45446</v>
      </c>
      <c r="E476">
        <v>27.01</v>
      </c>
      <c r="F476">
        <v>2.68</v>
      </c>
      <c r="G476">
        <v>77</v>
      </c>
      <c r="H476" t="s">
        <v>18</v>
      </c>
      <c r="I476">
        <v>9.34</v>
      </c>
      <c r="J476" t="str">
        <f t="shared" si="28"/>
        <v>Jun</v>
      </c>
      <c r="K476">
        <f t="shared" si="29"/>
        <v>2024</v>
      </c>
      <c r="L476">
        <f t="shared" si="30"/>
        <v>252.27340000000001</v>
      </c>
      <c r="M476" t="str">
        <f t="shared" si="31"/>
        <v>Weekday</v>
      </c>
    </row>
    <row r="477" spans="1:13" x14ac:dyDescent="0.35">
      <c r="A477" t="s">
        <v>492</v>
      </c>
      <c r="B477" t="s">
        <v>17</v>
      </c>
      <c r="C477" t="s">
        <v>24</v>
      </c>
      <c r="D477" s="1">
        <v>45294</v>
      </c>
      <c r="E477">
        <v>72.39</v>
      </c>
      <c r="F477">
        <v>5.41</v>
      </c>
      <c r="G477">
        <v>44</v>
      </c>
      <c r="H477" t="s">
        <v>12</v>
      </c>
      <c r="I477">
        <v>6.56</v>
      </c>
      <c r="J477" t="str">
        <f t="shared" si="28"/>
        <v>Jan</v>
      </c>
      <c r="K477">
        <f t="shared" si="29"/>
        <v>2024</v>
      </c>
      <c r="L477">
        <f t="shared" si="30"/>
        <v>474.8784</v>
      </c>
      <c r="M477" t="str">
        <f t="shared" si="31"/>
        <v>Weekday</v>
      </c>
    </row>
    <row r="478" spans="1:13" x14ac:dyDescent="0.35">
      <c r="A478" t="s">
        <v>493</v>
      </c>
      <c r="B478" t="s">
        <v>10</v>
      </c>
      <c r="C478" t="s">
        <v>15</v>
      </c>
      <c r="D478" s="1">
        <v>45568</v>
      </c>
      <c r="E478">
        <v>36.31</v>
      </c>
      <c r="F478">
        <v>4.24</v>
      </c>
      <c r="G478">
        <v>75</v>
      </c>
      <c r="H478" t="s">
        <v>12</v>
      </c>
      <c r="I478">
        <v>7.1</v>
      </c>
      <c r="J478" t="str">
        <f t="shared" si="28"/>
        <v>Oct</v>
      </c>
      <c r="K478">
        <f t="shared" si="29"/>
        <v>2024</v>
      </c>
      <c r="L478">
        <f t="shared" si="30"/>
        <v>257.80099999999999</v>
      </c>
      <c r="M478" t="str">
        <f t="shared" si="31"/>
        <v>Weekday</v>
      </c>
    </row>
    <row r="479" spans="1:13" x14ac:dyDescent="0.35">
      <c r="A479" t="s">
        <v>494</v>
      </c>
      <c r="B479" t="s">
        <v>17</v>
      </c>
      <c r="C479" t="s">
        <v>24</v>
      </c>
      <c r="D479" s="1">
        <v>45367</v>
      </c>
      <c r="E479">
        <v>15.65</v>
      </c>
      <c r="F479">
        <v>8.43</v>
      </c>
      <c r="G479">
        <v>93</v>
      </c>
      <c r="H479" t="s">
        <v>12</v>
      </c>
      <c r="I479">
        <v>9.0399999999999991</v>
      </c>
      <c r="J479" t="str">
        <f t="shared" si="28"/>
        <v>Mar</v>
      </c>
      <c r="K479">
        <f t="shared" si="29"/>
        <v>2024</v>
      </c>
      <c r="L479">
        <f t="shared" si="30"/>
        <v>141.476</v>
      </c>
      <c r="M479" t="str">
        <f t="shared" si="31"/>
        <v>Weekend</v>
      </c>
    </row>
    <row r="480" spans="1:13" x14ac:dyDescent="0.35">
      <c r="A480" t="s">
        <v>495</v>
      </c>
      <c r="B480" t="s">
        <v>10</v>
      </c>
      <c r="C480" t="s">
        <v>24</v>
      </c>
      <c r="D480" s="1">
        <v>45567</v>
      </c>
      <c r="E480">
        <v>78.81</v>
      </c>
      <c r="F480">
        <v>5.48</v>
      </c>
      <c r="G480">
        <v>0</v>
      </c>
      <c r="H480" t="s">
        <v>12</v>
      </c>
      <c r="I480">
        <v>7.72</v>
      </c>
      <c r="J480" t="str">
        <f t="shared" si="28"/>
        <v>Oct</v>
      </c>
      <c r="K480">
        <f t="shared" si="29"/>
        <v>2024</v>
      </c>
      <c r="L480">
        <f t="shared" si="30"/>
        <v>608.41319999999996</v>
      </c>
      <c r="M480" t="str">
        <f t="shared" si="31"/>
        <v>Weekday</v>
      </c>
    </row>
    <row r="481" spans="1:13" x14ac:dyDescent="0.35">
      <c r="A481" t="s">
        <v>496</v>
      </c>
      <c r="B481" t="s">
        <v>14</v>
      </c>
      <c r="C481" t="s">
        <v>11</v>
      </c>
      <c r="D481" s="1">
        <v>45580</v>
      </c>
      <c r="E481">
        <v>54.35</v>
      </c>
      <c r="F481">
        <v>8.66</v>
      </c>
      <c r="G481">
        <v>52</v>
      </c>
      <c r="H481" t="s">
        <v>18</v>
      </c>
      <c r="I481">
        <v>7.96</v>
      </c>
      <c r="J481" t="str">
        <f t="shared" si="28"/>
        <v>Oct</v>
      </c>
      <c r="K481">
        <f t="shared" si="29"/>
        <v>2024</v>
      </c>
      <c r="L481">
        <f t="shared" si="30"/>
        <v>432.62600000000003</v>
      </c>
      <c r="M481" t="str">
        <f t="shared" si="31"/>
        <v>Weekday</v>
      </c>
    </row>
    <row r="482" spans="1:13" x14ac:dyDescent="0.35">
      <c r="A482" t="s">
        <v>497</v>
      </c>
      <c r="B482" t="s">
        <v>17</v>
      </c>
      <c r="C482" t="s">
        <v>24</v>
      </c>
      <c r="D482" s="1">
        <v>45368</v>
      </c>
      <c r="E482">
        <v>39.799999999999997</v>
      </c>
      <c r="F482">
        <v>8.57</v>
      </c>
      <c r="G482">
        <v>40</v>
      </c>
      <c r="H482" t="s">
        <v>12</v>
      </c>
      <c r="I482">
        <v>7.03</v>
      </c>
      <c r="J482" t="str">
        <f t="shared" si="28"/>
        <v>Mar</v>
      </c>
      <c r="K482">
        <f t="shared" si="29"/>
        <v>2024</v>
      </c>
      <c r="L482">
        <f t="shared" si="30"/>
        <v>279.79399999999998</v>
      </c>
      <c r="M482" t="str">
        <f t="shared" si="31"/>
        <v>Weekend</v>
      </c>
    </row>
    <row r="483" spans="1:13" x14ac:dyDescent="0.35">
      <c r="A483" t="s">
        <v>498</v>
      </c>
      <c r="B483" t="s">
        <v>17</v>
      </c>
      <c r="C483" t="s">
        <v>24</v>
      </c>
      <c r="D483" s="1">
        <v>45458</v>
      </c>
      <c r="E483">
        <v>99.24</v>
      </c>
      <c r="F483">
        <v>6.83</v>
      </c>
      <c r="G483">
        <v>65</v>
      </c>
      <c r="H483" t="s">
        <v>18</v>
      </c>
      <c r="I483">
        <v>4.49</v>
      </c>
      <c r="J483" t="str">
        <f t="shared" si="28"/>
        <v>Jun</v>
      </c>
      <c r="K483">
        <f t="shared" si="29"/>
        <v>2024</v>
      </c>
      <c r="L483">
        <f t="shared" si="30"/>
        <v>445.58760000000001</v>
      </c>
      <c r="M483" t="str">
        <f t="shared" si="31"/>
        <v>Weekend</v>
      </c>
    </row>
    <row r="484" spans="1:13" x14ac:dyDescent="0.35">
      <c r="A484" t="s">
        <v>499</v>
      </c>
      <c r="B484" t="s">
        <v>14</v>
      </c>
      <c r="C484" t="s">
        <v>15</v>
      </c>
      <c r="D484" s="1">
        <v>45473</v>
      </c>
      <c r="E484">
        <v>83.44</v>
      </c>
      <c r="F484">
        <v>4.33</v>
      </c>
      <c r="G484">
        <v>55</v>
      </c>
      <c r="H484" t="s">
        <v>12</v>
      </c>
      <c r="I484">
        <v>5.53</v>
      </c>
      <c r="J484" t="str">
        <f t="shared" si="28"/>
        <v>Jun</v>
      </c>
      <c r="K484">
        <f t="shared" si="29"/>
        <v>2024</v>
      </c>
      <c r="L484">
        <f t="shared" si="30"/>
        <v>461.42320000000001</v>
      </c>
      <c r="M484" t="str">
        <f t="shared" si="31"/>
        <v>Weekend</v>
      </c>
    </row>
    <row r="485" spans="1:13" x14ac:dyDescent="0.35">
      <c r="A485" t="s">
        <v>500</v>
      </c>
      <c r="B485" t="s">
        <v>10</v>
      </c>
      <c r="C485" t="s">
        <v>15</v>
      </c>
      <c r="D485" s="1">
        <v>45604</v>
      </c>
      <c r="E485">
        <v>7.87</v>
      </c>
      <c r="F485">
        <v>9.27</v>
      </c>
      <c r="G485">
        <v>1</v>
      </c>
      <c r="H485" t="s">
        <v>18</v>
      </c>
      <c r="I485">
        <v>8.0299999999999994</v>
      </c>
      <c r="J485" t="str">
        <f t="shared" si="28"/>
        <v>Nov</v>
      </c>
      <c r="K485">
        <f t="shared" si="29"/>
        <v>2024</v>
      </c>
      <c r="L485">
        <f t="shared" si="30"/>
        <v>63.196099999999994</v>
      </c>
      <c r="M485" t="str">
        <f t="shared" si="31"/>
        <v>Weekday</v>
      </c>
    </row>
    <row r="486" spans="1:13" x14ac:dyDescent="0.35">
      <c r="A486" t="s">
        <v>501</v>
      </c>
      <c r="B486" t="s">
        <v>14</v>
      </c>
      <c r="C486" t="s">
        <v>11</v>
      </c>
      <c r="D486" s="1">
        <v>45467</v>
      </c>
      <c r="E486">
        <v>15.23</v>
      </c>
      <c r="F486">
        <v>4.84</v>
      </c>
      <c r="G486">
        <v>79</v>
      </c>
      <c r="H486" t="s">
        <v>12</v>
      </c>
      <c r="I486">
        <v>6.93</v>
      </c>
      <c r="J486" t="str">
        <f t="shared" si="28"/>
        <v>Jun</v>
      </c>
      <c r="K486">
        <f t="shared" si="29"/>
        <v>2024</v>
      </c>
      <c r="L486">
        <f t="shared" si="30"/>
        <v>105.54389999999999</v>
      </c>
      <c r="M486" t="str">
        <f t="shared" si="31"/>
        <v>Weekday</v>
      </c>
    </row>
    <row r="487" spans="1:13" x14ac:dyDescent="0.35">
      <c r="A487" t="s">
        <v>502</v>
      </c>
      <c r="B487" t="s">
        <v>14</v>
      </c>
      <c r="C487" t="s">
        <v>24</v>
      </c>
      <c r="D487" s="1">
        <v>45365</v>
      </c>
      <c r="E487">
        <v>86.82</v>
      </c>
      <c r="F487">
        <v>6.36</v>
      </c>
      <c r="G487">
        <v>45</v>
      </c>
      <c r="H487" t="s">
        <v>12</v>
      </c>
      <c r="I487">
        <v>6.59</v>
      </c>
      <c r="J487" t="str">
        <f t="shared" si="28"/>
        <v>Mar</v>
      </c>
      <c r="K487">
        <f t="shared" si="29"/>
        <v>2024</v>
      </c>
      <c r="L487">
        <f t="shared" si="30"/>
        <v>572.14379999999994</v>
      </c>
      <c r="M487" t="str">
        <f t="shared" si="31"/>
        <v>Weekday</v>
      </c>
    </row>
    <row r="488" spans="1:13" x14ac:dyDescent="0.35">
      <c r="A488" t="s">
        <v>503</v>
      </c>
      <c r="B488" t="s">
        <v>10</v>
      </c>
      <c r="C488" t="s">
        <v>11</v>
      </c>
      <c r="D488" s="1">
        <v>45497</v>
      </c>
      <c r="E488">
        <v>67.42</v>
      </c>
      <c r="F488">
        <v>8.6300000000000008</v>
      </c>
      <c r="G488">
        <v>91</v>
      </c>
      <c r="H488" t="s">
        <v>12</v>
      </c>
      <c r="I488">
        <v>5.86</v>
      </c>
      <c r="J488" t="str">
        <f t="shared" si="28"/>
        <v>Jul</v>
      </c>
      <c r="K488">
        <f t="shared" si="29"/>
        <v>2024</v>
      </c>
      <c r="L488">
        <f t="shared" si="30"/>
        <v>395.08120000000002</v>
      </c>
      <c r="M488" t="str">
        <f t="shared" si="31"/>
        <v>Weekday</v>
      </c>
    </row>
    <row r="489" spans="1:13" x14ac:dyDescent="0.35">
      <c r="A489" t="s">
        <v>504</v>
      </c>
      <c r="B489" t="s">
        <v>17</v>
      </c>
      <c r="C489" t="s">
        <v>11</v>
      </c>
      <c r="D489" s="1">
        <v>45657</v>
      </c>
      <c r="E489">
        <v>42.55</v>
      </c>
      <c r="F489">
        <v>5.77</v>
      </c>
      <c r="G489">
        <v>54</v>
      </c>
      <c r="H489" t="s">
        <v>18</v>
      </c>
      <c r="I489">
        <v>7.77</v>
      </c>
      <c r="J489" t="str">
        <f t="shared" si="28"/>
        <v>Dec</v>
      </c>
      <c r="K489">
        <f t="shared" si="29"/>
        <v>2024</v>
      </c>
      <c r="L489">
        <f t="shared" si="30"/>
        <v>330.61349999999999</v>
      </c>
      <c r="M489" t="str">
        <f t="shared" si="31"/>
        <v>Weekday</v>
      </c>
    </row>
    <row r="490" spans="1:13" x14ac:dyDescent="0.35">
      <c r="A490" t="s">
        <v>505</v>
      </c>
      <c r="B490" t="s">
        <v>14</v>
      </c>
      <c r="C490" t="s">
        <v>24</v>
      </c>
      <c r="D490" s="1">
        <v>45589</v>
      </c>
      <c r="E490">
        <v>46.83</v>
      </c>
      <c r="F490">
        <v>7.26</v>
      </c>
      <c r="G490">
        <v>72</v>
      </c>
      <c r="H490" t="s">
        <v>12</v>
      </c>
      <c r="I490">
        <v>5.81</v>
      </c>
      <c r="J490" t="str">
        <f t="shared" si="28"/>
        <v>Oct</v>
      </c>
      <c r="K490">
        <f t="shared" si="29"/>
        <v>2024</v>
      </c>
      <c r="L490">
        <f t="shared" si="30"/>
        <v>272.08229999999998</v>
      </c>
      <c r="M490" t="str">
        <f t="shared" si="31"/>
        <v>Weekday</v>
      </c>
    </row>
    <row r="491" spans="1:13" x14ac:dyDescent="0.35">
      <c r="A491" t="s">
        <v>506</v>
      </c>
      <c r="B491" t="s">
        <v>10</v>
      </c>
      <c r="C491" t="s">
        <v>11</v>
      </c>
      <c r="D491" s="1">
        <v>45381</v>
      </c>
      <c r="E491">
        <v>62.7</v>
      </c>
      <c r="F491">
        <v>5.68</v>
      </c>
      <c r="G491">
        <v>56</v>
      </c>
      <c r="H491" t="s">
        <v>12</v>
      </c>
      <c r="I491">
        <v>3.19</v>
      </c>
      <c r="J491" t="str">
        <f t="shared" si="28"/>
        <v>Mar</v>
      </c>
      <c r="K491">
        <f t="shared" si="29"/>
        <v>2024</v>
      </c>
      <c r="L491">
        <f t="shared" si="30"/>
        <v>200.01300000000001</v>
      </c>
      <c r="M491" t="str">
        <f t="shared" si="31"/>
        <v>Weekend</v>
      </c>
    </row>
    <row r="492" spans="1:13" x14ac:dyDescent="0.35">
      <c r="A492" t="s">
        <v>507</v>
      </c>
      <c r="B492" t="s">
        <v>14</v>
      </c>
      <c r="C492" t="s">
        <v>15</v>
      </c>
      <c r="D492" s="1">
        <v>45491</v>
      </c>
      <c r="E492">
        <v>40.14</v>
      </c>
      <c r="F492">
        <v>8.7799999999999994</v>
      </c>
      <c r="G492">
        <v>108</v>
      </c>
      <c r="H492" t="s">
        <v>18</v>
      </c>
      <c r="I492">
        <v>8.14</v>
      </c>
      <c r="J492" t="str">
        <f t="shared" si="28"/>
        <v>Jul</v>
      </c>
      <c r="K492">
        <f t="shared" si="29"/>
        <v>2024</v>
      </c>
      <c r="L492">
        <f t="shared" si="30"/>
        <v>326.73960000000005</v>
      </c>
      <c r="M492" t="str">
        <f t="shared" si="31"/>
        <v>Weekday</v>
      </c>
    </row>
    <row r="493" spans="1:13" x14ac:dyDescent="0.35">
      <c r="A493" t="s">
        <v>508</v>
      </c>
      <c r="B493" t="s">
        <v>14</v>
      </c>
      <c r="C493" t="s">
        <v>15</v>
      </c>
      <c r="D493" s="1">
        <v>45435</v>
      </c>
      <c r="E493">
        <v>54.79</v>
      </c>
      <c r="F493">
        <v>3.72</v>
      </c>
      <c r="G493">
        <v>11</v>
      </c>
      <c r="H493" t="s">
        <v>18</v>
      </c>
      <c r="I493">
        <v>7.47</v>
      </c>
      <c r="J493" t="str">
        <f t="shared" si="28"/>
        <v>May</v>
      </c>
      <c r="K493">
        <f t="shared" si="29"/>
        <v>2024</v>
      </c>
      <c r="L493">
        <f t="shared" si="30"/>
        <v>409.28129999999999</v>
      </c>
      <c r="M493" t="str">
        <f t="shared" si="31"/>
        <v>Weekday</v>
      </c>
    </row>
    <row r="494" spans="1:13" x14ac:dyDescent="0.35">
      <c r="A494" t="s">
        <v>509</v>
      </c>
      <c r="B494" t="s">
        <v>14</v>
      </c>
      <c r="C494" t="s">
        <v>24</v>
      </c>
      <c r="D494" s="1">
        <v>45446</v>
      </c>
      <c r="E494">
        <v>90.83</v>
      </c>
      <c r="F494">
        <v>3.19</v>
      </c>
      <c r="G494">
        <v>71</v>
      </c>
      <c r="H494" t="s">
        <v>12</v>
      </c>
      <c r="I494">
        <v>6.7</v>
      </c>
      <c r="J494" t="str">
        <f t="shared" si="28"/>
        <v>Jun</v>
      </c>
      <c r="K494">
        <f t="shared" si="29"/>
        <v>2024</v>
      </c>
      <c r="L494">
        <f t="shared" si="30"/>
        <v>608.56100000000004</v>
      </c>
      <c r="M494" t="str">
        <f t="shared" si="31"/>
        <v>Weekday</v>
      </c>
    </row>
    <row r="495" spans="1:13" x14ac:dyDescent="0.35">
      <c r="A495" t="s">
        <v>510</v>
      </c>
      <c r="B495" t="s">
        <v>10</v>
      </c>
      <c r="C495" t="s">
        <v>24</v>
      </c>
      <c r="D495" s="1">
        <v>45624</v>
      </c>
      <c r="E495">
        <v>20.5</v>
      </c>
      <c r="F495">
        <v>5.05</v>
      </c>
      <c r="G495">
        <v>15</v>
      </c>
      <c r="H495" t="s">
        <v>12</v>
      </c>
      <c r="I495">
        <v>7.59</v>
      </c>
      <c r="J495" t="str">
        <f t="shared" si="28"/>
        <v>Nov</v>
      </c>
      <c r="K495">
        <f t="shared" si="29"/>
        <v>2024</v>
      </c>
      <c r="L495">
        <f t="shared" si="30"/>
        <v>155.595</v>
      </c>
      <c r="M495" t="str">
        <f t="shared" si="31"/>
        <v>Weekday</v>
      </c>
    </row>
    <row r="496" spans="1:13" x14ac:dyDescent="0.35">
      <c r="A496" t="s">
        <v>511</v>
      </c>
      <c r="B496" t="s">
        <v>10</v>
      </c>
      <c r="C496" t="s">
        <v>11</v>
      </c>
      <c r="D496" s="1">
        <v>45549</v>
      </c>
      <c r="E496">
        <v>80.849999999999994</v>
      </c>
      <c r="F496">
        <v>2.7</v>
      </c>
      <c r="G496">
        <v>45</v>
      </c>
      <c r="H496" t="s">
        <v>12</v>
      </c>
      <c r="I496">
        <v>4.72</v>
      </c>
      <c r="J496" t="str">
        <f t="shared" si="28"/>
        <v>Sep</v>
      </c>
      <c r="K496">
        <f t="shared" si="29"/>
        <v>2024</v>
      </c>
      <c r="L496">
        <f t="shared" si="30"/>
        <v>381.61199999999997</v>
      </c>
      <c r="M496" t="str">
        <f t="shared" si="31"/>
        <v>Weekend</v>
      </c>
    </row>
    <row r="497" spans="1:13" x14ac:dyDescent="0.35">
      <c r="A497" t="s">
        <v>512</v>
      </c>
      <c r="B497" t="s">
        <v>14</v>
      </c>
      <c r="C497" t="s">
        <v>15</v>
      </c>
      <c r="D497" s="1">
        <v>45520</v>
      </c>
      <c r="E497">
        <v>37.64</v>
      </c>
      <c r="F497">
        <v>2.78</v>
      </c>
      <c r="G497">
        <v>111</v>
      </c>
      <c r="H497" t="s">
        <v>18</v>
      </c>
      <c r="I497">
        <v>4.28</v>
      </c>
      <c r="J497" t="str">
        <f t="shared" si="28"/>
        <v>Aug</v>
      </c>
      <c r="K497">
        <f t="shared" si="29"/>
        <v>2024</v>
      </c>
      <c r="L497">
        <f t="shared" si="30"/>
        <v>161.09920000000002</v>
      </c>
      <c r="M497" t="str">
        <f t="shared" si="31"/>
        <v>Weekday</v>
      </c>
    </row>
    <row r="498" spans="1:13" x14ac:dyDescent="0.35">
      <c r="A498" t="s">
        <v>513</v>
      </c>
      <c r="B498" t="s">
        <v>14</v>
      </c>
      <c r="C498" t="s">
        <v>11</v>
      </c>
      <c r="D498" s="1">
        <v>45586</v>
      </c>
      <c r="E498">
        <v>45.52</v>
      </c>
      <c r="F498">
        <v>5</v>
      </c>
      <c r="G498">
        <v>24</v>
      </c>
      <c r="H498" t="s">
        <v>18</v>
      </c>
      <c r="I498">
        <v>9.89</v>
      </c>
      <c r="J498" t="str">
        <f t="shared" si="28"/>
        <v>Oct</v>
      </c>
      <c r="K498">
        <f t="shared" si="29"/>
        <v>2024</v>
      </c>
      <c r="L498">
        <f t="shared" si="30"/>
        <v>450.19280000000003</v>
      </c>
      <c r="M498" t="str">
        <f t="shared" si="31"/>
        <v>Weekday</v>
      </c>
    </row>
    <row r="499" spans="1:13" x14ac:dyDescent="0.35">
      <c r="A499" t="s">
        <v>514</v>
      </c>
      <c r="B499" t="s">
        <v>17</v>
      </c>
      <c r="C499" t="s">
        <v>11</v>
      </c>
      <c r="D499" s="1">
        <v>45567</v>
      </c>
      <c r="E499">
        <v>40.85</v>
      </c>
      <c r="F499">
        <v>4.9800000000000004</v>
      </c>
      <c r="G499">
        <v>60</v>
      </c>
      <c r="H499" t="s">
        <v>18</v>
      </c>
      <c r="I499">
        <v>6.92</v>
      </c>
      <c r="J499" t="str">
        <f t="shared" si="28"/>
        <v>Oct</v>
      </c>
      <c r="K499">
        <f t="shared" si="29"/>
        <v>2024</v>
      </c>
      <c r="L499">
        <f t="shared" si="30"/>
        <v>282.68200000000002</v>
      </c>
      <c r="M499" t="str">
        <f t="shared" si="31"/>
        <v>Weekday</v>
      </c>
    </row>
    <row r="500" spans="1:13" x14ac:dyDescent="0.35">
      <c r="A500" t="s">
        <v>515</v>
      </c>
      <c r="B500" t="s">
        <v>17</v>
      </c>
      <c r="C500" t="s">
        <v>15</v>
      </c>
      <c r="D500" s="1">
        <v>45361</v>
      </c>
      <c r="E500">
        <v>87.74</v>
      </c>
      <c r="F500">
        <v>4.4800000000000004</v>
      </c>
      <c r="G500">
        <v>17</v>
      </c>
      <c r="H500" t="s">
        <v>12</v>
      </c>
      <c r="I500">
        <v>6.9</v>
      </c>
      <c r="J500" t="str">
        <f t="shared" si="28"/>
        <v>Mar</v>
      </c>
      <c r="K500">
        <f t="shared" si="29"/>
        <v>2024</v>
      </c>
      <c r="L500">
        <f t="shared" si="30"/>
        <v>605.40599999999995</v>
      </c>
      <c r="M500" t="str">
        <f t="shared" si="31"/>
        <v>Weekend</v>
      </c>
    </row>
    <row r="501" spans="1:13" x14ac:dyDescent="0.35">
      <c r="A501" t="s">
        <v>516</v>
      </c>
      <c r="B501" t="s">
        <v>14</v>
      </c>
      <c r="C501" t="s">
        <v>15</v>
      </c>
      <c r="D501" s="1">
        <v>45569</v>
      </c>
      <c r="E501">
        <v>42.42</v>
      </c>
      <c r="F501">
        <v>4.54</v>
      </c>
      <c r="G501">
        <v>90</v>
      </c>
      <c r="H501" t="s">
        <v>18</v>
      </c>
      <c r="I501">
        <v>7.71</v>
      </c>
      <c r="J501" t="str">
        <f t="shared" si="28"/>
        <v>Oct</v>
      </c>
      <c r="K501">
        <f t="shared" si="29"/>
        <v>2024</v>
      </c>
      <c r="L501">
        <f t="shared" si="30"/>
        <v>327.0582</v>
      </c>
      <c r="M501" t="str">
        <f t="shared" si="31"/>
        <v>Weekday</v>
      </c>
    </row>
    <row r="502" spans="1:13" x14ac:dyDescent="0.35">
      <c r="A502" t="s">
        <v>517</v>
      </c>
      <c r="B502" t="s">
        <v>17</v>
      </c>
      <c r="C502" t="s">
        <v>11</v>
      </c>
      <c r="D502" s="1">
        <v>45353</v>
      </c>
      <c r="E502">
        <v>6.11</v>
      </c>
      <c r="F502">
        <v>7.98</v>
      </c>
      <c r="G502">
        <v>96</v>
      </c>
      <c r="H502" t="s">
        <v>18</v>
      </c>
      <c r="I502">
        <v>8.49</v>
      </c>
      <c r="J502" t="str">
        <f t="shared" si="28"/>
        <v>Mar</v>
      </c>
      <c r="K502">
        <f t="shared" si="29"/>
        <v>2024</v>
      </c>
      <c r="L502">
        <f t="shared" si="30"/>
        <v>51.873900000000006</v>
      </c>
      <c r="M502" t="str">
        <f t="shared" si="31"/>
        <v>Weekend</v>
      </c>
    </row>
    <row r="503" spans="1:13" x14ac:dyDescent="0.35">
      <c r="A503" t="s">
        <v>518</v>
      </c>
      <c r="B503" t="s">
        <v>14</v>
      </c>
      <c r="C503" t="s">
        <v>24</v>
      </c>
      <c r="D503" s="1">
        <v>45613</v>
      </c>
      <c r="E503">
        <v>28.8</v>
      </c>
      <c r="F503">
        <v>6.05</v>
      </c>
      <c r="G503">
        <v>114</v>
      </c>
      <c r="H503" t="s">
        <v>18</v>
      </c>
      <c r="I503">
        <v>9.59</v>
      </c>
      <c r="J503" t="str">
        <f t="shared" si="28"/>
        <v>Nov</v>
      </c>
      <c r="K503">
        <f t="shared" si="29"/>
        <v>2024</v>
      </c>
      <c r="L503">
        <f t="shared" si="30"/>
        <v>276.19200000000001</v>
      </c>
      <c r="M503" t="str">
        <f t="shared" si="31"/>
        <v>Weekend</v>
      </c>
    </row>
    <row r="504" spans="1:13" x14ac:dyDescent="0.35">
      <c r="A504" t="s">
        <v>519</v>
      </c>
      <c r="B504" t="s">
        <v>14</v>
      </c>
      <c r="C504" t="s">
        <v>11</v>
      </c>
      <c r="D504" s="1">
        <v>45590</v>
      </c>
      <c r="E504">
        <v>29.84</v>
      </c>
      <c r="F504">
        <v>3.85</v>
      </c>
      <c r="G504">
        <v>98</v>
      </c>
      <c r="H504" t="s">
        <v>18</v>
      </c>
      <c r="I504">
        <v>3.92</v>
      </c>
      <c r="J504" t="str">
        <f t="shared" si="28"/>
        <v>Oct</v>
      </c>
      <c r="K504">
        <f t="shared" si="29"/>
        <v>2024</v>
      </c>
      <c r="L504">
        <f t="shared" si="30"/>
        <v>116.97279999999999</v>
      </c>
      <c r="M504" t="str">
        <f t="shared" si="31"/>
        <v>Weekday</v>
      </c>
    </row>
    <row r="505" spans="1:13" x14ac:dyDescent="0.35">
      <c r="A505" t="s">
        <v>520</v>
      </c>
      <c r="B505" t="s">
        <v>14</v>
      </c>
      <c r="C505" t="s">
        <v>24</v>
      </c>
      <c r="D505" s="1">
        <v>45612</v>
      </c>
      <c r="E505">
        <v>48.47</v>
      </c>
      <c r="F505">
        <v>8.4600000000000009</v>
      </c>
      <c r="G505">
        <v>95</v>
      </c>
      <c r="H505" t="s">
        <v>18</v>
      </c>
      <c r="I505">
        <v>8.84</v>
      </c>
      <c r="J505" t="str">
        <f t="shared" si="28"/>
        <v>Nov</v>
      </c>
      <c r="K505">
        <f t="shared" si="29"/>
        <v>2024</v>
      </c>
      <c r="L505">
        <f t="shared" si="30"/>
        <v>428.47479999999996</v>
      </c>
      <c r="M505" t="str">
        <f t="shared" si="31"/>
        <v>Weekend</v>
      </c>
    </row>
    <row r="506" spans="1:13" x14ac:dyDescent="0.35">
      <c r="A506" t="s">
        <v>521</v>
      </c>
      <c r="B506" t="s">
        <v>10</v>
      </c>
      <c r="C506" t="s">
        <v>15</v>
      </c>
      <c r="D506" s="1">
        <v>45568</v>
      </c>
      <c r="E506">
        <v>6.01</v>
      </c>
      <c r="F506">
        <v>4.1100000000000003</v>
      </c>
      <c r="G506">
        <v>18</v>
      </c>
      <c r="H506" t="s">
        <v>12</v>
      </c>
      <c r="I506">
        <v>4.79</v>
      </c>
      <c r="J506" t="str">
        <f t="shared" si="28"/>
        <v>Oct</v>
      </c>
      <c r="K506">
        <f t="shared" si="29"/>
        <v>2024</v>
      </c>
      <c r="L506">
        <f t="shared" si="30"/>
        <v>28.7879</v>
      </c>
      <c r="M506" t="str">
        <f t="shared" si="31"/>
        <v>Weekday</v>
      </c>
    </row>
    <row r="507" spans="1:13" x14ac:dyDescent="0.35">
      <c r="A507" t="s">
        <v>522</v>
      </c>
      <c r="B507" t="s">
        <v>14</v>
      </c>
      <c r="C507" t="s">
        <v>15</v>
      </c>
      <c r="D507" s="1">
        <v>45486</v>
      </c>
      <c r="E507">
        <v>70.959999999999994</v>
      </c>
      <c r="F507">
        <v>4</v>
      </c>
      <c r="G507">
        <v>65</v>
      </c>
      <c r="H507" t="s">
        <v>18</v>
      </c>
      <c r="I507">
        <v>3.3</v>
      </c>
      <c r="J507" t="str">
        <f t="shared" si="28"/>
        <v>Jul</v>
      </c>
      <c r="K507">
        <f t="shared" si="29"/>
        <v>2024</v>
      </c>
      <c r="L507">
        <f t="shared" si="30"/>
        <v>234.16799999999998</v>
      </c>
      <c r="M507" t="str">
        <f t="shared" si="31"/>
        <v>Weekend</v>
      </c>
    </row>
    <row r="508" spans="1:13" x14ac:dyDescent="0.35">
      <c r="A508" t="s">
        <v>523</v>
      </c>
      <c r="B508" t="s">
        <v>14</v>
      </c>
      <c r="C508" t="s">
        <v>15</v>
      </c>
      <c r="D508" s="1">
        <v>45604</v>
      </c>
      <c r="E508">
        <v>24.54</v>
      </c>
      <c r="F508">
        <v>3.08</v>
      </c>
      <c r="G508">
        <v>42</v>
      </c>
      <c r="H508" t="s">
        <v>12</v>
      </c>
      <c r="I508">
        <v>9.3000000000000007</v>
      </c>
      <c r="J508" t="str">
        <f t="shared" si="28"/>
        <v>Nov</v>
      </c>
      <c r="K508">
        <f t="shared" si="29"/>
        <v>2024</v>
      </c>
      <c r="L508">
        <f t="shared" si="30"/>
        <v>228.22200000000001</v>
      </c>
      <c r="M508" t="str">
        <f t="shared" si="31"/>
        <v>Weekday</v>
      </c>
    </row>
    <row r="509" spans="1:13" x14ac:dyDescent="0.35">
      <c r="A509" t="s">
        <v>524</v>
      </c>
      <c r="B509" t="s">
        <v>14</v>
      </c>
      <c r="C509" t="s">
        <v>11</v>
      </c>
      <c r="D509" s="1">
        <v>45539</v>
      </c>
      <c r="E509">
        <v>50.03</v>
      </c>
      <c r="F509">
        <v>3.5</v>
      </c>
      <c r="G509">
        <v>40</v>
      </c>
      <c r="H509" t="s">
        <v>18</v>
      </c>
      <c r="I509">
        <v>3.39</v>
      </c>
      <c r="J509" t="str">
        <f t="shared" si="28"/>
        <v>Sep</v>
      </c>
      <c r="K509">
        <f t="shared" si="29"/>
        <v>2024</v>
      </c>
      <c r="L509">
        <f t="shared" si="30"/>
        <v>169.60170000000002</v>
      </c>
      <c r="M509" t="str">
        <f t="shared" si="31"/>
        <v>Weekday</v>
      </c>
    </row>
    <row r="510" spans="1:13" x14ac:dyDescent="0.35">
      <c r="A510" t="s">
        <v>525</v>
      </c>
      <c r="B510" t="s">
        <v>17</v>
      </c>
      <c r="C510" t="s">
        <v>24</v>
      </c>
      <c r="D510" s="1">
        <v>45330</v>
      </c>
      <c r="E510">
        <v>35.08</v>
      </c>
      <c r="F510">
        <v>5.52</v>
      </c>
      <c r="G510">
        <v>8</v>
      </c>
      <c r="H510" t="s">
        <v>12</v>
      </c>
      <c r="I510">
        <v>7.71</v>
      </c>
      <c r="J510" t="str">
        <f t="shared" si="28"/>
        <v>Feb</v>
      </c>
      <c r="K510">
        <f t="shared" si="29"/>
        <v>2024</v>
      </c>
      <c r="L510">
        <f t="shared" si="30"/>
        <v>270.46679999999998</v>
      </c>
      <c r="M510" t="str">
        <f t="shared" si="31"/>
        <v>Weekday</v>
      </c>
    </row>
    <row r="511" spans="1:13" x14ac:dyDescent="0.35">
      <c r="A511" t="s">
        <v>526</v>
      </c>
      <c r="B511" t="s">
        <v>17</v>
      </c>
      <c r="C511" t="s">
        <v>15</v>
      </c>
      <c r="D511" s="1">
        <v>45511</v>
      </c>
      <c r="E511">
        <v>25.09</v>
      </c>
      <c r="F511">
        <v>7.4</v>
      </c>
      <c r="G511">
        <v>74</v>
      </c>
      <c r="H511" t="s">
        <v>12</v>
      </c>
      <c r="I511">
        <v>5.39</v>
      </c>
      <c r="J511" t="str">
        <f t="shared" si="28"/>
        <v>Aug</v>
      </c>
      <c r="K511">
        <f t="shared" si="29"/>
        <v>2024</v>
      </c>
      <c r="L511">
        <f t="shared" si="30"/>
        <v>135.23509999999999</v>
      </c>
      <c r="M511" t="str">
        <f t="shared" si="31"/>
        <v>Weekday</v>
      </c>
    </row>
    <row r="512" spans="1:13" x14ac:dyDescent="0.35">
      <c r="A512" t="s">
        <v>527</v>
      </c>
      <c r="B512" t="s">
        <v>10</v>
      </c>
      <c r="C512" t="s">
        <v>24</v>
      </c>
      <c r="D512" s="1">
        <v>45632</v>
      </c>
      <c r="E512">
        <v>9.9700000000000006</v>
      </c>
      <c r="F512">
        <v>1.24</v>
      </c>
      <c r="G512">
        <v>80</v>
      </c>
      <c r="H512" t="s">
        <v>18</v>
      </c>
      <c r="I512">
        <v>5.31</v>
      </c>
      <c r="J512" t="str">
        <f t="shared" si="28"/>
        <v>Dec</v>
      </c>
      <c r="K512">
        <f t="shared" si="29"/>
        <v>2024</v>
      </c>
      <c r="L512">
        <f t="shared" si="30"/>
        <v>52.9407</v>
      </c>
      <c r="M512" t="str">
        <f t="shared" si="31"/>
        <v>Weekday</v>
      </c>
    </row>
    <row r="513" spans="1:13" x14ac:dyDescent="0.35">
      <c r="A513" t="s">
        <v>528</v>
      </c>
      <c r="B513" t="s">
        <v>17</v>
      </c>
      <c r="C513" t="s">
        <v>24</v>
      </c>
      <c r="D513" s="1">
        <v>45608</v>
      </c>
      <c r="E513">
        <v>52.66</v>
      </c>
      <c r="F513">
        <v>1.37</v>
      </c>
      <c r="G513">
        <v>81</v>
      </c>
      <c r="H513" t="s">
        <v>18</v>
      </c>
      <c r="I513">
        <v>7.06</v>
      </c>
      <c r="J513" t="str">
        <f t="shared" si="28"/>
        <v>Nov</v>
      </c>
      <c r="K513">
        <f t="shared" si="29"/>
        <v>2024</v>
      </c>
      <c r="L513">
        <f t="shared" si="30"/>
        <v>371.77959999999996</v>
      </c>
      <c r="M513" t="str">
        <f t="shared" si="31"/>
        <v>Weekday</v>
      </c>
    </row>
    <row r="514" spans="1:13" x14ac:dyDescent="0.35">
      <c r="A514" t="s">
        <v>529</v>
      </c>
      <c r="B514" t="s">
        <v>17</v>
      </c>
      <c r="C514" t="s">
        <v>24</v>
      </c>
      <c r="D514" s="1">
        <v>45318</v>
      </c>
      <c r="E514">
        <v>15.83</v>
      </c>
      <c r="F514">
        <v>4</v>
      </c>
      <c r="G514">
        <v>91</v>
      </c>
      <c r="H514" t="s">
        <v>12</v>
      </c>
      <c r="I514">
        <v>9.43</v>
      </c>
      <c r="J514" t="str">
        <f t="shared" si="28"/>
        <v>Jan</v>
      </c>
      <c r="K514">
        <f t="shared" si="29"/>
        <v>2024</v>
      </c>
      <c r="L514">
        <f t="shared" si="30"/>
        <v>149.27689999999998</v>
      </c>
      <c r="M514" t="str">
        <f t="shared" si="31"/>
        <v>Weekend</v>
      </c>
    </row>
    <row r="515" spans="1:13" x14ac:dyDescent="0.35">
      <c r="A515" t="s">
        <v>530</v>
      </c>
      <c r="B515" t="s">
        <v>10</v>
      </c>
      <c r="C515" t="s">
        <v>24</v>
      </c>
      <c r="D515" s="1">
        <v>45634</v>
      </c>
      <c r="E515">
        <v>94.18</v>
      </c>
      <c r="F515">
        <v>8.23</v>
      </c>
      <c r="G515">
        <v>119</v>
      </c>
      <c r="H515" t="s">
        <v>18</v>
      </c>
      <c r="I515">
        <v>3.56</v>
      </c>
      <c r="J515" t="str">
        <f t="shared" ref="J515:J578" si="32">TEXT(D515,"mmm")</f>
        <v>Dec</v>
      </c>
      <c r="K515">
        <f t="shared" ref="K515:K578" si="33">YEAR(D515)</f>
        <v>2024</v>
      </c>
      <c r="L515">
        <f t="shared" ref="L515:L578" si="34">E515*I515</f>
        <v>335.28080000000006</v>
      </c>
      <c r="M515" t="str">
        <f t="shared" ref="M515:M578" si="35">IF(OR(WEEKDAY(D515)=1,WEEKDAY(D515)=7),"Weekend","Weekday")</f>
        <v>Weekend</v>
      </c>
    </row>
    <row r="516" spans="1:13" x14ac:dyDescent="0.35">
      <c r="A516" t="s">
        <v>531</v>
      </c>
      <c r="B516" t="s">
        <v>17</v>
      </c>
      <c r="C516" t="s">
        <v>15</v>
      </c>
      <c r="D516" s="1">
        <v>45535</v>
      </c>
      <c r="E516">
        <v>97.06</v>
      </c>
      <c r="F516">
        <v>9.34</v>
      </c>
      <c r="G516">
        <v>67</v>
      </c>
      <c r="H516" t="s">
        <v>18</v>
      </c>
      <c r="I516">
        <v>4.07</v>
      </c>
      <c r="J516" t="str">
        <f t="shared" si="32"/>
        <v>Aug</v>
      </c>
      <c r="K516">
        <f t="shared" si="33"/>
        <v>2024</v>
      </c>
      <c r="L516">
        <f t="shared" si="34"/>
        <v>395.03420000000006</v>
      </c>
      <c r="M516" t="str">
        <f t="shared" si="35"/>
        <v>Weekend</v>
      </c>
    </row>
    <row r="517" spans="1:13" x14ac:dyDescent="0.35">
      <c r="A517" t="s">
        <v>532</v>
      </c>
      <c r="B517" t="s">
        <v>10</v>
      </c>
      <c r="C517" t="s">
        <v>15</v>
      </c>
      <c r="D517" s="1">
        <v>45383</v>
      </c>
      <c r="E517">
        <v>10.25</v>
      </c>
      <c r="F517">
        <v>1.75</v>
      </c>
      <c r="G517">
        <v>3</v>
      </c>
      <c r="H517" t="s">
        <v>12</v>
      </c>
      <c r="I517">
        <v>5.0599999999999996</v>
      </c>
      <c r="J517" t="str">
        <f t="shared" si="32"/>
        <v>Apr</v>
      </c>
      <c r="K517">
        <f t="shared" si="33"/>
        <v>2024</v>
      </c>
      <c r="L517">
        <f t="shared" si="34"/>
        <v>51.864999999999995</v>
      </c>
      <c r="M517" t="str">
        <f t="shared" si="35"/>
        <v>Weekday</v>
      </c>
    </row>
    <row r="518" spans="1:13" x14ac:dyDescent="0.35">
      <c r="A518" t="s">
        <v>533</v>
      </c>
      <c r="B518" t="s">
        <v>17</v>
      </c>
      <c r="C518" t="s">
        <v>15</v>
      </c>
      <c r="D518" s="1">
        <v>45346</v>
      </c>
      <c r="E518">
        <v>72.33</v>
      </c>
      <c r="F518">
        <v>1.51</v>
      </c>
      <c r="G518">
        <v>49</v>
      </c>
      <c r="H518" t="s">
        <v>12</v>
      </c>
      <c r="I518">
        <v>4.24</v>
      </c>
      <c r="J518" t="str">
        <f t="shared" si="32"/>
        <v>Feb</v>
      </c>
      <c r="K518">
        <f t="shared" si="33"/>
        <v>2024</v>
      </c>
      <c r="L518">
        <f t="shared" si="34"/>
        <v>306.67919999999998</v>
      </c>
      <c r="M518" t="str">
        <f t="shared" si="35"/>
        <v>Weekend</v>
      </c>
    </row>
    <row r="519" spans="1:13" x14ac:dyDescent="0.35">
      <c r="A519" t="s">
        <v>534</v>
      </c>
      <c r="B519" t="s">
        <v>14</v>
      </c>
      <c r="C519" t="s">
        <v>15</v>
      </c>
      <c r="D519" s="1">
        <v>45610</v>
      </c>
      <c r="E519">
        <v>67.83</v>
      </c>
      <c r="F519">
        <v>6.33</v>
      </c>
      <c r="G519">
        <v>50</v>
      </c>
      <c r="H519" t="s">
        <v>12</v>
      </c>
      <c r="I519">
        <v>8.1999999999999993</v>
      </c>
      <c r="J519" t="str">
        <f t="shared" si="32"/>
        <v>Nov</v>
      </c>
      <c r="K519">
        <f t="shared" si="33"/>
        <v>2024</v>
      </c>
      <c r="L519">
        <f t="shared" si="34"/>
        <v>556.2059999999999</v>
      </c>
      <c r="M519" t="str">
        <f t="shared" si="35"/>
        <v>Weekday</v>
      </c>
    </row>
    <row r="520" spans="1:13" x14ac:dyDescent="0.35">
      <c r="A520" t="s">
        <v>535</v>
      </c>
      <c r="B520" t="s">
        <v>14</v>
      </c>
      <c r="C520" t="s">
        <v>11</v>
      </c>
      <c r="D520" s="1">
        <v>45406</v>
      </c>
      <c r="E520">
        <v>21.52</v>
      </c>
      <c r="F520">
        <v>4.47</v>
      </c>
      <c r="G520">
        <v>44</v>
      </c>
      <c r="H520" t="s">
        <v>12</v>
      </c>
      <c r="I520">
        <v>6.49</v>
      </c>
      <c r="J520" t="str">
        <f t="shared" si="32"/>
        <v>Apr</v>
      </c>
      <c r="K520">
        <f t="shared" si="33"/>
        <v>2024</v>
      </c>
      <c r="L520">
        <f t="shared" si="34"/>
        <v>139.66480000000001</v>
      </c>
      <c r="M520" t="str">
        <f t="shared" si="35"/>
        <v>Weekday</v>
      </c>
    </row>
    <row r="521" spans="1:13" x14ac:dyDescent="0.35">
      <c r="A521" t="s">
        <v>536</v>
      </c>
      <c r="B521" t="s">
        <v>17</v>
      </c>
      <c r="C521" t="s">
        <v>24</v>
      </c>
      <c r="D521" s="1">
        <v>45574</v>
      </c>
      <c r="E521">
        <v>21.4</v>
      </c>
      <c r="F521">
        <v>7.74</v>
      </c>
      <c r="G521">
        <v>92</v>
      </c>
      <c r="H521" t="s">
        <v>12</v>
      </c>
      <c r="I521">
        <v>4.79</v>
      </c>
      <c r="J521" t="str">
        <f t="shared" si="32"/>
        <v>Oct</v>
      </c>
      <c r="K521">
        <f t="shared" si="33"/>
        <v>2024</v>
      </c>
      <c r="L521">
        <f t="shared" si="34"/>
        <v>102.506</v>
      </c>
      <c r="M521" t="str">
        <f t="shared" si="35"/>
        <v>Weekday</v>
      </c>
    </row>
    <row r="522" spans="1:13" x14ac:dyDescent="0.35">
      <c r="A522" t="s">
        <v>537</v>
      </c>
      <c r="B522" t="s">
        <v>10</v>
      </c>
      <c r="C522" t="s">
        <v>15</v>
      </c>
      <c r="D522" s="1">
        <v>45441</v>
      </c>
      <c r="E522">
        <v>69.78</v>
      </c>
      <c r="F522">
        <v>8.52</v>
      </c>
      <c r="G522">
        <v>17</v>
      </c>
      <c r="H522" t="s">
        <v>12</v>
      </c>
      <c r="I522">
        <v>9.7899999999999991</v>
      </c>
      <c r="J522" t="str">
        <f t="shared" si="32"/>
        <v>May</v>
      </c>
      <c r="K522">
        <f t="shared" si="33"/>
        <v>2024</v>
      </c>
      <c r="L522">
        <f t="shared" si="34"/>
        <v>683.14619999999991</v>
      </c>
      <c r="M522" t="str">
        <f t="shared" si="35"/>
        <v>Weekday</v>
      </c>
    </row>
    <row r="523" spans="1:13" x14ac:dyDescent="0.35">
      <c r="A523" t="s">
        <v>538</v>
      </c>
      <c r="B523" t="s">
        <v>14</v>
      </c>
      <c r="C523" t="s">
        <v>11</v>
      </c>
      <c r="D523" s="1">
        <v>45565</v>
      </c>
      <c r="E523">
        <v>96.93</v>
      </c>
      <c r="F523">
        <v>5.19</v>
      </c>
      <c r="G523">
        <v>25</v>
      </c>
      <c r="H523" t="s">
        <v>12</v>
      </c>
      <c r="I523">
        <v>3.88</v>
      </c>
      <c r="J523" t="str">
        <f t="shared" si="32"/>
        <v>Sep</v>
      </c>
      <c r="K523">
        <f t="shared" si="33"/>
        <v>2024</v>
      </c>
      <c r="L523">
        <f t="shared" si="34"/>
        <v>376.08840000000004</v>
      </c>
      <c r="M523" t="str">
        <f t="shared" si="35"/>
        <v>Weekday</v>
      </c>
    </row>
    <row r="524" spans="1:13" x14ac:dyDescent="0.35">
      <c r="A524" t="s">
        <v>539</v>
      </c>
      <c r="B524" t="s">
        <v>17</v>
      </c>
      <c r="C524" t="s">
        <v>11</v>
      </c>
      <c r="D524" s="1">
        <v>45618</v>
      </c>
      <c r="E524">
        <v>91</v>
      </c>
      <c r="F524">
        <v>4.24</v>
      </c>
      <c r="G524">
        <v>62</v>
      </c>
      <c r="H524" t="s">
        <v>12</v>
      </c>
      <c r="I524">
        <v>7.11</v>
      </c>
      <c r="J524" t="str">
        <f t="shared" si="32"/>
        <v>Nov</v>
      </c>
      <c r="K524">
        <f t="shared" si="33"/>
        <v>2024</v>
      </c>
      <c r="L524">
        <f t="shared" si="34"/>
        <v>647.01</v>
      </c>
      <c r="M524" t="str">
        <f t="shared" si="35"/>
        <v>Weekday</v>
      </c>
    </row>
    <row r="525" spans="1:13" x14ac:dyDescent="0.35">
      <c r="A525" t="s">
        <v>540</v>
      </c>
      <c r="B525" t="s">
        <v>10</v>
      </c>
      <c r="C525" t="s">
        <v>11</v>
      </c>
      <c r="D525" s="1">
        <v>45634</v>
      </c>
      <c r="E525">
        <v>16.84</v>
      </c>
      <c r="F525">
        <v>8.7100000000000009</v>
      </c>
      <c r="G525">
        <v>43</v>
      </c>
      <c r="H525" t="s">
        <v>18</v>
      </c>
      <c r="I525">
        <v>4.9800000000000004</v>
      </c>
      <c r="J525" t="str">
        <f t="shared" si="32"/>
        <v>Dec</v>
      </c>
      <c r="K525">
        <f t="shared" si="33"/>
        <v>2024</v>
      </c>
      <c r="L525">
        <f t="shared" si="34"/>
        <v>83.863200000000006</v>
      </c>
      <c r="M525" t="str">
        <f t="shared" si="35"/>
        <v>Weekend</v>
      </c>
    </row>
    <row r="526" spans="1:13" x14ac:dyDescent="0.35">
      <c r="A526" t="s">
        <v>541</v>
      </c>
      <c r="B526" t="s">
        <v>10</v>
      </c>
      <c r="C526" t="s">
        <v>11</v>
      </c>
      <c r="D526" s="1">
        <v>45424</v>
      </c>
      <c r="E526">
        <v>9.82</v>
      </c>
      <c r="F526">
        <v>7.39</v>
      </c>
      <c r="G526">
        <v>21</v>
      </c>
      <c r="H526" t="s">
        <v>18</v>
      </c>
      <c r="I526">
        <v>7.45</v>
      </c>
      <c r="J526" t="str">
        <f t="shared" si="32"/>
        <v>May</v>
      </c>
      <c r="K526">
        <f t="shared" si="33"/>
        <v>2024</v>
      </c>
      <c r="L526">
        <f t="shared" si="34"/>
        <v>73.159000000000006</v>
      </c>
      <c r="M526" t="str">
        <f t="shared" si="35"/>
        <v>Weekend</v>
      </c>
    </row>
    <row r="527" spans="1:13" x14ac:dyDescent="0.35">
      <c r="A527" t="s">
        <v>542</v>
      </c>
      <c r="B527" t="s">
        <v>17</v>
      </c>
      <c r="C527" t="s">
        <v>24</v>
      </c>
      <c r="D527" s="1">
        <v>45476</v>
      </c>
      <c r="E527">
        <v>28.27</v>
      </c>
      <c r="F527">
        <v>2.86</v>
      </c>
      <c r="G527">
        <v>120</v>
      </c>
      <c r="H527" t="s">
        <v>12</v>
      </c>
      <c r="I527">
        <v>5.73</v>
      </c>
      <c r="J527" t="str">
        <f t="shared" si="32"/>
        <v>Jul</v>
      </c>
      <c r="K527">
        <f t="shared" si="33"/>
        <v>2024</v>
      </c>
      <c r="L527">
        <f t="shared" si="34"/>
        <v>161.9871</v>
      </c>
      <c r="M527" t="str">
        <f t="shared" si="35"/>
        <v>Weekday</v>
      </c>
    </row>
    <row r="528" spans="1:13" x14ac:dyDescent="0.35">
      <c r="A528" t="s">
        <v>543</v>
      </c>
      <c r="B528" t="s">
        <v>10</v>
      </c>
      <c r="C528" t="s">
        <v>11</v>
      </c>
      <c r="D528" s="1">
        <v>45293</v>
      </c>
      <c r="E528">
        <v>13.52</v>
      </c>
      <c r="F528">
        <v>8.1</v>
      </c>
      <c r="G528">
        <v>34</v>
      </c>
      <c r="H528" t="s">
        <v>18</v>
      </c>
      <c r="I528">
        <v>7.71</v>
      </c>
      <c r="J528" t="str">
        <f t="shared" si="32"/>
        <v>Jan</v>
      </c>
      <c r="K528">
        <f t="shared" si="33"/>
        <v>2024</v>
      </c>
      <c r="L528">
        <f t="shared" si="34"/>
        <v>104.2392</v>
      </c>
      <c r="M528" t="str">
        <f t="shared" si="35"/>
        <v>Weekday</v>
      </c>
    </row>
    <row r="529" spans="1:13" x14ac:dyDescent="0.35">
      <c r="A529" t="s">
        <v>544</v>
      </c>
      <c r="B529" t="s">
        <v>14</v>
      </c>
      <c r="C529" t="s">
        <v>24</v>
      </c>
      <c r="D529" s="1">
        <v>45529</v>
      </c>
      <c r="E529">
        <v>42.02</v>
      </c>
      <c r="F529">
        <v>6.66</v>
      </c>
      <c r="G529">
        <v>27</v>
      </c>
      <c r="H529" t="s">
        <v>12</v>
      </c>
      <c r="I529">
        <v>8.51</v>
      </c>
      <c r="J529" t="str">
        <f t="shared" si="32"/>
        <v>Aug</v>
      </c>
      <c r="K529">
        <f t="shared" si="33"/>
        <v>2024</v>
      </c>
      <c r="L529">
        <f t="shared" si="34"/>
        <v>357.59020000000004</v>
      </c>
      <c r="M529" t="str">
        <f t="shared" si="35"/>
        <v>Weekend</v>
      </c>
    </row>
    <row r="530" spans="1:13" x14ac:dyDescent="0.35">
      <c r="A530" t="s">
        <v>545</v>
      </c>
      <c r="B530" t="s">
        <v>14</v>
      </c>
      <c r="C530" t="s">
        <v>24</v>
      </c>
      <c r="D530" s="1">
        <v>45523</v>
      </c>
      <c r="E530">
        <v>79.06</v>
      </c>
      <c r="F530">
        <v>7.86</v>
      </c>
      <c r="G530">
        <v>65</v>
      </c>
      <c r="H530" t="s">
        <v>12</v>
      </c>
      <c r="I530">
        <v>4.78</v>
      </c>
      <c r="J530" t="str">
        <f t="shared" si="32"/>
        <v>Aug</v>
      </c>
      <c r="K530">
        <f t="shared" si="33"/>
        <v>2024</v>
      </c>
      <c r="L530">
        <f t="shared" si="34"/>
        <v>377.90680000000003</v>
      </c>
      <c r="M530" t="str">
        <f t="shared" si="35"/>
        <v>Weekday</v>
      </c>
    </row>
    <row r="531" spans="1:13" x14ac:dyDescent="0.35">
      <c r="A531" t="s">
        <v>546</v>
      </c>
      <c r="B531" t="s">
        <v>17</v>
      </c>
      <c r="C531" t="s">
        <v>15</v>
      </c>
      <c r="D531" s="1">
        <v>45367</v>
      </c>
      <c r="E531">
        <v>76.27</v>
      </c>
      <c r="F531">
        <v>6.14</v>
      </c>
      <c r="G531">
        <v>1</v>
      </c>
      <c r="H531" t="s">
        <v>18</v>
      </c>
      <c r="I531">
        <v>7.86</v>
      </c>
      <c r="J531" t="str">
        <f t="shared" si="32"/>
        <v>Mar</v>
      </c>
      <c r="K531">
        <f t="shared" si="33"/>
        <v>2024</v>
      </c>
      <c r="L531">
        <f t="shared" si="34"/>
        <v>599.48220000000003</v>
      </c>
      <c r="M531" t="str">
        <f t="shared" si="35"/>
        <v>Weekend</v>
      </c>
    </row>
    <row r="532" spans="1:13" x14ac:dyDescent="0.35">
      <c r="A532" t="s">
        <v>547</v>
      </c>
      <c r="B532" t="s">
        <v>10</v>
      </c>
      <c r="C532" t="s">
        <v>15</v>
      </c>
      <c r="D532" s="1">
        <v>45440</v>
      </c>
      <c r="E532">
        <v>79.73</v>
      </c>
      <c r="F532">
        <v>9.94</v>
      </c>
      <c r="G532">
        <v>15</v>
      </c>
      <c r="H532" t="s">
        <v>12</v>
      </c>
      <c r="I532">
        <v>8.1999999999999993</v>
      </c>
      <c r="J532" t="str">
        <f t="shared" si="32"/>
        <v>May</v>
      </c>
      <c r="K532">
        <f t="shared" si="33"/>
        <v>2024</v>
      </c>
      <c r="L532">
        <f t="shared" si="34"/>
        <v>653.78599999999994</v>
      </c>
      <c r="M532" t="str">
        <f t="shared" si="35"/>
        <v>Weekday</v>
      </c>
    </row>
    <row r="533" spans="1:13" x14ac:dyDescent="0.35">
      <c r="A533" t="s">
        <v>548</v>
      </c>
      <c r="B533" t="s">
        <v>14</v>
      </c>
      <c r="C533" t="s">
        <v>11</v>
      </c>
      <c r="D533" s="1">
        <v>45397</v>
      </c>
      <c r="E533">
        <v>78.510000000000005</v>
      </c>
      <c r="F533">
        <v>1.59</v>
      </c>
      <c r="G533">
        <v>104</v>
      </c>
      <c r="H533" t="s">
        <v>18</v>
      </c>
      <c r="I533">
        <v>3.76</v>
      </c>
      <c r="J533" t="str">
        <f t="shared" si="32"/>
        <v>Apr</v>
      </c>
      <c r="K533">
        <f t="shared" si="33"/>
        <v>2024</v>
      </c>
      <c r="L533">
        <f t="shared" si="34"/>
        <v>295.19760000000002</v>
      </c>
      <c r="M533" t="str">
        <f t="shared" si="35"/>
        <v>Weekday</v>
      </c>
    </row>
    <row r="534" spans="1:13" x14ac:dyDescent="0.35">
      <c r="A534" t="s">
        <v>549</v>
      </c>
      <c r="B534" t="s">
        <v>17</v>
      </c>
      <c r="C534" t="s">
        <v>15</v>
      </c>
      <c r="D534" s="1">
        <v>45321</v>
      </c>
      <c r="E534">
        <v>53.02</v>
      </c>
      <c r="F534">
        <v>9.17</v>
      </c>
      <c r="G534">
        <v>14</v>
      </c>
      <c r="H534" t="s">
        <v>12</v>
      </c>
      <c r="I534">
        <v>9.67</v>
      </c>
      <c r="J534" t="str">
        <f t="shared" si="32"/>
        <v>Jan</v>
      </c>
      <c r="K534">
        <f t="shared" si="33"/>
        <v>2024</v>
      </c>
      <c r="L534">
        <f t="shared" si="34"/>
        <v>512.70339999999999</v>
      </c>
      <c r="M534" t="str">
        <f t="shared" si="35"/>
        <v>Weekday</v>
      </c>
    </row>
    <row r="535" spans="1:13" x14ac:dyDescent="0.35">
      <c r="A535" t="s">
        <v>550</v>
      </c>
      <c r="B535" t="s">
        <v>14</v>
      </c>
      <c r="C535" t="s">
        <v>24</v>
      </c>
      <c r="D535" s="1">
        <v>45554</v>
      </c>
      <c r="E535">
        <v>68.12</v>
      </c>
      <c r="F535">
        <v>4.8099999999999996</v>
      </c>
      <c r="G535">
        <v>6</v>
      </c>
      <c r="H535" t="s">
        <v>12</v>
      </c>
      <c r="I535">
        <v>3.78</v>
      </c>
      <c r="J535" t="str">
        <f t="shared" si="32"/>
        <v>Sep</v>
      </c>
      <c r="K535">
        <f t="shared" si="33"/>
        <v>2024</v>
      </c>
      <c r="L535">
        <f t="shared" si="34"/>
        <v>257.49360000000001</v>
      </c>
      <c r="M535" t="str">
        <f t="shared" si="35"/>
        <v>Weekday</v>
      </c>
    </row>
    <row r="536" spans="1:13" x14ac:dyDescent="0.35">
      <c r="A536" t="s">
        <v>551</v>
      </c>
      <c r="B536" t="s">
        <v>10</v>
      </c>
      <c r="C536" t="s">
        <v>11</v>
      </c>
      <c r="D536" s="1">
        <v>45416</v>
      </c>
      <c r="E536">
        <v>61.89</v>
      </c>
      <c r="F536">
        <v>7.51</v>
      </c>
      <c r="G536">
        <v>31</v>
      </c>
      <c r="H536" t="s">
        <v>18</v>
      </c>
      <c r="I536">
        <v>6.05</v>
      </c>
      <c r="J536" t="str">
        <f t="shared" si="32"/>
        <v>May</v>
      </c>
      <c r="K536">
        <f t="shared" si="33"/>
        <v>2024</v>
      </c>
      <c r="L536">
        <f t="shared" si="34"/>
        <v>374.43450000000001</v>
      </c>
      <c r="M536" t="str">
        <f t="shared" si="35"/>
        <v>Weekend</v>
      </c>
    </row>
    <row r="537" spans="1:13" x14ac:dyDescent="0.35">
      <c r="A537" t="s">
        <v>552</v>
      </c>
      <c r="B537" t="s">
        <v>14</v>
      </c>
      <c r="C537" t="s">
        <v>15</v>
      </c>
      <c r="D537" s="1">
        <v>45406</v>
      </c>
      <c r="E537">
        <v>28.77</v>
      </c>
      <c r="F537">
        <v>9.57</v>
      </c>
      <c r="G537">
        <v>23</v>
      </c>
      <c r="H537" t="s">
        <v>12</v>
      </c>
      <c r="I537">
        <v>9.93</v>
      </c>
      <c r="J537" t="str">
        <f t="shared" si="32"/>
        <v>Apr</v>
      </c>
      <c r="K537">
        <f t="shared" si="33"/>
        <v>2024</v>
      </c>
      <c r="L537">
        <f t="shared" si="34"/>
        <v>285.68610000000001</v>
      </c>
      <c r="M537" t="str">
        <f t="shared" si="35"/>
        <v>Weekday</v>
      </c>
    </row>
    <row r="538" spans="1:13" x14ac:dyDescent="0.35">
      <c r="A538" t="s">
        <v>553</v>
      </c>
      <c r="B538" t="s">
        <v>17</v>
      </c>
      <c r="C538" t="s">
        <v>15</v>
      </c>
      <c r="D538" s="1">
        <v>45416</v>
      </c>
      <c r="E538">
        <v>78.959999999999994</v>
      </c>
      <c r="F538">
        <v>2.6</v>
      </c>
      <c r="G538">
        <v>56</v>
      </c>
      <c r="H538" t="s">
        <v>12</v>
      </c>
      <c r="I538">
        <v>4.95</v>
      </c>
      <c r="J538" t="str">
        <f t="shared" si="32"/>
        <v>May</v>
      </c>
      <c r="K538">
        <f t="shared" si="33"/>
        <v>2024</v>
      </c>
      <c r="L538">
        <f t="shared" si="34"/>
        <v>390.85199999999998</v>
      </c>
      <c r="M538" t="str">
        <f t="shared" si="35"/>
        <v>Weekend</v>
      </c>
    </row>
    <row r="539" spans="1:13" x14ac:dyDescent="0.35">
      <c r="A539" t="s">
        <v>554</v>
      </c>
      <c r="B539" t="s">
        <v>14</v>
      </c>
      <c r="C539" t="s">
        <v>24</v>
      </c>
      <c r="D539" s="1">
        <v>45320</v>
      </c>
      <c r="E539">
        <v>68.14</v>
      </c>
      <c r="F539">
        <v>7.13</v>
      </c>
      <c r="G539">
        <v>24</v>
      </c>
      <c r="H539" t="s">
        <v>12</v>
      </c>
      <c r="I539">
        <v>6.04</v>
      </c>
      <c r="J539" t="str">
        <f t="shared" si="32"/>
        <v>Jan</v>
      </c>
      <c r="K539">
        <f t="shared" si="33"/>
        <v>2024</v>
      </c>
      <c r="L539">
        <f t="shared" si="34"/>
        <v>411.56560000000002</v>
      </c>
      <c r="M539" t="str">
        <f t="shared" si="35"/>
        <v>Weekday</v>
      </c>
    </row>
    <row r="540" spans="1:13" x14ac:dyDescent="0.35">
      <c r="A540" t="s">
        <v>555</v>
      </c>
      <c r="B540" t="s">
        <v>14</v>
      </c>
      <c r="C540" t="s">
        <v>15</v>
      </c>
      <c r="D540" s="1">
        <v>45495</v>
      </c>
      <c r="E540">
        <v>54.32</v>
      </c>
      <c r="F540">
        <v>5.3</v>
      </c>
      <c r="G540">
        <v>73</v>
      </c>
      <c r="H540" t="s">
        <v>18</v>
      </c>
      <c r="I540">
        <v>7.76</v>
      </c>
      <c r="J540" t="str">
        <f t="shared" si="32"/>
        <v>Jul</v>
      </c>
      <c r="K540">
        <f t="shared" si="33"/>
        <v>2024</v>
      </c>
      <c r="L540">
        <f t="shared" si="34"/>
        <v>421.52319999999997</v>
      </c>
      <c r="M540" t="str">
        <f t="shared" si="35"/>
        <v>Weekday</v>
      </c>
    </row>
    <row r="541" spans="1:13" x14ac:dyDescent="0.35">
      <c r="A541" t="s">
        <v>556</v>
      </c>
      <c r="B541" t="s">
        <v>17</v>
      </c>
      <c r="C541" t="s">
        <v>24</v>
      </c>
      <c r="D541" s="1">
        <v>45615</v>
      </c>
      <c r="E541">
        <v>23.36</v>
      </c>
      <c r="F541">
        <v>9.77</v>
      </c>
      <c r="G541">
        <v>48</v>
      </c>
      <c r="H541" t="s">
        <v>12</v>
      </c>
      <c r="I541">
        <v>8.27</v>
      </c>
      <c r="J541" t="str">
        <f t="shared" si="32"/>
        <v>Nov</v>
      </c>
      <c r="K541">
        <f t="shared" si="33"/>
        <v>2024</v>
      </c>
      <c r="L541">
        <f t="shared" si="34"/>
        <v>193.18719999999999</v>
      </c>
      <c r="M541" t="str">
        <f t="shared" si="35"/>
        <v>Weekday</v>
      </c>
    </row>
    <row r="542" spans="1:13" x14ac:dyDescent="0.35">
      <c r="A542" t="s">
        <v>557</v>
      </c>
      <c r="B542" t="s">
        <v>14</v>
      </c>
      <c r="C542" t="s">
        <v>11</v>
      </c>
      <c r="D542" s="1">
        <v>45530</v>
      </c>
      <c r="E542">
        <v>5.39</v>
      </c>
      <c r="F542">
        <v>5.0599999999999996</v>
      </c>
      <c r="G542">
        <v>101</v>
      </c>
      <c r="H542" t="s">
        <v>12</v>
      </c>
      <c r="I542">
        <v>7.01</v>
      </c>
      <c r="J542" t="str">
        <f t="shared" si="32"/>
        <v>Aug</v>
      </c>
      <c r="K542">
        <f t="shared" si="33"/>
        <v>2024</v>
      </c>
      <c r="L542">
        <f t="shared" si="34"/>
        <v>37.783899999999996</v>
      </c>
      <c r="M542" t="str">
        <f t="shared" si="35"/>
        <v>Weekday</v>
      </c>
    </row>
    <row r="543" spans="1:13" x14ac:dyDescent="0.35">
      <c r="A543" t="s">
        <v>558</v>
      </c>
      <c r="B543" t="s">
        <v>14</v>
      </c>
      <c r="C543" t="s">
        <v>15</v>
      </c>
      <c r="D543" s="1">
        <v>45349</v>
      </c>
      <c r="E543">
        <v>94.24</v>
      </c>
      <c r="F543">
        <v>2.23</v>
      </c>
      <c r="G543">
        <v>30</v>
      </c>
      <c r="H543" t="s">
        <v>12</v>
      </c>
      <c r="I543">
        <v>5.6</v>
      </c>
      <c r="J543" t="str">
        <f t="shared" si="32"/>
        <v>Feb</v>
      </c>
      <c r="K543">
        <f t="shared" si="33"/>
        <v>2024</v>
      </c>
      <c r="L543">
        <f t="shared" si="34"/>
        <v>527.74399999999991</v>
      </c>
      <c r="M543" t="str">
        <f t="shared" si="35"/>
        <v>Weekday</v>
      </c>
    </row>
    <row r="544" spans="1:13" x14ac:dyDescent="0.35">
      <c r="A544" t="s">
        <v>559</v>
      </c>
      <c r="B544" t="s">
        <v>17</v>
      </c>
      <c r="C544" t="s">
        <v>15</v>
      </c>
      <c r="D544" s="1">
        <v>45646</v>
      </c>
      <c r="E544">
        <v>59.76</v>
      </c>
      <c r="F544">
        <v>3.63</v>
      </c>
      <c r="G544">
        <v>92</v>
      </c>
      <c r="H544" t="s">
        <v>12</v>
      </c>
      <c r="I544">
        <v>4.13</v>
      </c>
      <c r="J544" t="str">
        <f t="shared" si="32"/>
        <v>Dec</v>
      </c>
      <c r="K544">
        <f t="shared" si="33"/>
        <v>2024</v>
      </c>
      <c r="L544">
        <f t="shared" si="34"/>
        <v>246.80879999999999</v>
      </c>
      <c r="M544" t="str">
        <f t="shared" si="35"/>
        <v>Weekday</v>
      </c>
    </row>
    <row r="545" spans="1:13" x14ac:dyDescent="0.35">
      <c r="A545" t="s">
        <v>560</v>
      </c>
      <c r="B545" t="s">
        <v>10</v>
      </c>
      <c r="C545" t="s">
        <v>11</v>
      </c>
      <c r="D545" s="1">
        <v>45483</v>
      </c>
      <c r="E545">
        <v>61.8</v>
      </c>
      <c r="F545">
        <v>1.1499999999999999</v>
      </c>
      <c r="G545">
        <v>114</v>
      </c>
      <c r="H545" t="s">
        <v>18</v>
      </c>
      <c r="I545">
        <v>8.7899999999999991</v>
      </c>
      <c r="J545" t="str">
        <f t="shared" si="32"/>
        <v>Jul</v>
      </c>
      <c r="K545">
        <f t="shared" si="33"/>
        <v>2024</v>
      </c>
      <c r="L545">
        <f t="shared" si="34"/>
        <v>543.22199999999987</v>
      </c>
      <c r="M545" t="str">
        <f t="shared" si="35"/>
        <v>Weekday</v>
      </c>
    </row>
    <row r="546" spans="1:13" x14ac:dyDescent="0.35">
      <c r="A546" t="s">
        <v>561</v>
      </c>
      <c r="B546" t="s">
        <v>14</v>
      </c>
      <c r="C546" t="s">
        <v>15</v>
      </c>
      <c r="D546" s="1">
        <v>45300</v>
      </c>
      <c r="E546">
        <v>42.31</v>
      </c>
      <c r="F546">
        <v>2.25</v>
      </c>
      <c r="G546">
        <v>74</v>
      </c>
      <c r="H546" t="s">
        <v>18</v>
      </c>
      <c r="I546">
        <v>4.79</v>
      </c>
      <c r="J546" t="str">
        <f t="shared" si="32"/>
        <v>Jan</v>
      </c>
      <c r="K546">
        <f t="shared" si="33"/>
        <v>2024</v>
      </c>
      <c r="L546">
        <f t="shared" si="34"/>
        <v>202.66490000000002</v>
      </c>
      <c r="M546" t="str">
        <f t="shared" si="35"/>
        <v>Weekday</v>
      </c>
    </row>
    <row r="547" spans="1:13" x14ac:dyDescent="0.35">
      <c r="A547" t="s">
        <v>562</v>
      </c>
      <c r="B547" t="s">
        <v>10</v>
      </c>
      <c r="C547" t="s">
        <v>24</v>
      </c>
      <c r="D547" s="1">
        <v>45441</v>
      </c>
      <c r="E547">
        <v>8.64</v>
      </c>
      <c r="F547">
        <v>7.03</v>
      </c>
      <c r="G547">
        <v>51</v>
      </c>
      <c r="H547" t="s">
        <v>12</v>
      </c>
      <c r="I547">
        <v>3.92</v>
      </c>
      <c r="J547" t="str">
        <f t="shared" si="32"/>
        <v>May</v>
      </c>
      <c r="K547">
        <f t="shared" si="33"/>
        <v>2024</v>
      </c>
      <c r="L547">
        <f t="shared" si="34"/>
        <v>33.8688</v>
      </c>
      <c r="M547" t="str">
        <f t="shared" si="35"/>
        <v>Weekday</v>
      </c>
    </row>
    <row r="548" spans="1:13" x14ac:dyDescent="0.35">
      <c r="A548" t="s">
        <v>563</v>
      </c>
      <c r="B548" t="s">
        <v>10</v>
      </c>
      <c r="C548" t="s">
        <v>11</v>
      </c>
      <c r="D548" s="1">
        <v>45380</v>
      </c>
      <c r="E548">
        <v>12.69</v>
      </c>
      <c r="F548">
        <v>4.71</v>
      </c>
      <c r="G548">
        <v>116</v>
      </c>
      <c r="H548" t="s">
        <v>12</v>
      </c>
      <c r="I548">
        <v>9.32</v>
      </c>
      <c r="J548" t="str">
        <f t="shared" si="32"/>
        <v>Mar</v>
      </c>
      <c r="K548">
        <f t="shared" si="33"/>
        <v>2024</v>
      </c>
      <c r="L548">
        <f t="shared" si="34"/>
        <v>118.27079999999999</v>
      </c>
      <c r="M548" t="str">
        <f t="shared" si="35"/>
        <v>Weekday</v>
      </c>
    </row>
    <row r="549" spans="1:13" x14ac:dyDescent="0.35">
      <c r="A549" t="s">
        <v>564</v>
      </c>
      <c r="B549" t="s">
        <v>14</v>
      </c>
      <c r="C549" t="s">
        <v>24</v>
      </c>
      <c r="D549" s="1">
        <v>45648</v>
      </c>
      <c r="E549">
        <v>69.89</v>
      </c>
      <c r="F549">
        <v>6.45</v>
      </c>
      <c r="G549">
        <v>33</v>
      </c>
      <c r="H549" t="s">
        <v>12</v>
      </c>
      <c r="I549">
        <v>7.72</v>
      </c>
      <c r="J549" t="str">
        <f t="shared" si="32"/>
        <v>Dec</v>
      </c>
      <c r="K549">
        <f t="shared" si="33"/>
        <v>2024</v>
      </c>
      <c r="L549">
        <f t="shared" si="34"/>
        <v>539.55079999999998</v>
      </c>
      <c r="M549" t="str">
        <f t="shared" si="35"/>
        <v>Weekend</v>
      </c>
    </row>
    <row r="550" spans="1:13" x14ac:dyDescent="0.35">
      <c r="A550" t="s">
        <v>565</v>
      </c>
      <c r="B550" t="s">
        <v>14</v>
      </c>
      <c r="C550" t="s">
        <v>15</v>
      </c>
      <c r="D550" s="1">
        <v>45630</v>
      </c>
      <c r="E550">
        <v>98.36</v>
      </c>
      <c r="F550">
        <v>3.41</v>
      </c>
      <c r="G550">
        <v>23</v>
      </c>
      <c r="H550" t="s">
        <v>12</v>
      </c>
      <c r="I550">
        <v>9.17</v>
      </c>
      <c r="J550" t="str">
        <f t="shared" si="32"/>
        <v>Dec</v>
      </c>
      <c r="K550">
        <f t="shared" si="33"/>
        <v>2024</v>
      </c>
      <c r="L550">
        <f t="shared" si="34"/>
        <v>901.96119999999996</v>
      </c>
      <c r="M550" t="str">
        <f t="shared" si="35"/>
        <v>Weekday</v>
      </c>
    </row>
    <row r="551" spans="1:13" x14ac:dyDescent="0.35">
      <c r="A551" t="s">
        <v>566</v>
      </c>
      <c r="B551" t="s">
        <v>14</v>
      </c>
      <c r="C551" t="s">
        <v>24</v>
      </c>
      <c r="D551" s="1">
        <v>45427</v>
      </c>
      <c r="E551">
        <v>99.22</v>
      </c>
      <c r="F551">
        <v>1.44</v>
      </c>
      <c r="G551">
        <v>5</v>
      </c>
      <c r="H551" t="s">
        <v>18</v>
      </c>
      <c r="I551">
        <v>8.08</v>
      </c>
      <c r="J551" t="str">
        <f t="shared" si="32"/>
        <v>May</v>
      </c>
      <c r="K551">
        <f t="shared" si="33"/>
        <v>2024</v>
      </c>
      <c r="L551">
        <f t="shared" si="34"/>
        <v>801.69759999999997</v>
      </c>
      <c r="M551" t="str">
        <f t="shared" si="35"/>
        <v>Weekday</v>
      </c>
    </row>
    <row r="552" spans="1:13" x14ac:dyDescent="0.35">
      <c r="A552" t="s">
        <v>567</v>
      </c>
      <c r="B552" t="s">
        <v>17</v>
      </c>
      <c r="C552" t="s">
        <v>24</v>
      </c>
      <c r="D552" s="1">
        <v>45530</v>
      </c>
      <c r="E552">
        <v>97.12</v>
      </c>
      <c r="F552">
        <v>9.14</v>
      </c>
      <c r="G552">
        <v>89</v>
      </c>
      <c r="H552" t="s">
        <v>12</v>
      </c>
      <c r="I552">
        <v>7.88</v>
      </c>
      <c r="J552" t="str">
        <f t="shared" si="32"/>
        <v>Aug</v>
      </c>
      <c r="K552">
        <f t="shared" si="33"/>
        <v>2024</v>
      </c>
      <c r="L552">
        <f t="shared" si="34"/>
        <v>765.30560000000003</v>
      </c>
      <c r="M552" t="str">
        <f t="shared" si="35"/>
        <v>Weekday</v>
      </c>
    </row>
    <row r="553" spans="1:13" x14ac:dyDescent="0.35">
      <c r="A553" t="s">
        <v>568</v>
      </c>
      <c r="B553" t="s">
        <v>10</v>
      </c>
      <c r="C553" t="s">
        <v>11</v>
      </c>
      <c r="D553" s="1">
        <v>45569</v>
      </c>
      <c r="E553">
        <v>42.25</v>
      </c>
      <c r="F553">
        <v>2.79</v>
      </c>
      <c r="G553">
        <v>0</v>
      </c>
      <c r="H553" t="s">
        <v>12</v>
      </c>
      <c r="I553">
        <v>8.02</v>
      </c>
      <c r="J553" t="str">
        <f t="shared" si="32"/>
        <v>Oct</v>
      </c>
      <c r="K553">
        <f t="shared" si="33"/>
        <v>2024</v>
      </c>
      <c r="L553">
        <f t="shared" si="34"/>
        <v>338.84499999999997</v>
      </c>
      <c r="M553" t="str">
        <f t="shared" si="35"/>
        <v>Weekday</v>
      </c>
    </row>
    <row r="554" spans="1:13" x14ac:dyDescent="0.35">
      <c r="A554" t="s">
        <v>569</v>
      </c>
      <c r="B554" t="s">
        <v>14</v>
      </c>
      <c r="C554" t="s">
        <v>15</v>
      </c>
      <c r="D554" s="1">
        <v>45527</v>
      </c>
      <c r="E554">
        <v>12.13</v>
      </c>
      <c r="F554">
        <v>1.84</v>
      </c>
      <c r="G554">
        <v>40</v>
      </c>
      <c r="H554" t="s">
        <v>12</v>
      </c>
      <c r="I554">
        <v>8.94</v>
      </c>
      <c r="J554" t="str">
        <f t="shared" si="32"/>
        <v>Aug</v>
      </c>
      <c r="K554">
        <f t="shared" si="33"/>
        <v>2024</v>
      </c>
      <c r="L554">
        <f t="shared" si="34"/>
        <v>108.4422</v>
      </c>
      <c r="M554" t="str">
        <f t="shared" si="35"/>
        <v>Weekday</v>
      </c>
    </row>
    <row r="555" spans="1:13" x14ac:dyDescent="0.35">
      <c r="A555" t="s">
        <v>570</v>
      </c>
      <c r="B555" t="s">
        <v>14</v>
      </c>
      <c r="C555" t="s">
        <v>11</v>
      </c>
      <c r="D555" s="1">
        <v>45402</v>
      </c>
      <c r="E555">
        <v>63.96</v>
      </c>
      <c r="F555">
        <v>2.6</v>
      </c>
      <c r="G555">
        <v>105</v>
      </c>
      <c r="H555" t="s">
        <v>18</v>
      </c>
      <c r="I555">
        <v>7.06</v>
      </c>
      <c r="J555" t="str">
        <f t="shared" si="32"/>
        <v>Apr</v>
      </c>
      <c r="K555">
        <f t="shared" si="33"/>
        <v>2024</v>
      </c>
      <c r="L555">
        <f t="shared" si="34"/>
        <v>451.55759999999998</v>
      </c>
      <c r="M555" t="str">
        <f t="shared" si="35"/>
        <v>Weekend</v>
      </c>
    </row>
    <row r="556" spans="1:13" x14ac:dyDescent="0.35">
      <c r="A556" t="s">
        <v>571</v>
      </c>
      <c r="B556" t="s">
        <v>10</v>
      </c>
      <c r="C556" t="s">
        <v>24</v>
      </c>
      <c r="D556" s="1">
        <v>45525</v>
      </c>
      <c r="E556">
        <v>35.450000000000003</v>
      </c>
      <c r="F556">
        <v>6.6</v>
      </c>
      <c r="G556">
        <v>30</v>
      </c>
      <c r="H556" t="s">
        <v>18</v>
      </c>
      <c r="I556">
        <v>5.76</v>
      </c>
      <c r="J556" t="str">
        <f t="shared" si="32"/>
        <v>Aug</v>
      </c>
      <c r="K556">
        <f t="shared" si="33"/>
        <v>2024</v>
      </c>
      <c r="L556">
        <f t="shared" si="34"/>
        <v>204.19200000000001</v>
      </c>
      <c r="M556" t="str">
        <f t="shared" si="35"/>
        <v>Weekday</v>
      </c>
    </row>
    <row r="557" spans="1:13" x14ac:dyDescent="0.35">
      <c r="A557" t="s">
        <v>572</v>
      </c>
      <c r="B557" t="s">
        <v>14</v>
      </c>
      <c r="C557" t="s">
        <v>24</v>
      </c>
      <c r="D557" s="1">
        <v>45506</v>
      </c>
      <c r="E557">
        <v>88.75</v>
      </c>
      <c r="F557">
        <v>6.41</v>
      </c>
      <c r="G557">
        <v>30</v>
      </c>
      <c r="H557" t="s">
        <v>18</v>
      </c>
      <c r="I557">
        <v>3.34</v>
      </c>
      <c r="J557" t="str">
        <f t="shared" si="32"/>
        <v>Aug</v>
      </c>
      <c r="K557">
        <f t="shared" si="33"/>
        <v>2024</v>
      </c>
      <c r="L557">
        <f t="shared" si="34"/>
        <v>296.42500000000001</v>
      </c>
      <c r="M557" t="str">
        <f t="shared" si="35"/>
        <v>Weekday</v>
      </c>
    </row>
    <row r="558" spans="1:13" x14ac:dyDescent="0.35">
      <c r="A558" t="s">
        <v>573</v>
      </c>
      <c r="B558" t="s">
        <v>17</v>
      </c>
      <c r="C558" t="s">
        <v>15</v>
      </c>
      <c r="D558" s="1">
        <v>45633</v>
      </c>
      <c r="E558">
        <v>78.05</v>
      </c>
      <c r="F558">
        <v>1.55</v>
      </c>
      <c r="G558">
        <v>112</v>
      </c>
      <c r="H558" t="s">
        <v>18</v>
      </c>
      <c r="I558">
        <v>6.35</v>
      </c>
      <c r="J558" t="str">
        <f t="shared" si="32"/>
        <v>Dec</v>
      </c>
      <c r="K558">
        <f t="shared" si="33"/>
        <v>2024</v>
      </c>
      <c r="L558">
        <f t="shared" si="34"/>
        <v>495.61749999999995</v>
      </c>
      <c r="M558" t="str">
        <f t="shared" si="35"/>
        <v>Weekend</v>
      </c>
    </row>
    <row r="559" spans="1:13" x14ac:dyDescent="0.35">
      <c r="A559" t="s">
        <v>574</v>
      </c>
      <c r="B559" t="s">
        <v>14</v>
      </c>
      <c r="C559" t="s">
        <v>15</v>
      </c>
      <c r="D559" s="1">
        <v>45319</v>
      </c>
      <c r="E559">
        <v>75.739999999999995</v>
      </c>
      <c r="F559">
        <v>5.12</v>
      </c>
      <c r="G559">
        <v>37</v>
      </c>
      <c r="H559" t="s">
        <v>12</v>
      </c>
      <c r="I559">
        <v>8.39</v>
      </c>
      <c r="J559" t="str">
        <f t="shared" si="32"/>
        <v>Jan</v>
      </c>
      <c r="K559">
        <f t="shared" si="33"/>
        <v>2024</v>
      </c>
      <c r="L559">
        <f t="shared" si="34"/>
        <v>635.45860000000005</v>
      </c>
      <c r="M559" t="str">
        <f t="shared" si="35"/>
        <v>Weekend</v>
      </c>
    </row>
    <row r="560" spans="1:13" x14ac:dyDescent="0.35">
      <c r="A560" t="s">
        <v>575</v>
      </c>
      <c r="B560" t="s">
        <v>10</v>
      </c>
      <c r="C560" t="s">
        <v>24</v>
      </c>
      <c r="D560" s="1">
        <v>45569</v>
      </c>
      <c r="E560">
        <v>41.63</v>
      </c>
      <c r="F560">
        <v>8.92</v>
      </c>
      <c r="G560">
        <v>112</v>
      </c>
      <c r="H560" t="s">
        <v>12</v>
      </c>
      <c r="I560">
        <v>9.02</v>
      </c>
      <c r="J560" t="str">
        <f t="shared" si="32"/>
        <v>Oct</v>
      </c>
      <c r="K560">
        <f t="shared" si="33"/>
        <v>2024</v>
      </c>
      <c r="L560">
        <f t="shared" si="34"/>
        <v>375.50260000000003</v>
      </c>
      <c r="M560" t="str">
        <f t="shared" si="35"/>
        <v>Weekday</v>
      </c>
    </row>
    <row r="561" spans="1:13" x14ac:dyDescent="0.35">
      <c r="A561" t="s">
        <v>576</v>
      </c>
      <c r="B561" t="s">
        <v>14</v>
      </c>
      <c r="C561" t="s">
        <v>24</v>
      </c>
      <c r="D561" s="1">
        <v>45337</v>
      </c>
      <c r="E561">
        <v>48.09</v>
      </c>
      <c r="F561">
        <v>9.6</v>
      </c>
      <c r="G561">
        <v>19</v>
      </c>
      <c r="H561" t="s">
        <v>18</v>
      </c>
      <c r="I561">
        <v>8.85</v>
      </c>
      <c r="J561" t="str">
        <f t="shared" si="32"/>
        <v>Feb</v>
      </c>
      <c r="K561">
        <f t="shared" si="33"/>
        <v>2024</v>
      </c>
      <c r="L561">
        <f t="shared" si="34"/>
        <v>425.59649999999999</v>
      </c>
      <c r="M561" t="str">
        <f t="shared" si="35"/>
        <v>Weekday</v>
      </c>
    </row>
    <row r="562" spans="1:13" x14ac:dyDescent="0.35">
      <c r="A562" t="s">
        <v>577</v>
      </c>
      <c r="B562" t="s">
        <v>10</v>
      </c>
      <c r="C562" t="s">
        <v>15</v>
      </c>
      <c r="D562" s="1">
        <v>45345</v>
      </c>
      <c r="E562">
        <v>25.97</v>
      </c>
      <c r="F562">
        <v>2.19</v>
      </c>
      <c r="G562">
        <v>58</v>
      </c>
      <c r="H562" t="s">
        <v>18</v>
      </c>
      <c r="I562">
        <v>4.3499999999999996</v>
      </c>
      <c r="J562" t="str">
        <f t="shared" si="32"/>
        <v>Feb</v>
      </c>
      <c r="K562">
        <f t="shared" si="33"/>
        <v>2024</v>
      </c>
      <c r="L562">
        <f t="shared" si="34"/>
        <v>112.96949999999998</v>
      </c>
      <c r="M562" t="str">
        <f t="shared" si="35"/>
        <v>Weekday</v>
      </c>
    </row>
    <row r="563" spans="1:13" x14ac:dyDescent="0.35">
      <c r="A563" t="s">
        <v>578</v>
      </c>
      <c r="B563" t="s">
        <v>14</v>
      </c>
      <c r="C563" t="s">
        <v>24</v>
      </c>
      <c r="D563" s="1">
        <v>45496</v>
      </c>
      <c r="E563">
        <v>49.91</v>
      </c>
      <c r="F563">
        <v>9.5299999999999994</v>
      </c>
      <c r="G563">
        <v>85</v>
      </c>
      <c r="H563" t="s">
        <v>18</v>
      </c>
      <c r="I563">
        <v>6.74</v>
      </c>
      <c r="J563" t="str">
        <f t="shared" si="32"/>
        <v>Jul</v>
      </c>
      <c r="K563">
        <f t="shared" si="33"/>
        <v>2024</v>
      </c>
      <c r="L563">
        <f t="shared" si="34"/>
        <v>336.39339999999999</v>
      </c>
      <c r="M563" t="str">
        <f t="shared" si="35"/>
        <v>Weekday</v>
      </c>
    </row>
    <row r="564" spans="1:13" x14ac:dyDescent="0.35">
      <c r="A564" t="s">
        <v>579</v>
      </c>
      <c r="B564" t="s">
        <v>10</v>
      </c>
      <c r="C564" t="s">
        <v>15</v>
      </c>
      <c r="D564" s="1">
        <v>45440</v>
      </c>
      <c r="E564">
        <v>79.7</v>
      </c>
      <c r="F564">
        <v>5.19</v>
      </c>
      <c r="G564">
        <v>95</v>
      </c>
      <c r="H564" t="s">
        <v>18</v>
      </c>
      <c r="I564">
        <v>4.5999999999999996</v>
      </c>
      <c r="J564" t="str">
        <f t="shared" si="32"/>
        <v>May</v>
      </c>
      <c r="K564">
        <f t="shared" si="33"/>
        <v>2024</v>
      </c>
      <c r="L564">
        <f t="shared" si="34"/>
        <v>366.62</v>
      </c>
      <c r="M564" t="str">
        <f t="shared" si="35"/>
        <v>Weekday</v>
      </c>
    </row>
    <row r="565" spans="1:13" x14ac:dyDescent="0.35">
      <c r="A565" t="s">
        <v>580</v>
      </c>
      <c r="B565" t="s">
        <v>10</v>
      </c>
      <c r="C565" t="s">
        <v>15</v>
      </c>
      <c r="D565" s="1">
        <v>45324</v>
      </c>
      <c r="E565">
        <v>80.209999999999994</v>
      </c>
      <c r="F565">
        <v>6.66</v>
      </c>
      <c r="G565">
        <v>84</v>
      </c>
      <c r="H565" t="s">
        <v>12</v>
      </c>
      <c r="I565">
        <v>6.37</v>
      </c>
      <c r="J565" t="str">
        <f t="shared" si="32"/>
        <v>Feb</v>
      </c>
      <c r="K565">
        <f t="shared" si="33"/>
        <v>2024</v>
      </c>
      <c r="L565">
        <f t="shared" si="34"/>
        <v>510.93769999999995</v>
      </c>
      <c r="M565" t="str">
        <f t="shared" si="35"/>
        <v>Weekday</v>
      </c>
    </row>
    <row r="566" spans="1:13" x14ac:dyDescent="0.35">
      <c r="A566" t="s">
        <v>581</v>
      </c>
      <c r="B566" t="s">
        <v>10</v>
      </c>
      <c r="C566" t="s">
        <v>15</v>
      </c>
      <c r="D566" s="1">
        <v>45409</v>
      </c>
      <c r="E566">
        <v>45.51</v>
      </c>
      <c r="F566">
        <v>6.21</v>
      </c>
      <c r="G566">
        <v>25</v>
      </c>
      <c r="H566" t="s">
        <v>12</v>
      </c>
      <c r="I566">
        <v>6.27</v>
      </c>
      <c r="J566" t="str">
        <f t="shared" si="32"/>
        <v>Apr</v>
      </c>
      <c r="K566">
        <f t="shared" si="33"/>
        <v>2024</v>
      </c>
      <c r="L566">
        <f t="shared" si="34"/>
        <v>285.34769999999997</v>
      </c>
      <c r="M566" t="str">
        <f t="shared" si="35"/>
        <v>Weekend</v>
      </c>
    </row>
    <row r="567" spans="1:13" x14ac:dyDescent="0.35">
      <c r="A567" t="s">
        <v>582</v>
      </c>
      <c r="B567" t="s">
        <v>14</v>
      </c>
      <c r="C567" t="s">
        <v>24</v>
      </c>
      <c r="D567" s="1">
        <v>45491</v>
      </c>
      <c r="E567">
        <v>63.19</v>
      </c>
      <c r="F567">
        <v>3.55</v>
      </c>
      <c r="G567">
        <v>46</v>
      </c>
      <c r="H567" t="s">
        <v>12</v>
      </c>
      <c r="I567">
        <v>5.82</v>
      </c>
      <c r="J567" t="str">
        <f t="shared" si="32"/>
        <v>Jul</v>
      </c>
      <c r="K567">
        <f t="shared" si="33"/>
        <v>2024</v>
      </c>
      <c r="L567">
        <f t="shared" si="34"/>
        <v>367.76580000000001</v>
      </c>
      <c r="M567" t="str">
        <f t="shared" si="35"/>
        <v>Weekday</v>
      </c>
    </row>
    <row r="568" spans="1:13" x14ac:dyDescent="0.35">
      <c r="A568" t="s">
        <v>583</v>
      </c>
      <c r="B568" t="s">
        <v>10</v>
      </c>
      <c r="C568" t="s">
        <v>15</v>
      </c>
      <c r="D568" s="1">
        <v>45361</v>
      </c>
      <c r="E568">
        <v>61.74</v>
      </c>
      <c r="F568">
        <v>7.91</v>
      </c>
      <c r="G568">
        <v>107</v>
      </c>
      <c r="H568" t="s">
        <v>18</v>
      </c>
      <c r="I568">
        <v>8.14</v>
      </c>
      <c r="J568" t="str">
        <f t="shared" si="32"/>
        <v>Mar</v>
      </c>
      <c r="K568">
        <f t="shared" si="33"/>
        <v>2024</v>
      </c>
      <c r="L568">
        <f t="shared" si="34"/>
        <v>502.56360000000006</v>
      </c>
      <c r="M568" t="str">
        <f t="shared" si="35"/>
        <v>Weekend</v>
      </c>
    </row>
    <row r="569" spans="1:13" x14ac:dyDescent="0.35">
      <c r="A569" t="s">
        <v>584</v>
      </c>
      <c r="B569" t="s">
        <v>17</v>
      </c>
      <c r="C569" t="s">
        <v>15</v>
      </c>
      <c r="D569" s="1">
        <v>45557</v>
      </c>
      <c r="E569">
        <v>93.49</v>
      </c>
      <c r="F569">
        <v>8.57</v>
      </c>
      <c r="G569">
        <v>66</v>
      </c>
      <c r="H569" t="s">
        <v>18</v>
      </c>
      <c r="I569">
        <v>8.93</v>
      </c>
      <c r="J569" t="str">
        <f t="shared" si="32"/>
        <v>Sep</v>
      </c>
      <c r="K569">
        <f t="shared" si="33"/>
        <v>2024</v>
      </c>
      <c r="L569">
        <f t="shared" si="34"/>
        <v>834.86569999999995</v>
      </c>
      <c r="M569" t="str">
        <f t="shared" si="35"/>
        <v>Weekend</v>
      </c>
    </row>
    <row r="570" spans="1:13" x14ac:dyDescent="0.35">
      <c r="A570" t="s">
        <v>585</v>
      </c>
      <c r="B570" t="s">
        <v>17</v>
      </c>
      <c r="C570" t="s">
        <v>15</v>
      </c>
      <c r="D570" s="1">
        <v>45334</v>
      </c>
      <c r="E570">
        <v>69.52</v>
      </c>
      <c r="F570">
        <v>9.5500000000000007</v>
      </c>
      <c r="G570">
        <v>68</v>
      </c>
      <c r="H570" t="s">
        <v>12</v>
      </c>
      <c r="I570">
        <v>4.95</v>
      </c>
      <c r="J570" t="str">
        <f t="shared" si="32"/>
        <v>Feb</v>
      </c>
      <c r="K570">
        <f t="shared" si="33"/>
        <v>2024</v>
      </c>
      <c r="L570">
        <f t="shared" si="34"/>
        <v>344.12399999999997</v>
      </c>
      <c r="M570" t="str">
        <f t="shared" si="35"/>
        <v>Weekday</v>
      </c>
    </row>
    <row r="571" spans="1:13" x14ac:dyDescent="0.35">
      <c r="A571" t="s">
        <v>586</v>
      </c>
      <c r="B571" t="s">
        <v>10</v>
      </c>
      <c r="C571" t="s">
        <v>24</v>
      </c>
      <c r="D571" s="1">
        <v>45350</v>
      </c>
      <c r="E571">
        <v>36.51</v>
      </c>
      <c r="F571">
        <v>7.78</v>
      </c>
      <c r="G571">
        <v>43</v>
      </c>
      <c r="H571" t="s">
        <v>18</v>
      </c>
      <c r="I571">
        <v>9.68</v>
      </c>
      <c r="J571" t="str">
        <f t="shared" si="32"/>
        <v>Feb</v>
      </c>
      <c r="K571">
        <f t="shared" si="33"/>
        <v>2024</v>
      </c>
      <c r="L571">
        <f t="shared" si="34"/>
        <v>353.41679999999997</v>
      </c>
      <c r="M571" t="str">
        <f t="shared" si="35"/>
        <v>Weekday</v>
      </c>
    </row>
    <row r="572" spans="1:13" x14ac:dyDescent="0.35">
      <c r="A572" t="s">
        <v>587</v>
      </c>
      <c r="B572" t="s">
        <v>17</v>
      </c>
      <c r="C572" t="s">
        <v>11</v>
      </c>
      <c r="D572" s="1">
        <v>45613</v>
      </c>
      <c r="E572">
        <v>42.29</v>
      </c>
      <c r="F572">
        <v>3.25</v>
      </c>
      <c r="G572">
        <v>29</v>
      </c>
      <c r="H572" t="s">
        <v>18</v>
      </c>
      <c r="I572">
        <v>9.0500000000000007</v>
      </c>
      <c r="J572" t="str">
        <f t="shared" si="32"/>
        <v>Nov</v>
      </c>
      <c r="K572">
        <f t="shared" si="33"/>
        <v>2024</v>
      </c>
      <c r="L572">
        <f t="shared" si="34"/>
        <v>382.72450000000003</v>
      </c>
      <c r="M572" t="str">
        <f t="shared" si="35"/>
        <v>Weekend</v>
      </c>
    </row>
    <row r="573" spans="1:13" x14ac:dyDescent="0.35">
      <c r="A573" t="s">
        <v>588</v>
      </c>
      <c r="B573" t="s">
        <v>17</v>
      </c>
      <c r="C573" t="s">
        <v>11</v>
      </c>
      <c r="D573" s="1">
        <v>45346</v>
      </c>
      <c r="E573">
        <v>46.3</v>
      </c>
      <c r="F573">
        <v>3.07</v>
      </c>
      <c r="G573">
        <v>48</v>
      </c>
      <c r="H573" t="s">
        <v>18</v>
      </c>
      <c r="I573">
        <v>4.9000000000000004</v>
      </c>
      <c r="J573" t="str">
        <f t="shared" si="32"/>
        <v>Feb</v>
      </c>
      <c r="K573">
        <f t="shared" si="33"/>
        <v>2024</v>
      </c>
      <c r="L573">
        <f t="shared" si="34"/>
        <v>226.87</v>
      </c>
      <c r="M573" t="str">
        <f t="shared" si="35"/>
        <v>Weekend</v>
      </c>
    </row>
    <row r="574" spans="1:13" x14ac:dyDescent="0.35">
      <c r="A574" t="s">
        <v>589</v>
      </c>
      <c r="B574" t="s">
        <v>14</v>
      </c>
      <c r="C574" t="s">
        <v>15</v>
      </c>
      <c r="D574" s="1">
        <v>45536</v>
      </c>
      <c r="E574">
        <v>57.99</v>
      </c>
      <c r="F574">
        <v>1.71</v>
      </c>
      <c r="G574">
        <v>36</v>
      </c>
      <c r="H574" t="s">
        <v>12</v>
      </c>
      <c r="I574">
        <v>7.15</v>
      </c>
      <c r="J574" t="str">
        <f t="shared" si="32"/>
        <v>Sep</v>
      </c>
      <c r="K574">
        <f t="shared" si="33"/>
        <v>2024</v>
      </c>
      <c r="L574">
        <f t="shared" si="34"/>
        <v>414.62850000000003</v>
      </c>
      <c r="M574" t="str">
        <f t="shared" si="35"/>
        <v>Weekend</v>
      </c>
    </row>
    <row r="575" spans="1:13" x14ac:dyDescent="0.35">
      <c r="A575" t="s">
        <v>590</v>
      </c>
      <c r="B575" t="s">
        <v>10</v>
      </c>
      <c r="C575" t="s">
        <v>11</v>
      </c>
      <c r="D575" s="1">
        <v>45550</v>
      </c>
      <c r="E575">
        <v>96.12</v>
      </c>
      <c r="F575">
        <v>9.18</v>
      </c>
      <c r="G575">
        <v>61</v>
      </c>
      <c r="H575" t="s">
        <v>18</v>
      </c>
      <c r="I575">
        <v>7.53</v>
      </c>
      <c r="J575" t="str">
        <f t="shared" si="32"/>
        <v>Sep</v>
      </c>
      <c r="K575">
        <f t="shared" si="33"/>
        <v>2024</v>
      </c>
      <c r="L575">
        <f t="shared" si="34"/>
        <v>723.78360000000009</v>
      </c>
      <c r="M575" t="str">
        <f t="shared" si="35"/>
        <v>Weekend</v>
      </c>
    </row>
    <row r="576" spans="1:13" x14ac:dyDescent="0.35">
      <c r="A576" t="s">
        <v>591</v>
      </c>
      <c r="B576" t="s">
        <v>14</v>
      </c>
      <c r="C576" t="s">
        <v>11</v>
      </c>
      <c r="D576" s="1">
        <v>45476</v>
      </c>
      <c r="E576">
        <v>56.63</v>
      </c>
      <c r="F576">
        <v>3.85</v>
      </c>
      <c r="G576">
        <v>85</v>
      </c>
      <c r="H576" t="s">
        <v>18</v>
      </c>
      <c r="I576">
        <v>5.36</v>
      </c>
      <c r="J576" t="str">
        <f t="shared" si="32"/>
        <v>Jul</v>
      </c>
      <c r="K576">
        <f t="shared" si="33"/>
        <v>2024</v>
      </c>
      <c r="L576">
        <f t="shared" si="34"/>
        <v>303.53680000000003</v>
      </c>
      <c r="M576" t="str">
        <f t="shared" si="35"/>
        <v>Weekday</v>
      </c>
    </row>
    <row r="577" spans="1:13" x14ac:dyDescent="0.35">
      <c r="A577" t="s">
        <v>592</v>
      </c>
      <c r="B577" t="s">
        <v>17</v>
      </c>
      <c r="C577" t="s">
        <v>11</v>
      </c>
      <c r="D577" s="1">
        <v>45649</v>
      </c>
      <c r="E577">
        <v>21.89</v>
      </c>
      <c r="F577">
        <v>2.56</v>
      </c>
      <c r="G577">
        <v>85</v>
      </c>
      <c r="H577" t="s">
        <v>12</v>
      </c>
      <c r="I577">
        <v>6.77</v>
      </c>
      <c r="J577" t="str">
        <f t="shared" si="32"/>
        <v>Dec</v>
      </c>
      <c r="K577">
        <f t="shared" si="33"/>
        <v>2024</v>
      </c>
      <c r="L577">
        <f t="shared" si="34"/>
        <v>148.1953</v>
      </c>
      <c r="M577" t="str">
        <f t="shared" si="35"/>
        <v>Weekday</v>
      </c>
    </row>
    <row r="578" spans="1:13" x14ac:dyDescent="0.35">
      <c r="A578" t="s">
        <v>593</v>
      </c>
      <c r="B578" t="s">
        <v>10</v>
      </c>
      <c r="C578" t="s">
        <v>15</v>
      </c>
      <c r="D578" s="1">
        <v>45397</v>
      </c>
      <c r="E578">
        <v>40.369999999999997</v>
      </c>
      <c r="F578">
        <v>3.53</v>
      </c>
      <c r="G578">
        <v>0</v>
      </c>
      <c r="H578" t="s">
        <v>12</v>
      </c>
      <c r="I578">
        <v>6.29</v>
      </c>
      <c r="J578" t="str">
        <f t="shared" si="32"/>
        <v>Apr</v>
      </c>
      <c r="K578">
        <f t="shared" si="33"/>
        <v>2024</v>
      </c>
      <c r="L578">
        <f t="shared" si="34"/>
        <v>253.92729999999997</v>
      </c>
      <c r="M578" t="str">
        <f t="shared" si="35"/>
        <v>Weekday</v>
      </c>
    </row>
    <row r="579" spans="1:13" x14ac:dyDescent="0.35">
      <c r="A579" t="s">
        <v>594</v>
      </c>
      <c r="B579" t="s">
        <v>10</v>
      </c>
      <c r="C579" t="s">
        <v>24</v>
      </c>
      <c r="D579" s="1">
        <v>45434</v>
      </c>
      <c r="E579">
        <v>42.19</v>
      </c>
      <c r="F579">
        <v>8.1999999999999993</v>
      </c>
      <c r="G579">
        <v>17</v>
      </c>
      <c r="H579" t="s">
        <v>18</v>
      </c>
      <c r="I579">
        <v>6.76</v>
      </c>
      <c r="J579" t="str">
        <f t="shared" ref="J579:J642" si="36">TEXT(D579,"mmm")</f>
        <v>May</v>
      </c>
      <c r="K579">
        <f t="shared" ref="K579:K642" si="37">YEAR(D579)</f>
        <v>2024</v>
      </c>
      <c r="L579">
        <f t="shared" ref="L579:L642" si="38">E579*I579</f>
        <v>285.20439999999996</v>
      </c>
      <c r="M579" t="str">
        <f t="shared" ref="M579:M642" si="39">IF(OR(WEEKDAY(D579)=1,WEEKDAY(D579)=7),"Weekend","Weekday")</f>
        <v>Weekday</v>
      </c>
    </row>
    <row r="580" spans="1:13" x14ac:dyDescent="0.35">
      <c r="A580" t="s">
        <v>595</v>
      </c>
      <c r="B580" t="s">
        <v>10</v>
      </c>
      <c r="C580" t="s">
        <v>24</v>
      </c>
      <c r="D580" s="1">
        <v>45537</v>
      </c>
      <c r="E580">
        <v>37.549999999999997</v>
      </c>
      <c r="F580">
        <v>1.71</v>
      </c>
      <c r="G580">
        <v>47</v>
      </c>
      <c r="H580" t="s">
        <v>18</v>
      </c>
      <c r="I580">
        <v>3.57</v>
      </c>
      <c r="J580" t="str">
        <f t="shared" si="36"/>
        <v>Sep</v>
      </c>
      <c r="K580">
        <f t="shared" si="37"/>
        <v>2024</v>
      </c>
      <c r="L580">
        <f t="shared" si="38"/>
        <v>134.05349999999999</v>
      </c>
      <c r="M580" t="str">
        <f t="shared" si="39"/>
        <v>Weekday</v>
      </c>
    </row>
    <row r="581" spans="1:13" x14ac:dyDescent="0.35">
      <c r="A581" t="s">
        <v>596</v>
      </c>
      <c r="B581" t="s">
        <v>17</v>
      </c>
      <c r="C581" t="s">
        <v>24</v>
      </c>
      <c r="D581" s="1">
        <v>45569</v>
      </c>
      <c r="E581">
        <v>97.73</v>
      </c>
      <c r="F581">
        <v>1.23</v>
      </c>
      <c r="G581">
        <v>35</v>
      </c>
      <c r="H581" t="s">
        <v>12</v>
      </c>
      <c r="I581">
        <v>5.0599999999999996</v>
      </c>
      <c r="J581" t="str">
        <f t="shared" si="36"/>
        <v>Oct</v>
      </c>
      <c r="K581">
        <f t="shared" si="37"/>
        <v>2024</v>
      </c>
      <c r="L581">
        <f t="shared" si="38"/>
        <v>494.5138</v>
      </c>
      <c r="M581" t="str">
        <f t="shared" si="39"/>
        <v>Weekday</v>
      </c>
    </row>
    <row r="582" spans="1:13" x14ac:dyDescent="0.35">
      <c r="A582" t="s">
        <v>597</v>
      </c>
      <c r="B582" t="s">
        <v>14</v>
      </c>
      <c r="C582" t="s">
        <v>24</v>
      </c>
      <c r="D582" s="1">
        <v>45319</v>
      </c>
      <c r="E582">
        <v>9.4499999999999993</v>
      </c>
      <c r="F582">
        <v>3.31</v>
      </c>
      <c r="G582">
        <v>37</v>
      </c>
      <c r="H582" t="s">
        <v>18</v>
      </c>
      <c r="I582">
        <v>3.15</v>
      </c>
      <c r="J582" t="str">
        <f t="shared" si="36"/>
        <v>Jan</v>
      </c>
      <c r="K582">
        <f t="shared" si="37"/>
        <v>2024</v>
      </c>
      <c r="L582">
        <f t="shared" si="38"/>
        <v>29.767499999999998</v>
      </c>
      <c r="M582" t="str">
        <f t="shared" si="39"/>
        <v>Weekend</v>
      </c>
    </row>
    <row r="583" spans="1:13" x14ac:dyDescent="0.35">
      <c r="A583" t="s">
        <v>598</v>
      </c>
      <c r="B583" t="s">
        <v>14</v>
      </c>
      <c r="C583" t="s">
        <v>11</v>
      </c>
      <c r="D583" s="1">
        <v>45395</v>
      </c>
      <c r="E583">
        <v>19.170000000000002</v>
      </c>
      <c r="F583">
        <v>1.25</v>
      </c>
      <c r="G583">
        <v>47</v>
      </c>
      <c r="H583" t="s">
        <v>18</v>
      </c>
      <c r="I583">
        <v>5.65</v>
      </c>
      <c r="J583" t="str">
        <f t="shared" si="36"/>
        <v>Apr</v>
      </c>
      <c r="K583">
        <f t="shared" si="37"/>
        <v>2024</v>
      </c>
      <c r="L583">
        <f t="shared" si="38"/>
        <v>108.31050000000002</v>
      </c>
      <c r="M583" t="str">
        <f t="shared" si="39"/>
        <v>Weekend</v>
      </c>
    </row>
    <row r="584" spans="1:13" x14ac:dyDescent="0.35">
      <c r="A584" t="s">
        <v>599</v>
      </c>
      <c r="B584" t="s">
        <v>10</v>
      </c>
      <c r="C584" t="s">
        <v>15</v>
      </c>
      <c r="D584" s="1">
        <v>45520</v>
      </c>
      <c r="E584">
        <v>99.1</v>
      </c>
      <c r="F584">
        <v>3.09</v>
      </c>
      <c r="G584">
        <v>67</v>
      </c>
      <c r="H584" t="s">
        <v>18</v>
      </c>
      <c r="I584">
        <v>8.42</v>
      </c>
      <c r="J584" t="str">
        <f t="shared" si="36"/>
        <v>Aug</v>
      </c>
      <c r="K584">
        <f t="shared" si="37"/>
        <v>2024</v>
      </c>
      <c r="L584">
        <f t="shared" si="38"/>
        <v>834.42199999999991</v>
      </c>
      <c r="M584" t="str">
        <f t="shared" si="39"/>
        <v>Weekday</v>
      </c>
    </row>
    <row r="585" spans="1:13" x14ac:dyDescent="0.35">
      <c r="A585" t="s">
        <v>600</v>
      </c>
      <c r="B585" t="s">
        <v>10</v>
      </c>
      <c r="C585" t="s">
        <v>15</v>
      </c>
      <c r="D585" s="1">
        <v>45618</v>
      </c>
      <c r="E585">
        <v>62.69</v>
      </c>
      <c r="F585">
        <v>4.66</v>
      </c>
      <c r="G585">
        <v>18</v>
      </c>
      <c r="H585" t="s">
        <v>12</v>
      </c>
      <c r="I585">
        <v>9.58</v>
      </c>
      <c r="J585" t="str">
        <f t="shared" si="36"/>
        <v>Nov</v>
      </c>
      <c r="K585">
        <f t="shared" si="37"/>
        <v>2024</v>
      </c>
      <c r="L585">
        <f t="shared" si="38"/>
        <v>600.5702</v>
      </c>
      <c r="M585" t="str">
        <f t="shared" si="39"/>
        <v>Weekday</v>
      </c>
    </row>
    <row r="586" spans="1:13" x14ac:dyDescent="0.35">
      <c r="A586" t="s">
        <v>601</v>
      </c>
      <c r="B586" t="s">
        <v>17</v>
      </c>
      <c r="C586" t="s">
        <v>11</v>
      </c>
      <c r="D586" s="1">
        <v>45446</v>
      </c>
      <c r="E586">
        <v>99.88</v>
      </c>
      <c r="F586">
        <v>2.19</v>
      </c>
      <c r="G586">
        <v>34</v>
      </c>
      <c r="H586" t="s">
        <v>12</v>
      </c>
      <c r="I586">
        <v>9.7200000000000006</v>
      </c>
      <c r="J586" t="str">
        <f t="shared" si="36"/>
        <v>Jun</v>
      </c>
      <c r="K586">
        <f t="shared" si="37"/>
        <v>2024</v>
      </c>
      <c r="L586">
        <f t="shared" si="38"/>
        <v>970.83360000000005</v>
      </c>
      <c r="M586" t="str">
        <f t="shared" si="39"/>
        <v>Weekday</v>
      </c>
    </row>
    <row r="587" spans="1:13" x14ac:dyDescent="0.35">
      <c r="A587" t="s">
        <v>602</v>
      </c>
      <c r="B587" t="s">
        <v>10</v>
      </c>
      <c r="C587" t="s">
        <v>24</v>
      </c>
      <c r="D587" s="1">
        <v>45450</v>
      </c>
      <c r="E587">
        <v>52.61</v>
      </c>
      <c r="F587">
        <v>8.9499999999999993</v>
      </c>
      <c r="G587">
        <v>82</v>
      </c>
      <c r="H587" t="s">
        <v>12</v>
      </c>
      <c r="I587">
        <v>5.21</v>
      </c>
      <c r="J587" t="str">
        <f t="shared" si="36"/>
        <v>Jun</v>
      </c>
      <c r="K587">
        <f t="shared" si="37"/>
        <v>2024</v>
      </c>
      <c r="L587">
        <f t="shared" si="38"/>
        <v>274.09809999999999</v>
      </c>
      <c r="M587" t="str">
        <f t="shared" si="39"/>
        <v>Weekday</v>
      </c>
    </row>
    <row r="588" spans="1:13" x14ac:dyDescent="0.35">
      <c r="A588" t="s">
        <v>603</v>
      </c>
      <c r="B588" t="s">
        <v>14</v>
      </c>
      <c r="C588" t="s">
        <v>15</v>
      </c>
      <c r="D588" s="1">
        <v>45319</v>
      </c>
      <c r="E588">
        <v>10.220000000000001</v>
      </c>
      <c r="F588">
        <v>1.21</v>
      </c>
      <c r="G588">
        <v>93</v>
      </c>
      <c r="H588" t="s">
        <v>12</v>
      </c>
      <c r="I588">
        <v>8.77</v>
      </c>
      <c r="J588" t="str">
        <f t="shared" si="36"/>
        <v>Jan</v>
      </c>
      <c r="K588">
        <f t="shared" si="37"/>
        <v>2024</v>
      </c>
      <c r="L588">
        <f t="shared" si="38"/>
        <v>89.629400000000004</v>
      </c>
      <c r="M588" t="str">
        <f t="shared" si="39"/>
        <v>Weekend</v>
      </c>
    </row>
    <row r="589" spans="1:13" x14ac:dyDescent="0.35">
      <c r="A589" t="s">
        <v>604</v>
      </c>
      <c r="B589" t="s">
        <v>10</v>
      </c>
      <c r="C589" t="s">
        <v>11</v>
      </c>
      <c r="D589" s="1">
        <v>45495</v>
      </c>
      <c r="E589">
        <v>62.31</v>
      </c>
      <c r="F589">
        <v>4.87</v>
      </c>
      <c r="G589">
        <v>46</v>
      </c>
      <c r="H589" t="s">
        <v>12</v>
      </c>
      <c r="I589">
        <v>5.53</v>
      </c>
      <c r="J589" t="str">
        <f t="shared" si="36"/>
        <v>Jul</v>
      </c>
      <c r="K589">
        <f t="shared" si="37"/>
        <v>2024</v>
      </c>
      <c r="L589">
        <f t="shared" si="38"/>
        <v>344.57430000000005</v>
      </c>
      <c r="M589" t="str">
        <f t="shared" si="39"/>
        <v>Weekday</v>
      </c>
    </row>
    <row r="590" spans="1:13" x14ac:dyDescent="0.35">
      <c r="A590" t="s">
        <v>605</v>
      </c>
      <c r="B590" t="s">
        <v>17</v>
      </c>
      <c r="C590" t="s">
        <v>24</v>
      </c>
      <c r="D590" s="1">
        <v>45306</v>
      </c>
      <c r="E590">
        <v>17.3</v>
      </c>
      <c r="F590">
        <v>8.2100000000000009</v>
      </c>
      <c r="G590">
        <v>64</v>
      </c>
      <c r="H590" t="s">
        <v>12</v>
      </c>
      <c r="I590">
        <v>6.9</v>
      </c>
      <c r="J590" t="str">
        <f t="shared" si="36"/>
        <v>Jan</v>
      </c>
      <c r="K590">
        <f t="shared" si="37"/>
        <v>2024</v>
      </c>
      <c r="L590">
        <f t="shared" si="38"/>
        <v>119.37</v>
      </c>
      <c r="M590" t="str">
        <f t="shared" si="39"/>
        <v>Weekday</v>
      </c>
    </row>
    <row r="591" spans="1:13" x14ac:dyDescent="0.35">
      <c r="A591" t="s">
        <v>606</v>
      </c>
      <c r="B591" t="s">
        <v>10</v>
      </c>
      <c r="C591" t="s">
        <v>11</v>
      </c>
      <c r="D591" s="1">
        <v>45470</v>
      </c>
      <c r="E591">
        <v>83.44</v>
      </c>
      <c r="F591">
        <v>3.34</v>
      </c>
      <c r="G591">
        <v>49</v>
      </c>
      <c r="H591" t="s">
        <v>18</v>
      </c>
      <c r="I591">
        <v>4.8099999999999996</v>
      </c>
      <c r="J591" t="str">
        <f t="shared" si="36"/>
        <v>Jun</v>
      </c>
      <c r="K591">
        <f t="shared" si="37"/>
        <v>2024</v>
      </c>
      <c r="L591">
        <f t="shared" si="38"/>
        <v>401.34639999999996</v>
      </c>
      <c r="M591" t="str">
        <f t="shared" si="39"/>
        <v>Weekday</v>
      </c>
    </row>
    <row r="592" spans="1:13" x14ac:dyDescent="0.35">
      <c r="A592" t="s">
        <v>607</v>
      </c>
      <c r="B592" t="s">
        <v>14</v>
      </c>
      <c r="C592" t="s">
        <v>15</v>
      </c>
      <c r="D592" s="1">
        <v>45370</v>
      </c>
      <c r="E592">
        <v>29.65</v>
      </c>
      <c r="F592">
        <v>7.26</v>
      </c>
      <c r="G592">
        <v>46</v>
      </c>
      <c r="H592" t="s">
        <v>18</v>
      </c>
      <c r="I592">
        <v>6.83</v>
      </c>
      <c r="J592" t="str">
        <f t="shared" si="36"/>
        <v>Mar</v>
      </c>
      <c r="K592">
        <f t="shared" si="37"/>
        <v>2024</v>
      </c>
      <c r="L592">
        <f t="shared" si="38"/>
        <v>202.5095</v>
      </c>
      <c r="M592" t="str">
        <f t="shared" si="39"/>
        <v>Weekday</v>
      </c>
    </row>
    <row r="593" spans="1:13" x14ac:dyDescent="0.35">
      <c r="A593" t="s">
        <v>608</v>
      </c>
      <c r="B593" t="s">
        <v>14</v>
      </c>
      <c r="C593" t="s">
        <v>15</v>
      </c>
      <c r="D593" s="1">
        <v>45440</v>
      </c>
      <c r="E593">
        <v>23.56</v>
      </c>
      <c r="F593">
        <v>7.08</v>
      </c>
      <c r="G593">
        <v>91</v>
      </c>
      <c r="H593" t="s">
        <v>18</v>
      </c>
      <c r="I593">
        <v>5.1100000000000003</v>
      </c>
      <c r="J593" t="str">
        <f t="shared" si="36"/>
        <v>May</v>
      </c>
      <c r="K593">
        <f t="shared" si="37"/>
        <v>2024</v>
      </c>
      <c r="L593">
        <f t="shared" si="38"/>
        <v>120.3916</v>
      </c>
      <c r="M593" t="str">
        <f t="shared" si="39"/>
        <v>Weekday</v>
      </c>
    </row>
    <row r="594" spans="1:13" x14ac:dyDescent="0.35">
      <c r="A594" t="s">
        <v>609</v>
      </c>
      <c r="B594" t="s">
        <v>10</v>
      </c>
      <c r="C594" t="s">
        <v>15</v>
      </c>
      <c r="D594" s="1">
        <v>45563</v>
      </c>
      <c r="E594">
        <v>99.47</v>
      </c>
      <c r="F594">
        <v>1.77</v>
      </c>
      <c r="G594">
        <v>68</v>
      </c>
      <c r="H594" t="s">
        <v>18</v>
      </c>
      <c r="I594">
        <v>7.49</v>
      </c>
      <c r="J594" t="str">
        <f t="shared" si="36"/>
        <v>Sep</v>
      </c>
      <c r="K594">
        <f t="shared" si="37"/>
        <v>2024</v>
      </c>
      <c r="L594">
        <f t="shared" si="38"/>
        <v>745.03030000000001</v>
      </c>
      <c r="M594" t="str">
        <f t="shared" si="39"/>
        <v>Weekend</v>
      </c>
    </row>
    <row r="595" spans="1:13" x14ac:dyDescent="0.35">
      <c r="A595" t="s">
        <v>610</v>
      </c>
      <c r="B595" t="s">
        <v>14</v>
      </c>
      <c r="C595" t="s">
        <v>15</v>
      </c>
      <c r="D595" s="1">
        <v>45620</v>
      </c>
      <c r="E595">
        <v>8.69</v>
      </c>
      <c r="F595">
        <v>9.4</v>
      </c>
      <c r="G595">
        <v>85</v>
      </c>
      <c r="H595" t="s">
        <v>18</v>
      </c>
      <c r="I595">
        <v>9.61</v>
      </c>
      <c r="J595" t="str">
        <f t="shared" si="36"/>
        <v>Nov</v>
      </c>
      <c r="K595">
        <f t="shared" si="37"/>
        <v>2024</v>
      </c>
      <c r="L595">
        <f t="shared" si="38"/>
        <v>83.510899999999992</v>
      </c>
      <c r="M595" t="str">
        <f t="shared" si="39"/>
        <v>Weekend</v>
      </c>
    </row>
    <row r="596" spans="1:13" x14ac:dyDescent="0.35">
      <c r="A596" t="s">
        <v>611</v>
      </c>
      <c r="B596" t="s">
        <v>14</v>
      </c>
      <c r="C596" t="s">
        <v>11</v>
      </c>
      <c r="D596" s="1">
        <v>45444</v>
      </c>
      <c r="E596">
        <v>36.85</v>
      </c>
      <c r="F596">
        <v>7.09</v>
      </c>
      <c r="G596">
        <v>103</v>
      </c>
      <c r="H596" t="s">
        <v>18</v>
      </c>
      <c r="I596">
        <v>8.11</v>
      </c>
      <c r="J596" t="str">
        <f t="shared" si="36"/>
        <v>Jun</v>
      </c>
      <c r="K596">
        <f t="shared" si="37"/>
        <v>2024</v>
      </c>
      <c r="L596">
        <f t="shared" si="38"/>
        <v>298.8535</v>
      </c>
      <c r="M596" t="str">
        <f t="shared" si="39"/>
        <v>Weekend</v>
      </c>
    </row>
    <row r="597" spans="1:13" x14ac:dyDescent="0.35">
      <c r="A597" t="s">
        <v>612</v>
      </c>
      <c r="B597" t="s">
        <v>14</v>
      </c>
      <c r="C597" t="s">
        <v>15</v>
      </c>
      <c r="D597" s="1">
        <v>45571</v>
      </c>
      <c r="E597">
        <v>15.35</v>
      </c>
      <c r="F597">
        <v>9.5399999999999991</v>
      </c>
      <c r="G597">
        <v>75</v>
      </c>
      <c r="H597" t="s">
        <v>12</v>
      </c>
      <c r="I597">
        <v>4.0199999999999996</v>
      </c>
      <c r="J597" t="str">
        <f t="shared" si="36"/>
        <v>Oct</v>
      </c>
      <c r="K597">
        <f t="shared" si="37"/>
        <v>2024</v>
      </c>
      <c r="L597">
        <f t="shared" si="38"/>
        <v>61.706999999999994</v>
      </c>
      <c r="M597" t="str">
        <f t="shared" si="39"/>
        <v>Weekend</v>
      </c>
    </row>
    <row r="598" spans="1:13" x14ac:dyDescent="0.35">
      <c r="A598" t="s">
        <v>613</v>
      </c>
      <c r="B598" t="s">
        <v>17</v>
      </c>
      <c r="C598" t="s">
        <v>11</v>
      </c>
      <c r="D598" s="1">
        <v>45510</v>
      </c>
      <c r="E598">
        <v>51.01</v>
      </c>
      <c r="F598">
        <v>2.12</v>
      </c>
      <c r="G598">
        <v>56</v>
      </c>
      <c r="H598" t="s">
        <v>12</v>
      </c>
      <c r="I598">
        <v>9.75</v>
      </c>
      <c r="J598" t="str">
        <f t="shared" si="36"/>
        <v>Aug</v>
      </c>
      <c r="K598">
        <f t="shared" si="37"/>
        <v>2024</v>
      </c>
      <c r="L598">
        <f t="shared" si="38"/>
        <v>497.34749999999997</v>
      </c>
      <c r="M598" t="str">
        <f t="shared" si="39"/>
        <v>Weekday</v>
      </c>
    </row>
    <row r="599" spans="1:13" x14ac:dyDescent="0.35">
      <c r="A599" t="s">
        <v>614</v>
      </c>
      <c r="B599" t="s">
        <v>14</v>
      </c>
      <c r="C599" t="s">
        <v>15</v>
      </c>
      <c r="D599" s="1">
        <v>45299</v>
      </c>
      <c r="E599">
        <v>19.21</v>
      </c>
      <c r="F599">
        <v>1.29</v>
      </c>
      <c r="G599">
        <v>80</v>
      </c>
      <c r="H599" t="s">
        <v>18</v>
      </c>
      <c r="I599">
        <v>4.32</v>
      </c>
      <c r="J599" t="str">
        <f t="shared" si="36"/>
        <v>Jan</v>
      </c>
      <c r="K599">
        <f t="shared" si="37"/>
        <v>2024</v>
      </c>
      <c r="L599">
        <f t="shared" si="38"/>
        <v>82.987200000000016</v>
      </c>
      <c r="M599" t="str">
        <f t="shared" si="39"/>
        <v>Weekday</v>
      </c>
    </row>
    <row r="600" spans="1:13" x14ac:dyDescent="0.35">
      <c r="A600" t="s">
        <v>615</v>
      </c>
      <c r="B600" t="s">
        <v>17</v>
      </c>
      <c r="C600" t="s">
        <v>11</v>
      </c>
      <c r="D600" s="1">
        <v>45469</v>
      </c>
      <c r="E600">
        <v>89.02</v>
      </c>
      <c r="F600">
        <v>5.07</v>
      </c>
      <c r="G600">
        <v>115</v>
      </c>
      <c r="H600" t="s">
        <v>18</v>
      </c>
      <c r="I600">
        <v>8.61</v>
      </c>
      <c r="J600" t="str">
        <f t="shared" si="36"/>
        <v>Jun</v>
      </c>
      <c r="K600">
        <f t="shared" si="37"/>
        <v>2024</v>
      </c>
      <c r="L600">
        <f t="shared" si="38"/>
        <v>766.46219999999994</v>
      </c>
      <c r="M600" t="str">
        <f t="shared" si="39"/>
        <v>Weekday</v>
      </c>
    </row>
    <row r="601" spans="1:13" x14ac:dyDescent="0.35">
      <c r="A601" t="s">
        <v>616</v>
      </c>
      <c r="B601" t="s">
        <v>10</v>
      </c>
      <c r="C601" t="s">
        <v>15</v>
      </c>
      <c r="D601" s="1">
        <v>45529</v>
      </c>
      <c r="E601">
        <v>96.74</v>
      </c>
      <c r="F601">
        <v>5.82</v>
      </c>
      <c r="G601">
        <v>53</v>
      </c>
      <c r="H601" t="s">
        <v>18</v>
      </c>
      <c r="I601">
        <v>5.88</v>
      </c>
      <c r="J601" t="str">
        <f t="shared" si="36"/>
        <v>Aug</v>
      </c>
      <c r="K601">
        <f t="shared" si="37"/>
        <v>2024</v>
      </c>
      <c r="L601">
        <f t="shared" si="38"/>
        <v>568.83119999999997</v>
      </c>
      <c r="M601" t="str">
        <f t="shared" si="39"/>
        <v>Weekend</v>
      </c>
    </row>
    <row r="602" spans="1:13" x14ac:dyDescent="0.35">
      <c r="A602" t="s">
        <v>617</v>
      </c>
      <c r="B602" t="s">
        <v>10</v>
      </c>
      <c r="C602" t="s">
        <v>11</v>
      </c>
      <c r="D602" s="1">
        <v>45344</v>
      </c>
      <c r="E602">
        <v>22.52</v>
      </c>
      <c r="F602">
        <v>9.5500000000000007</v>
      </c>
      <c r="G602">
        <v>62</v>
      </c>
      <c r="H602" t="s">
        <v>12</v>
      </c>
      <c r="I602">
        <v>3.14</v>
      </c>
      <c r="J602" t="str">
        <f t="shared" si="36"/>
        <v>Feb</v>
      </c>
      <c r="K602">
        <f t="shared" si="37"/>
        <v>2024</v>
      </c>
      <c r="L602">
        <f t="shared" si="38"/>
        <v>70.712800000000001</v>
      </c>
      <c r="M602" t="str">
        <f t="shared" si="39"/>
        <v>Weekday</v>
      </c>
    </row>
    <row r="603" spans="1:13" x14ac:dyDescent="0.35">
      <c r="A603" t="s">
        <v>618</v>
      </c>
      <c r="B603" t="s">
        <v>14</v>
      </c>
      <c r="C603" t="s">
        <v>24</v>
      </c>
      <c r="D603" s="1">
        <v>45634</v>
      </c>
      <c r="E603">
        <v>99.35</v>
      </c>
      <c r="F603">
        <v>1.93</v>
      </c>
      <c r="G603">
        <v>115</v>
      </c>
      <c r="H603" t="s">
        <v>12</v>
      </c>
      <c r="I603">
        <v>4.37</v>
      </c>
      <c r="J603" t="str">
        <f t="shared" si="36"/>
        <v>Dec</v>
      </c>
      <c r="K603">
        <f t="shared" si="37"/>
        <v>2024</v>
      </c>
      <c r="L603">
        <f t="shared" si="38"/>
        <v>434.15949999999998</v>
      </c>
      <c r="M603" t="str">
        <f t="shared" si="39"/>
        <v>Weekend</v>
      </c>
    </row>
    <row r="604" spans="1:13" x14ac:dyDescent="0.35">
      <c r="A604" t="s">
        <v>619</v>
      </c>
      <c r="B604" t="s">
        <v>10</v>
      </c>
      <c r="C604" t="s">
        <v>15</v>
      </c>
      <c r="D604" s="1">
        <v>45430</v>
      </c>
      <c r="E604">
        <v>66.75</v>
      </c>
      <c r="F604">
        <v>3.9</v>
      </c>
      <c r="G604">
        <v>40</v>
      </c>
      <c r="H604" t="s">
        <v>12</v>
      </c>
      <c r="I604">
        <v>5.0199999999999996</v>
      </c>
      <c r="J604" t="str">
        <f t="shared" si="36"/>
        <v>May</v>
      </c>
      <c r="K604">
        <f t="shared" si="37"/>
        <v>2024</v>
      </c>
      <c r="L604">
        <f t="shared" si="38"/>
        <v>335.08499999999998</v>
      </c>
      <c r="M604" t="str">
        <f t="shared" si="39"/>
        <v>Weekend</v>
      </c>
    </row>
    <row r="605" spans="1:13" x14ac:dyDescent="0.35">
      <c r="A605" t="s">
        <v>620</v>
      </c>
      <c r="B605" t="s">
        <v>17</v>
      </c>
      <c r="C605" t="s">
        <v>24</v>
      </c>
      <c r="D605" s="1">
        <v>45319</v>
      </c>
      <c r="E605">
        <v>46.4</v>
      </c>
      <c r="F605">
        <v>9.8699999999999992</v>
      </c>
      <c r="G605">
        <v>71</v>
      </c>
      <c r="H605" t="s">
        <v>12</v>
      </c>
      <c r="I605">
        <v>5.49</v>
      </c>
      <c r="J605" t="str">
        <f t="shared" si="36"/>
        <v>Jan</v>
      </c>
      <c r="K605">
        <f t="shared" si="37"/>
        <v>2024</v>
      </c>
      <c r="L605">
        <f t="shared" si="38"/>
        <v>254.73599999999999</v>
      </c>
      <c r="M605" t="str">
        <f t="shared" si="39"/>
        <v>Weekend</v>
      </c>
    </row>
    <row r="606" spans="1:13" x14ac:dyDescent="0.35">
      <c r="A606" t="s">
        <v>621</v>
      </c>
      <c r="B606" t="s">
        <v>14</v>
      </c>
      <c r="C606" t="s">
        <v>24</v>
      </c>
      <c r="D606" s="1">
        <v>45513</v>
      </c>
      <c r="E606">
        <v>96.88</v>
      </c>
      <c r="F606">
        <v>4.6100000000000003</v>
      </c>
      <c r="G606">
        <v>116</v>
      </c>
      <c r="H606" t="s">
        <v>18</v>
      </c>
      <c r="I606">
        <v>6.64</v>
      </c>
      <c r="J606" t="str">
        <f t="shared" si="36"/>
        <v>Aug</v>
      </c>
      <c r="K606">
        <f t="shared" si="37"/>
        <v>2024</v>
      </c>
      <c r="L606">
        <f t="shared" si="38"/>
        <v>643.28319999999997</v>
      </c>
      <c r="M606" t="str">
        <f t="shared" si="39"/>
        <v>Weekday</v>
      </c>
    </row>
    <row r="607" spans="1:13" x14ac:dyDescent="0.35">
      <c r="A607" t="s">
        <v>622</v>
      </c>
      <c r="B607" t="s">
        <v>10</v>
      </c>
      <c r="C607" t="s">
        <v>24</v>
      </c>
      <c r="D607" s="1">
        <v>45617</v>
      </c>
      <c r="E607">
        <v>65.12</v>
      </c>
      <c r="F607">
        <v>6.07</v>
      </c>
      <c r="G607">
        <v>27</v>
      </c>
      <c r="H607" t="s">
        <v>18</v>
      </c>
      <c r="I607">
        <v>9.31</v>
      </c>
      <c r="J607" t="str">
        <f t="shared" si="36"/>
        <v>Nov</v>
      </c>
      <c r="K607">
        <f t="shared" si="37"/>
        <v>2024</v>
      </c>
      <c r="L607">
        <f t="shared" si="38"/>
        <v>606.26720000000012</v>
      </c>
      <c r="M607" t="str">
        <f t="shared" si="39"/>
        <v>Weekday</v>
      </c>
    </row>
    <row r="608" spans="1:13" x14ac:dyDescent="0.35">
      <c r="A608" t="s">
        <v>623</v>
      </c>
      <c r="B608" t="s">
        <v>10</v>
      </c>
      <c r="C608" t="s">
        <v>11</v>
      </c>
      <c r="D608" s="1">
        <v>45527</v>
      </c>
      <c r="E608">
        <v>60.16</v>
      </c>
      <c r="F608">
        <v>3.47</v>
      </c>
      <c r="G608">
        <v>115</v>
      </c>
      <c r="H608" t="s">
        <v>12</v>
      </c>
      <c r="I608">
        <v>7.59</v>
      </c>
      <c r="J608" t="str">
        <f t="shared" si="36"/>
        <v>Aug</v>
      </c>
      <c r="K608">
        <f t="shared" si="37"/>
        <v>2024</v>
      </c>
      <c r="L608">
        <f t="shared" si="38"/>
        <v>456.61439999999999</v>
      </c>
      <c r="M608" t="str">
        <f t="shared" si="39"/>
        <v>Weekday</v>
      </c>
    </row>
    <row r="609" spans="1:13" x14ac:dyDescent="0.35">
      <c r="A609" t="s">
        <v>624</v>
      </c>
      <c r="B609" t="s">
        <v>17</v>
      </c>
      <c r="C609" t="s">
        <v>11</v>
      </c>
      <c r="D609" s="1">
        <v>45321</v>
      </c>
      <c r="E609">
        <v>46.16</v>
      </c>
      <c r="F609">
        <v>2.0499999999999998</v>
      </c>
      <c r="G609">
        <v>113</v>
      </c>
      <c r="H609" t="s">
        <v>12</v>
      </c>
      <c r="I609">
        <v>8.01</v>
      </c>
      <c r="J609" t="str">
        <f t="shared" si="36"/>
        <v>Jan</v>
      </c>
      <c r="K609">
        <f t="shared" si="37"/>
        <v>2024</v>
      </c>
      <c r="L609">
        <f t="shared" si="38"/>
        <v>369.74159999999995</v>
      </c>
      <c r="M609" t="str">
        <f t="shared" si="39"/>
        <v>Weekday</v>
      </c>
    </row>
    <row r="610" spans="1:13" x14ac:dyDescent="0.35">
      <c r="A610" t="s">
        <v>625</v>
      </c>
      <c r="B610" t="s">
        <v>10</v>
      </c>
      <c r="C610" t="s">
        <v>11</v>
      </c>
      <c r="D610" s="1">
        <v>45623</v>
      </c>
      <c r="E610">
        <v>87.95</v>
      </c>
      <c r="F610">
        <v>9.4600000000000009</v>
      </c>
      <c r="G610">
        <v>45</v>
      </c>
      <c r="H610" t="s">
        <v>12</v>
      </c>
      <c r="I610">
        <v>7.1</v>
      </c>
      <c r="J610" t="str">
        <f t="shared" si="36"/>
        <v>Nov</v>
      </c>
      <c r="K610">
        <f t="shared" si="37"/>
        <v>2024</v>
      </c>
      <c r="L610">
        <f t="shared" si="38"/>
        <v>624.44499999999994</v>
      </c>
      <c r="M610" t="str">
        <f t="shared" si="39"/>
        <v>Weekday</v>
      </c>
    </row>
    <row r="611" spans="1:13" x14ac:dyDescent="0.35">
      <c r="A611" t="s">
        <v>626</v>
      </c>
      <c r="B611" t="s">
        <v>17</v>
      </c>
      <c r="C611" t="s">
        <v>15</v>
      </c>
      <c r="D611" s="1">
        <v>45352</v>
      </c>
      <c r="E611">
        <v>73.290000000000006</v>
      </c>
      <c r="F611">
        <v>6.4</v>
      </c>
      <c r="G611">
        <v>16</v>
      </c>
      <c r="H611" t="s">
        <v>18</v>
      </c>
      <c r="I611">
        <v>5.12</v>
      </c>
      <c r="J611" t="str">
        <f t="shared" si="36"/>
        <v>Mar</v>
      </c>
      <c r="K611">
        <f t="shared" si="37"/>
        <v>2024</v>
      </c>
      <c r="L611">
        <f t="shared" si="38"/>
        <v>375.24480000000005</v>
      </c>
      <c r="M611" t="str">
        <f t="shared" si="39"/>
        <v>Weekday</v>
      </c>
    </row>
    <row r="612" spans="1:13" x14ac:dyDescent="0.35">
      <c r="A612" t="s">
        <v>627</v>
      </c>
      <c r="B612" t="s">
        <v>17</v>
      </c>
      <c r="C612" t="s">
        <v>11</v>
      </c>
      <c r="D612" s="1">
        <v>45369</v>
      </c>
      <c r="E612">
        <v>46.16</v>
      </c>
      <c r="F612">
        <v>4.33</v>
      </c>
      <c r="G612">
        <v>25</v>
      </c>
      <c r="H612" t="s">
        <v>12</v>
      </c>
      <c r="I612">
        <v>3.1</v>
      </c>
      <c r="J612" t="str">
        <f t="shared" si="36"/>
        <v>Mar</v>
      </c>
      <c r="K612">
        <f t="shared" si="37"/>
        <v>2024</v>
      </c>
      <c r="L612">
        <f t="shared" si="38"/>
        <v>143.096</v>
      </c>
      <c r="M612" t="str">
        <f t="shared" si="39"/>
        <v>Weekday</v>
      </c>
    </row>
    <row r="613" spans="1:13" x14ac:dyDescent="0.35">
      <c r="A613" t="s">
        <v>628</v>
      </c>
      <c r="B613" t="s">
        <v>17</v>
      </c>
      <c r="C613" t="s">
        <v>24</v>
      </c>
      <c r="D613" s="1">
        <v>45310</v>
      </c>
      <c r="E613">
        <v>83</v>
      </c>
      <c r="F613">
        <v>6.91</v>
      </c>
      <c r="G613">
        <v>114</v>
      </c>
      <c r="H613" t="s">
        <v>18</v>
      </c>
      <c r="I613">
        <v>5.86</v>
      </c>
      <c r="J613" t="str">
        <f t="shared" si="36"/>
        <v>Jan</v>
      </c>
      <c r="K613">
        <f t="shared" si="37"/>
        <v>2024</v>
      </c>
      <c r="L613">
        <f t="shared" si="38"/>
        <v>486.38000000000005</v>
      </c>
      <c r="M613" t="str">
        <f t="shared" si="39"/>
        <v>Weekday</v>
      </c>
    </row>
    <row r="614" spans="1:13" x14ac:dyDescent="0.35">
      <c r="A614" t="s">
        <v>629</v>
      </c>
      <c r="B614" t="s">
        <v>17</v>
      </c>
      <c r="C614" t="s">
        <v>15</v>
      </c>
      <c r="D614" s="1">
        <v>45327</v>
      </c>
      <c r="E614">
        <v>92.4</v>
      </c>
      <c r="F614">
        <v>3.85</v>
      </c>
      <c r="G614">
        <v>63</v>
      </c>
      <c r="H614" t="s">
        <v>12</v>
      </c>
      <c r="I614">
        <v>7.31</v>
      </c>
      <c r="J614" t="str">
        <f t="shared" si="36"/>
        <v>Feb</v>
      </c>
      <c r="K614">
        <f t="shared" si="37"/>
        <v>2024</v>
      </c>
      <c r="L614">
        <f t="shared" si="38"/>
        <v>675.44399999999996</v>
      </c>
      <c r="M614" t="str">
        <f t="shared" si="39"/>
        <v>Weekday</v>
      </c>
    </row>
    <row r="615" spans="1:13" x14ac:dyDescent="0.35">
      <c r="A615" t="s">
        <v>630</v>
      </c>
      <c r="B615" t="s">
        <v>17</v>
      </c>
      <c r="C615" t="s">
        <v>11</v>
      </c>
      <c r="D615" s="1">
        <v>45308</v>
      </c>
      <c r="E615">
        <v>22.58</v>
      </c>
      <c r="F615">
        <v>3.76</v>
      </c>
      <c r="G615">
        <v>89</v>
      </c>
      <c r="H615" t="s">
        <v>18</v>
      </c>
      <c r="I615">
        <v>5.15</v>
      </c>
      <c r="J615" t="str">
        <f t="shared" si="36"/>
        <v>Jan</v>
      </c>
      <c r="K615">
        <f t="shared" si="37"/>
        <v>2024</v>
      </c>
      <c r="L615">
        <f t="shared" si="38"/>
        <v>116.28700000000001</v>
      </c>
      <c r="M615" t="str">
        <f t="shared" si="39"/>
        <v>Weekday</v>
      </c>
    </row>
    <row r="616" spans="1:13" x14ac:dyDescent="0.35">
      <c r="A616" t="s">
        <v>631</v>
      </c>
      <c r="B616" t="s">
        <v>10</v>
      </c>
      <c r="C616" t="s">
        <v>15</v>
      </c>
      <c r="D616" s="1">
        <v>45430</v>
      </c>
      <c r="E616">
        <v>87.31</v>
      </c>
      <c r="F616">
        <v>5.42</v>
      </c>
      <c r="G616">
        <v>57</v>
      </c>
      <c r="H616" t="s">
        <v>18</v>
      </c>
      <c r="I616">
        <v>9.85</v>
      </c>
      <c r="J616" t="str">
        <f t="shared" si="36"/>
        <v>May</v>
      </c>
      <c r="K616">
        <f t="shared" si="37"/>
        <v>2024</v>
      </c>
      <c r="L616">
        <f t="shared" si="38"/>
        <v>860.00350000000003</v>
      </c>
      <c r="M616" t="str">
        <f t="shared" si="39"/>
        <v>Weekend</v>
      </c>
    </row>
    <row r="617" spans="1:13" x14ac:dyDescent="0.35">
      <c r="A617" t="s">
        <v>632</v>
      </c>
      <c r="B617" t="s">
        <v>17</v>
      </c>
      <c r="C617" t="s">
        <v>11</v>
      </c>
      <c r="D617" s="1">
        <v>45334</v>
      </c>
      <c r="E617">
        <v>82.8</v>
      </c>
      <c r="F617">
        <v>4.1100000000000003</v>
      </c>
      <c r="G617">
        <v>90</v>
      </c>
      <c r="H617" t="s">
        <v>12</v>
      </c>
      <c r="I617">
        <v>8.0500000000000007</v>
      </c>
      <c r="J617" t="str">
        <f t="shared" si="36"/>
        <v>Feb</v>
      </c>
      <c r="K617">
        <f t="shared" si="37"/>
        <v>2024</v>
      </c>
      <c r="L617">
        <f t="shared" si="38"/>
        <v>666.54000000000008</v>
      </c>
      <c r="M617" t="str">
        <f t="shared" si="39"/>
        <v>Weekday</v>
      </c>
    </row>
    <row r="618" spans="1:13" x14ac:dyDescent="0.35">
      <c r="A618" t="s">
        <v>633</v>
      </c>
      <c r="B618" t="s">
        <v>17</v>
      </c>
      <c r="C618" t="s">
        <v>24</v>
      </c>
      <c r="D618" s="1">
        <v>45467</v>
      </c>
      <c r="E618">
        <v>73.569999999999993</v>
      </c>
      <c r="F618">
        <v>9.76</v>
      </c>
      <c r="G618">
        <v>1</v>
      </c>
      <c r="H618" t="s">
        <v>18</v>
      </c>
      <c r="I618">
        <v>5.88</v>
      </c>
      <c r="J618" t="str">
        <f t="shared" si="36"/>
        <v>Jun</v>
      </c>
      <c r="K618">
        <f t="shared" si="37"/>
        <v>2024</v>
      </c>
      <c r="L618">
        <f t="shared" si="38"/>
        <v>432.59159999999997</v>
      </c>
      <c r="M618" t="str">
        <f t="shared" si="39"/>
        <v>Weekday</v>
      </c>
    </row>
    <row r="619" spans="1:13" x14ac:dyDescent="0.35">
      <c r="A619" t="s">
        <v>634</v>
      </c>
      <c r="B619" t="s">
        <v>17</v>
      </c>
      <c r="C619" t="s">
        <v>15</v>
      </c>
      <c r="D619" s="1">
        <v>45531</v>
      </c>
      <c r="E619">
        <v>78.06</v>
      </c>
      <c r="F619">
        <v>7.16</v>
      </c>
      <c r="G619">
        <v>51</v>
      </c>
      <c r="H619" t="s">
        <v>18</v>
      </c>
      <c r="I619">
        <v>9.2799999999999994</v>
      </c>
      <c r="J619" t="str">
        <f t="shared" si="36"/>
        <v>Aug</v>
      </c>
      <c r="K619">
        <f t="shared" si="37"/>
        <v>2024</v>
      </c>
      <c r="L619">
        <f t="shared" si="38"/>
        <v>724.39679999999998</v>
      </c>
      <c r="M619" t="str">
        <f t="shared" si="39"/>
        <v>Weekday</v>
      </c>
    </row>
    <row r="620" spans="1:13" x14ac:dyDescent="0.35">
      <c r="A620" t="s">
        <v>635</v>
      </c>
      <c r="B620" t="s">
        <v>10</v>
      </c>
      <c r="C620" t="s">
        <v>24</v>
      </c>
      <c r="D620" s="1">
        <v>45499</v>
      </c>
      <c r="E620">
        <v>54.13</v>
      </c>
      <c r="F620">
        <v>1.1299999999999999</v>
      </c>
      <c r="G620">
        <v>119</v>
      </c>
      <c r="H620" t="s">
        <v>18</v>
      </c>
      <c r="I620">
        <v>3.5</v>
      </c>
      <c r="J620" t="str">
        <f t="shared" si="36"/>
        <v>Jul</v>
      </c>
      <c r="K620">
        <f t="shared" si="37"/>
        <v>2024</v>
      </c>
      <c r="L620">
        <f t="shared" si="38"/>
        <v>189.45500000000001</v>
      </c>
      <c r="M620" t="str">
        <f t="shared" si="39"/>
        <v>Weekday</v>
      </c>
    </row>
    <row r="621" spans="1:13" x14ac:dyDescent="0.35">
      <c r="A621" t="s">
        <v>636</v>
      </c>
      <c r="B621" t="s">
        <v>14</v>
      </c>
      <c r="C621" t="s">
        <v>24</v>
      </c>
      <c r="D621" s="1">
        <v>45618</v>
      </c>
      <c r="E621">
        <v>92.44</v>
      </c>
      <c r="F621">
        <v>6.25</v>
      </c>
      <c r="G621">
        <v>7</v>
      </c>
      <c r="H621" t="s">
        <v>18</v>
      </c>
      <c r="I621">
        <v>5.8</v>
      </c>
      <c r="J621" t="str">
        <f t="shared" si="36"/>
        <v>Nov</v>
      </c>
      <c r="K621">
        <f t="shared" si="37"/>
        <v>2024</v>
      </c>
      <c r="L621">
        <f t="shared" si="38"/>
        <v>536.15199999999993</v>
      </c>
      <c r="M621" t="str">
        <f t="shared" si="39"/>
        <v>Weekday</v>
      </c>
    </row>
    <row r="622" spans="1:13" x14ac:dyDescent="0.35">
      <c r="A622" t="s">
        <v>637</v>
      </c>
      <c r="B622" t="s">
        <v>17</v>
      </c>
      <c r="C622" t="s">
        <v>11</v>
      </c>
      <c r="D622" s="1">
        <v>45363</v>
      </c>
      <c r="E622">
        <v>57.89</v>
      </c>
      <c r="F622">
        <v>5.82</v>
      </c>
      <c r="G622">
        <v>68</v>
      </c>
      <c r="H622" t="s">
        <v>18</v>
      </c>
      <c r="I622">
        <v>3.6</v>
      </c>
      <c r="J622" t="str">
        <f t="shared" si="36"/>
        <v>Mar</v>
      </c>
      <c r="K622">
        <f t="shared" si="37"/>
        <v>2024</v>
      </c>
      <c r="L622">
        <f t="shared" si="38"/>
        <v>208.404</v>
      </c>
      <c r="M622" t="str">
        <f t="shared" si="39"/>
        <v>Weekday</v>
      </c>
    </row>
    <row r="623" spans="1:13" x14ac:dyDescent="0.35">
      <c r="A623" t="s">
        <v>638</v>
      </c>
      <c r="B623" t="s">
        <v>10</v>
      </c>
      <c r="C623" t="s">
        <v>15</v>
      </c>
      <c r="D623" s="1">
        <v>45631</v>
      </c>
      <c r="E623">
        <v>88.26</v>
      </c>
      <c r="F623">
        <v>9.7200000000000006</v>
      </c>
      <c r="G623">
        <v>72</v>
      </c>
      <c r="H623" t="s">
        <v>18</v>
      </c>
      <c r="I623">
        <v>7.69</v>
      </c>
      <c r="J623" t="str">
        <f t="shared" si="36"/>
        <v>Dec</v>
      </c>
      <c r="K623">
        <f t="shared" si="37"/>
        <v>2024</v>
      </c>
      <c r="L623">
        <f t="shared" si="38"/>
        <v>678.71940000000006</v>
      </c>
      <c r="M623" t="str">
        <f t="shared" si="39"/>
        <v>Weekday</v>
      </c>
    </row>
    <row r="624" spans="1:13" x14ac:dyDescent="0.35">
      <c r="A624" t="s">
        <v>639</v>
      </c>
      <c r="B624" t="s">
        <v>14</v>
      </c>
      <c r="C624" t="s">
        <v>24</v>
      </c>
      <c r="D624" s="1">
        <v>45576</v>
      </c>
      <c r="E624">
        <v>82.94</v>
      </c>
      <c r="F624">
        <v>9.35</v>
      </c>
      <c r="G624">
        <v>53</v>
      </c>
      <c r="H624" t="s">
        <v>12</v>
      </c>
      <c r="I624">
        <v>8.34</v>
      </c>
      <c r="J624" t="str">
        <f t="shared" si="36"/>
        <v>Oct</v>
      </c>
      <c r="K624">
        <f t="shared" si="37"/>
        <v>2024</v>
      </c>
      <c r="L624">
        <f t="shared" si="38"/>
        <v>691.71960000000001</v>
      </c>
      <c r="M624" t="str">
        <f t="shared" si="39"/>
        <v>Weekday</v>
      </c>
    </row>
    <row r="625" spans="1:13" x14ac:dyDescent="0.35">
      <c r="A625" t="s">
        <v>640</v>
      </c>
      <c r="B625" t="s">
        <v>10</v>
      </c>
      <c r="C625" t="s">
        <v>15</v>
      </c>
      <c r="D625" s="1">
        <v>45454</v>
      </c>
      <c r="E625">
        <v>40.57</v>
      </c>
      <c r="F625">
        <v>4</v>
      </c>
      <c r="G625">
        <v>3</v>
      </c>
      <c r="H625" t="s">
        <v>12</v>
      </c>
      <c r="I625">
        <v>9.4499999999999993</v>
      </c>
      <c r="J625" t="str">
        <f t="shared" si="36"/>
        <v>Jun</v>
      </c>
      <c r="K625">
        <f t="shared" si="37"/>
        <v>2024</v>
      </c>
      <c r="L625">
        <f t="shared" si="38"/>
        <v>383.38649999999996</v>
      </c>
      <c r="M625" t="str">
        <f t="shared" si="39"/>
        <v>Weekday</v>
      </c>
    </row>
    <row r="626" spans="1:13" x14ac:dyDescent="0.35">
      <c r="A626" t="s">
        <v>641</v>
      </c>
      <c r="B626" t="s">
        <v>10</v>
      </c>
      <c r="C626" t="s">
        <v>15</v>
      </c>
      <c r="D626" s="1">
        <v>45644</v>
      </c>
      <c r="E626">
        <v>18.11</v>
      </c>
      <c r="F626">
        <v>9.49</v>
      </c>
      <c r="G626">
        <v>48</v>
      </c>
      <c r="H626" t="s">
        <v>12</v>
      </c>
      <c r="I626">
        <v>6.53</v>
      </c>
      <c r="J626" t="str">
        <f t="shared" si="36"/>
        <v>Dec</v>
      </c>
      <c r="K626">
        <f t="shared" si="37"/>
        <v>2024</v>
      </c>
      <c r="L626">
        <f t="shared" si="38"/>
        <v>118.25830000000001</v>
      </c>
      <c r="M626" t="str">
        <f t="shared" si="39"/>
        <v>Weekday</v>
      </c>
    </row>
    <row r="627" spans="1:13" x14ac:dyDescent="0.35">
      <c r="A627" t="s">
        <v>642</v>
      </c>
      <c r="B627" t="s">
        <v>14</v>
      </c>
      <c r="C627" t="s">
        <v>11</v>
      </c>
      <c r="D627" s="1">
        <v>45473</v>
      </c>
      <c r="E627">
        <v>54.28</v>
      </c>
      <c r="F627">
        <v>2.8</v>
      </c>
      <c r="G627">
        <v>85</v>
      </c>
      <c r="H627" t="s">
        <v>12</v>
      </c>
      <c r="I627">
        <v>9.74</v>
      </c>
      <c r="J627" t="str">
        <f t="shared" si="36"/>
        <v>Jun</v>
      </c>
      <c r="K627">
        <f t="shared" si="37"/>
        <v>2024</v>
      </c>
      <c r="L627">
        <f t="shared" si="38"/>
        <v>528.68720000000008</v>
      </c>
      <c r="M627" t="str">
        <f t="shared" si="39"/>
        <v>Weekend</v>
      </c>
    </row>
    <row r="628" spans="1:13" x14ac:dyDescent="0.35">
      <c r="A628" t="s">
        <v>643</v>
      </c>
      <c r="B628" t="s">
        <v>10</v>
      </c>
      <c r="C628" t="s">
        <v>15</v>
      </c>
      <c r="D628" s="1">
        <v>45350</v>
      </c>
      <c r="E628">
        <v>83.46</v>
      </c>
      <c r="F628">
        <v>1.52</v>
      </c>
      <c r="G628">
        <v>22</v>
      </c>
      <c r="H628" t="s">
        <v>12</v>
      </c>
      <c r="I628">
        <v>7.93</v>
      </c>
      <c r="J628" t="str">
        <f t="shared" si="36"/>
        <v>Feb</v>
      </c>
      <c r="K628">
        <f t="shared" si="37"/>
        <v>2024</v>
      </c>
      <c r="L628">
        <f t="shared" si="38"/>
        <v>661.8377999999999</v>
      </c>
      <c r="M628" t="str">
        <f t="shared" si="39"/>
        <v>Weekday</v>
      </c>
    </row>
    <row r="629" spans="1:13" x14ac:dyDescent="0.35">
      <c r="A629" t="s">
        <v>644</v>
      </c>
      <c r="B629" t="s">
        <v>10</v>
      </c>
      <c r="C629" t="s">
        <v>15</v>
      </c>
      <c r="D629" s="1">
        <v>45424</v>
      </c>
      <c r="E629">
        <v>63.84</v>
      </c>
      <c r="F629">
        <v>9.3699999999999992</v>
      </c>
      <c r="G629">
        <v>55</v>
      </c>
      <c r="H629" t="s">
        <v>12</v>
      </c>
      <c r="I629">
        <v>8.35</v>
      </c>
      <c r="J629" t="str">
        <f t="shared" si="36"/>
        <v>May</v>
      </c>
      <c r="K629">
        <f t="shared" si="37"/>
        <v>2024</v>
      </c>
      <c r="L629">
        <f t="shared" si="38"/>
        <v>533.06399999999996</v>
      </c>
      <c r="M629" t="str">
        <f t="shared" si="39"/>
        <v>Weekend</v>
      </c>
    </row>
    <row r="630" spans="1:13" x14ac:dyDescent="0.35">
      <c r="A630" t="s">
        <v>645</v>
      </c>
      <c r="B630" t="s">
        <v>10</v>
      </c>
      <c r="C630" t="s">
        <v>24</v>
      </c>
      <c r="D630" s="1">
        <v>45644</v>
      </c>
      <c r="E630">
        <v>75.849999999999994</v>
      </c>
      <c r="F630">
        <v>5.08</v>
      </c>
      <c r="G630">
        <v>55</v>
      </c>
      <c r="H630" t="s">
        <v>12</v>
      </c>
      <c r="I630">
        <v>3.77</v>
      </c>
      <c r="J630" t="str">
        <f t="shared" si="36"/>
        <v>Dec</v>
      </c>
      <c r="K630">
        <f t="shared" si="37"/>
        <v>2024</v>
      </c>
      <c r="L630">
        <f t="shared" si="38"/>
        <v>285.9545</v>
      </c>
      <c r="M630" t="str">
        <f t="shared" si="39"/>
        <v>Weekday</v>
      </c>
    </row>
    <row r="631" spans="1:13" x14ac:dyDescent="0.35">
      <c r="A631" t="s">
        <v>646</v>
      </c>
      <c r="B631" t="s">
        <v>17</v>
      </c>
      <c r="C631" t="s">
        <v>24</v>
      </c>
      <c r="D631" s="1">
        <v>45293</v>
      </c>
      <c r="E631">
        <v>44.43</v>
      </c>
      <c r="F631">
        <v>9.8800000000000008</v>
      </c>
      <c r="G631">
        <v>22</v>
      </c>
      <c r="H631" t="s">
        <v>18</v>
      </c>
      <c r="I631">
        <v>5.09</v>
      </c>
      <c r="J631" t="str">
        <f t="shared" si="36"/>
        <v>Jan</v>
      </c>
      <c r="K631">
        <f t="shared" si="37"/>
        <v>2024</v>
      </c>
      <c r="L631">
        <f t="shared" si="38"/>
        <v>226.14869999999999</v>
      </c>
      <c r="M631" t="str">
        <f t="shared" si="39"/>
        <v>Weekday</v>
      </c>
    </row>
    <row r="632" spans="1:13" x14ac:dyDescent="0.35">
      <c r="A632" t="s">
        <v>647</v>
      </c>
      <c r="B632" t="s">
        <v>17</v>
      </c>
      <c r="C632" t="s">
        <v>11</v>
      </c>
      <c r="D632" s="1">
        <v>45305</v>
      </c>
      <c r="E632">
        <v>71.17</v>
      </c>
      <c r="F632">
        <v>3.61</v>
      </c>
      <c r="G632">
        <v>26</v>
      </c>
      <c r="H632" t="s">
        <v>12</v>
      </c>
      <c r="I632">
        <v>9.9600000000000009</v>
      </c>
      <c r="J632" t="str">
        <f t="shared" si="36"/>
        <v>Jan</v>
      </c>
      <c r="K632">
        <f t="shared" si="37"/>
        <v>2024</v>
      </c>
      <c r="L632">
        <f t="shared" si="38"/>
        <v>708.85320000000013</v>
      </c>
      <c r="M632" t="str">
        <f t="shared" si="39"/>
        <v>Weekend</v>
      </c>
    </row>
    <row r="633" spans="1:13" x14ac:dyDescent="0.35">
      <c r="A633" t="s">
        <v>648</v>
      </c>
      <c r="B633" t="s">
        <v>10</v>
      </c>
      <c r="C633" t="s">
        <v>24</v>
      </c>
      <c r="D633" s="1">
        <v>45491</v>
      </c>
      <c r="E633">
        <v>23.32</v>
      </c>
      <c r="F633">
        <v>5.53</v>
      </c>
      <c r="G633">
        <v>115</v>
      </c>
      <c r="H633" t="s">
        <v>18</v>
      </c>
      <c r="I633">
        <v>8.14</v>
      </c>
      <c r="J633" t="str">
        <f t="shared" si="36"/>
        <v>Jul</v>
      </c>
      <c r="K633">
        <f t="shared" si="37"/>
        <v>2024</v>
      </c>
      <c r="L633">
        <f t="shared" si="38"/>
        <v>189.82480000000001</v>
      </c>
      <c r="M633" t="str">
        <f t="shared" si="39"/>
        <v>Weekday</v>
      </c>
    </row>
    <row r="634" spans="1:13" x14ac:dyDescent="0.35">
      <c r="A634" t="s">
        <v>649</v>
      </c>
      <c r="B634" t="s">
        <v>17</v>
      </c>
      <c r="C634" t="s">
        <v>11</v>
      </c>
      <c r="D634" s="1">
        <v>45560</v>
      </c>
      <c r="E634">
        <v>56.84</v>
      </c>
      <c r="F634">
        <v>8.01</v>
      </c>
      <c r="G634">
        <v>42</v>
      </c>
      <c r="H634" t="s">
        <v>18</v>
      </c>
      <c r="I634">
        <v>3.99</v>
      </c>
      <c r="J634" t="str">
        <f t="shared" si="36"/>
        <v>Sep</v>
      </c>
      <c r="K634">
        <f t="shared" si="37"/>
        <v>2024</v>
      </c>
      <c r="L634">
        <f t="shared" si="38"/>
        <v>226.79160000000002</v>
      </c>
      <c r="M634" t="str">
        <f t="shared" si="39"/>
        <v>Weekday</v>
      </c>
    </row>
    <row r="635" spans="1:13" x14ac:dyDescent="0.35">
      <c r="A635" t="s">
        <v>650</v>
      </c>
      <c r="B635" t="s">
        <v>14</v>
      </c>
      <c r="C635" t="s">
        <v>15</v>
      </c>
      <c r="D635" s="1">
        <v>45633</v>
      </c>
      <c r="E635">
        <v>85.55</v>
      </c>
      <c r="F635">
        <v>2.4</v>
      </c>
      <c r="G635">
        <v>19</v>
      </c>
      <c r="H635" t="s">
        <v>18</v>
      </c>
      <c r="I635">
        <v>4.9000000000000004</v>
      </c>
      <c r="J635" t="str">
        <f t="shared" si="36"/>
        <v>Dec</v>
      </c>
      <c r="K635">
        <f t="shared" si="37"/>
        <v>2024</v>
      </c>
      <c r="L635">
        <f t="shared" si="38"/>
        <v>419.19499999999999</v>
      </c>
      <c r="M635" t="str">
        <f t="shared" si="39"/>
        <v>Weekend</v>
      </c>
    </row>
    <row r="636" spans="1:13" x14ac:dyDescent="0.35">
      <c r="A636" t="s">
        <v>651</v>
      </c>
      <c r="B636" t="s">
        <v>10</v>
      </c>
      <c r="C636" t="s">
        <v>24</v>
      </c>
      <c r="D636" s="1">
        <v>45501</v>
      </c>
      <c r="E636">
        <v>95.93</v>
      </c>
      <c r="F636">
        <v>2.11</v>
      </c>
      <c r="G636">
        <v>19</v>
      </c>
      <c r="H636" t="s">
        <v>12</v>
      </c>
      <c r="I636">
        <v>4.03</v>
      </c>
      <c r="J636" t="str">
        <f t="shared" si="36"/>
        <v>Jul</v>
      </c>
      <c r="K636">
        <f t="shared" si="37"/>
        <v>2024</v>
      </c>
      <c r="L636">
        <f t="shared" si="38"/>
        <v>386.59790000000004</v>
      </c>
      <c r="M636" t="str">
        <f t="shared" si="39"/>
        <v>Weekend</v>
      </c>
    </row>
    <row r="637" spans="1:13" x14ac:dyDescent="0.35">
      <c r="A637" t="s">
        <v>652</v>
      </c>
      <c r="B637" t="s">
        <v>17</v>
      </c>
      <c r="C637" t="s">
        <v>24</v>
      </c>
      <c r="D637" s="1">
        <v>45437</v>
      </c>
      <c r="E637">
        <v>42.37</v>
      </c>
      <c r="F637">
        <v>2.95</v>
      </c>
      <c r="G637">
        <v>96</v>
      </c>
      <c r="H637" t="s">
        <v>18</v>
      </c>
      <c r="I637">
        <v>5.32</v>
      </c>
      <c r="J637" t="str">
        <f t="shared" si="36"/>
        <v>May</v>
      </c>
      <c r="K637">
        <f t="shared" si="37"/>
        <v>2024</v>
      </c>
      <c r="L637">
        <f t="shared" si="38"/>
        <v>225.4084</v>
      </c>
      <c r="M637" t="str">
        <f t="shared" si="39"/>
        <v>Weekend</v>
      </c>
    </row>
    <row r="638" spans="1:13" x14ac:dyDescent="0.35">
      <c r="A638" t="s">
        <v>653</v>
      </c>
      <c r="B638" t="s">
        <v>14</v>
      </c>
      <c r="C638" t="s">
        <v>15</v>
      </c>
      <c r="D638" s="1">
        <v>45321</v>
      </c>
      <c r="E638">
        <v>93.85</v>
      </c>
      <c r="F638">
        <v>4.45</v>
      </c>
      <c r="G638">
        <v>49</v>
      </c>
      <c r="H638" t="s">
        <v>18</v>
      </c>
      <c r="I638">
        <v>8.84</v>
      </c>
      <c r="J638" t="str">
        <f t="shared" si="36"/>
        <v>Jan</v>
      </c>
      <c r="K638">
        <f t="shared" si="37"/>
        <v>2024</v>
      </c>
      <c r="L638">
        <f t="shared" si="38"/>
        <v>829.6339999999999</v>
      </c>
      <c r="M638" t="str">
        <f t="shared" si="39"/>
        <v>Weekday</v>
      </c>
    </row>
    <row r="639" spans="1:13" x14ac:dyDescent="0.35">
      <c r="A639" t="s">
        <v>654</v>
      </c>
      <c r="B639" t="s">
        <v>17</v>
      </c>
      <c r="C639" t="s">
        <v>15</v>
      </c>
      <c r="D639" s="1">
        <v>45469</v>
      </c>
      <c r="E639">
        <v>23.81</v>
      </c>
      <c r="F639">
        <v>4.1500000000000004</v>
      </c>
      <c r="G639">
        <v>77</v>
      </c>
      <c r="H639" t="s">
        <v>12</v>
      </c>
      <c r="I639">
        <v>7.72</v>
      </c>
      <c r="J639" t="str">
        <f t="shared" si="36"/>
        <v>Jun</v>
      </c>
      <c r="K639">
        <f t="shared" si="37"/>
        <v>2024</v>
      </c>
      <c r="L639">
        <f t="shared" si="38"/>
        <v>183.81319999999999</v>
      </c>
      <c r="M639" t="str">
        <f t="shared" si="39"/>
        <v>Weekday</v>
      </c>
    </row>
    <row r="640" spans="1:13" x14ac:dyDescent="0.35">
      <c r="A640" t="s">
        <v>655</v>
      </c>
      <c r="B640" t="s">
        <v>14</v>
      </c>
      <c r="C640" t="s">
        <v>11</v>
      </c>
      <c r="D640" s="1">
        <v>45530</v>
      </c>
      <c r="E640">
        <v>67.72</v>
      </c>
      <c r="F640">
        <v>8.3800000000000008</v>
      </c>
      <c r="G640">
        <v>2</v>
      </c>
      <c r="H640" t="s">
        <v>12</v>
      </c>
      <c r="I640">
        <v>4.2699999999999996</v>
      </c>
      <c r="J640" t="str">
        <f t="shared" si="36"/>
        <v>Aug</v>
      </c>
      <c r="K640">
        <f t="shared" si="37"/>
        <v>2024</v>
      </c>
      <c r="L640">
        <f t="shared" si="38"/>
        <v>289.16439999999994</v>
      </c>
      <c r="M640" t="str">
        <f t="shared" si="39"/>
        <v>Weekday</v>
      </c>
    </row>
    <row r="641" spans="1:13" x14ac:dyDescent="0.35">
      <c r="A641" t="s">
        <v>656</v>
      </c>
      <c r="B641" t="s">
        <v>17</v>
      </c>
      <c r="C641" t="s">
        <v>15</v>
      </c>
      <c r="D641" s="1">
        <v>45598</v>
      </c>
      <c r="E641">
        <v>50.1</v>
      </c>
      <c r="F641">
        <v>6.98</v>
      </c>
      <c r="G641">
        <v>107</v>
      </c>
      <c r="H641" t="s">
        <v>18</v>
      </c>
      <c r="I641">
        <v>9.09</v>
      </c>
      <c r="J641" t="str">
        <f t="shared" si="36"/>
        <v>Nov</v>
      </c>
      <c r="K641">
        <f t="shared" si="37"/>
        <v>2024</v>
      </c>
      <c r="L641">
        <f t="shared" si="38"/>
        <v>455.40899999999999</v>
      </c>
      <c r="M641" t="str">
        <f t="shared" si="39"/>
        <v>Weekend</v>
      </c>
    </row>
    <row r="642" spans="1:13" x14ac:dyDescent="0.35">
      <c r="A642" t="s">
        <v>657</v>
      </c>
      <c r="B642" t="s">
        <v>14</v>
      </c>
      <c r="C642" t="s">
        <v>15</v>
      </c>
      <c r="D642" s="1">
        <v>45572</v>
      </c>
      <c r="E642">
        <v>27.96</v>
      </c>
      <c r="F642">
        <v>1.65</v>
      </c>
      <c r="G642">
        <v>72</v>
      </c>
      <c r="H642" t="s">
        <v>12</v>
      </c>
      <c r="I642">
        <v>6.41</v>
      </c>
      <c r="J642" t="str">
        <f t="shared" si="36"/>
        <v>Oct</v>
      </c>
      <c r="K642">
        <f t="shared" si="37"/>
        <v>2024</v>
      </c>
      <c r="L642">
        <f t="shared" si="38"/>
        <v>179.2236</v>
      </c>
      <c r="M642" t="str">
        <f t="shared" si="39"/>
        <v>Weekday</v>
      </c>
    </row>
    <row r="643" spans="1:13" x14ac:dyDescent="0.35">
      <c r="A643" t="s">
        <v>658</v>
      </c>
      <c r="B643" t="s">
        <v>17</v>
      </c>
      <c r="C643" t="s">
        <v>15</v>
      </c>
      <c r="D643" s="1">
        <v>45510</v>
      </c>
      <c r="E643">
        <v>69</v>
      </c>
      <c r="F643">
        <v>6.96</v>
      </c>
      <c r="G643">
        <v>106</v>
      </c>
      <c r="H643" t="s">
        <v>12</v>
      </c>
      <c r="I643">
        <v>3.18</v>
      </c>
      <c r="J643" t="str">
        <f t="shared" ref="J643:J706" si="40">TEXT(D643,"mmm")</f>
        <v>Aug</v>
      </c>
      <c r="K643">
        <f t="shared" ref="K643:K706" si="41">YEAR(D643)</f>
        <v>2024</v>
      </c>
      <c r="L643">
        <f t="shared" ref="L643:L706" si="42">E643*I643</f>
        <v>219.42000000000002</v>
      </c>
      <c r="M643" t="str">
        <f t="shared" ref="M643:M706" si="43">IF(OR(WEEKDAY(D643)=1,WEEKDAY(D643)=7),"Weekend","Weekday")</f>
        <v>Weekday</v>
      </c>
    </row>
    <row r="644" spans="1:13" x14ac:dyDescent="0.35">
      <c r="A644" t="s">
        <v>659</v>
      </c>
      <c r="B644" t="s">
        <v>14</v>
      </c>
      <c r="C644" t="s">
        <v>15</v>
      </c>
      <c r="D644" s="1">
        <v>45476</v>
      </c>
      <c r="E644">
        <v>9.99</v>
      </c>
      <c r="F644">
        <v>3.36</v>
      </c>
      <c r="G644">
        <v>99</v>
      </c>
      <c r="H644" t="s">
        <v>18</v>
      </c>
      <c r="I644">
        <v>7.73</v>
      </c>
      <c r="J644" t="str">
        <f t="shared" si="40"/>
        <v>Jul</v>
      </c>
      <c r="K644">
        <f t="shared" si="41"/>
        <v>2024</v>
      </c>
      <c r="L644">
        <f t="shared" si="42"/>
        <v>77.222700000000003</v>
      </c>
      <c r="M644" t="str">
        <f t="shared" si="43"/>
        <v>Weekday</v>
      </c>
    </row>
    <row r="645" spans="1:13" x14ac:dyDescent="0.35">
      <c r="A645" t="s">
        <v>660</v>
      </c>
      <c r="B645" t="s">
        <v>10</v>
      </c>
      <c r="C645" t="s">
        <v>11</v>
      </c>
      <c r="D645" s="1">
        <v>45511</v>
      </c>
      <c r="E645">
        <v>27.07</v>
      </c>
      <c r="F645">
        <v>8.5399999999999991</v>
      </c>
      <c r="G645">
        <v>92</v>
      </c>
      <c r="H645" t="s">
        <v>12</v>
      </c>
      <c r="I645">
        <v>5.73</v>
      </c>
      <c r="J645" t="str">
        <f t="shared" si="40"/>
        <v>Aug</v>
      </c>
      <c r="K645">
        <f t="shared" si="41"/>
        <v>2024</v>
      </c>
      <c r="L645">
        <f t="shared" si="42"/>
        <v>155.11110000000002</v>
      </c>
      <c r="M645" t="str">
        <f t="shared" si="43"/>
        <v>Weekday</v>
      </c>
    </row>
    <row r="646" spans="1:13" x14ac:dyDescent="0.35">
      <c r="A646" t="s">
        <v>661</v>
      </c>
      <c r="B646" t="s">
        <v>17</v>
      </c>
      <c r="C646" t="s">
        <v>15</v>
      </c>
      <c r="D646" s="1">
        <v>45422</v>
      </c>
      <c r="E646">
        <v>38.08</v>
      </c>
      <c r="F646">
        <v>9.16</v>
      </c>
      <c r="G646">
        <v>21</v>
      </c>
      <c r="H646" t="s">
        <v>12</v>
      </c>
      <c r="I646">
        <v>4.8</v>
      </c>
      <c r="J646" t="str">
        <f t="shared" si="40"/>
        <v>May</v>
      </c>
      <c r="K646">
        <f t="shared" si="41"/>
        <v>2024</v>
      </c>
      <c r="L646">
        <f t="shared" si="42"/>
        <v>182.78399999999999</v>
      </c>
      <c r="M646" t="str">
        <f t="shared" si="43"/>
        <v>Weekday</v>
      </c>
    </row>
    <row r="647" spans="1:13" x14ac:dyDescent="0.35">
      <c r="A647" t="s">
        <v>662</v>
      </c>
      <c r="B647" t="s">
        <v>17</v>
      </c>
      <c r="C647" t="s">
        <v>11</v>
      </c>
      <c r="D647" s="1">
        <v>45510</v>
      </c>
      <c r="E647">
        <v>49.9</v>
      </c>
      <c r="F647">
        <v>4.0999999999999996</v>
      </c>
      <c r="G647">
        <v>89</v>
      </c>
      <c r="H647" t="s">
        <v>18</v>
      </c>
      <c r="I647">
        <v>5.15</v>
      </c>
      <c r="J647" t="str">
        <f t="shared" si="40"/>
        <v>Aug</v>
      </c>
      <c r="K647">
        <f t="shared" si="41"/>
        <v>2024</v>
      </c>
      <c r="L647">
        <f t="shared" si="42"/>
        <v>256.98500000000001</v>
      </c>
      <c r="M647" t="str">
        <f t="shared" si="43"/>
        <v>Weekday</v>
      </c>
    </row>
    <row r="648" spans="1:13" x14ac:dyDescent="0.35">
      <c r="A648" t="s">
        <v>663</v>
      </c>
      <c r="B648" t="s">
        <v>17</v>
      </c>
      <c r="C648" t="s">
        <v>24</v>
      </c>
      <c r="D648" s="1">
        <v>45395</v>
      </c>
      <c r="E648">
        <v>40.590000000000003</v>
      </c>
      <c r="F648">
        <v>8.93</v>
      </c>
      <c r="G648">
        <v>84</v>
      </c>
      <c r="H648" t="s">
        <v>18</v>
      </c>
      <c r="I648">
        <v>6.97</v>
      </c>
      <c r="J648" t="str">
        <f t="shared" si="40"/>
        <v>Apr</v>
      </c>
      <c r="K648">
        <f t="shared" si="41"/>
        <v>2024</v>
      </c>
      <c r="L648">
        <f t="shared" si="42"/>
        <v>282.91230000000002</v>
      </c>
      <c r="M648" t="str">
        <f t="shared" si="43"/>
        <v>Weekend</v>
      </c>
    </row>
    <row r="649" spans="1:13" x14ac:dyDescent="0.35">
      <c r="A649" t="s">
        <v>664</v>
      </c>
      <c r="B649" t="s">
        <v>14</v>
      </c>
      <c r="C649" t="s">
        <v>24</v>
      </c>
      <c r="D649" s="1">
        <v>45528</v>
      </c>
      <c r="E649">
        <v>81.45</v>
      </c>
      <c r="F649">
        <v>1.54</v>
      </c>
      <c r="G649">
        <v>69</v>
      </c>
      <c r="H649" t="s">
        <v>18</v>
      </c>
      <c r="I649">
        <v>9.94</v>
      </c>
      <c r="J649" t="str">
        <f t="shared" si="40"/>
        <v>Aug</v>
      </c>
      <c r="K649">
        <f t="shared" si="41"/>
        <v>2024</v>
      </c>
      <c r="L649">
        <f t="shared" si="42"/>
        <v>809.61299999999994</v>
      </c>
      <c r="M649" t="str">
        <f t="shared" si="43"/>
        <v>Weekend</v>
      </c>
    </row>
    <row r="650" spans="1:13" x14ac:dyDescent="0.35">
      <c r="A650" t="s">
        <v>665</v>
      </c>
      <c r="B650" t="s">
        <v>10</v>
      </c>
      <c r="C650" t="s">
        <v>15</v>
      </c>
      <c r="D650" s="1">
        <v>45567</v>
      </c>
      <c r="E650">
        <v>66.7</v>
      </c>
      <c r="F650">
        <v>1.93</v>
      </c>
      <c r="G650">
        <v>53</v>
      </c>
      <c r="H650" t="s">
        <v>18</v>
      </c>
      <c r="I650">
        <v>9.7200000000000006</v>
      </c>
      <c r="J650" t="str">
        <f t="shared" si="40"/>
        <v>Oct</v>
      </c>
      <c r="K650">
        <f t="shared" si="41"/>
        <v>2024</v>
      </c>
      <c r="L650">
        <f t="shared" si="42"/>
        <v>648.32400000000007</v>
      </c>
      <c r="M650" t="str">
        <f t="shared" si="43"/>
        <v>Weekday</v>
      </c>
    </row>
    <row r="651" spans="1:13" x14ac:dyDescent="0.35">
      <c r="A651" t="s">
        <v>666</v>
      </c>
      <c r="B651" t="s">
        <v>14</v>
      </c>
      <c r="C651" t="s">
        <v>24</v>
      </c>
      <c r="D651" s="1">
        <v>45509</v>
      </c>
      <c r="E651">
        <v>17.93</v>
      </c>
      <c r="F651">
        <v>3.07</v>
      </c>
      <c r="G651">
        <v>39</v>
      </c>
      <c r="H651" t="s">
        <v>12</v>
      </c>
      <c r="I651">
        <v>4.78</v>
      </c>
      <c r="J651" t="str">
        <f t="shared" si="40"/>
        <v>Aug</v>
      </c>
      <c r="K651">
        <f t="shared" si="41"/>
        <v>2024</v>
      </c>
      <c r="L651">
        <f t="shared" si="42"/>
        <v>85.705399999999997</v>
      </c>
      <c r="M651" t="str">
        <f t="shared" si="43"/>
        <v>Weekday</v>
      </c>
    </row>
    <row r="652" spans="1:13" x14ac:dyDescent="0.35">
      <c r="A652" t="s">
        <v>667</v>
      </c>
      <c r="B652" t="s">
        <v>14</v>
      </c>
      <c r="C652" t="s">
        <v>11</v>
      </c>
      <c r="D652" s="1">
        <v>45560</v>
      </c>
      <c r="E652">
        <v>74.84</v>
      </c>
      <c r="F652">
        <v>4.4000000000000004</v>
      </c>
      <c r="G652">
        <v>31</v>
      </c>
      <c r="H652" t="s">
        <v>12</v>
      </c>
      <c r="I652">
        <v>4.82</v>
      </c>
      <c r="J652" t="str">
        <f t="shared" si="40"/>
        <v>Sep</v>
      </c>
      <c r="K652">
        <f t="shared" si="41"/>
        <v>2024</v>
      </c>
      <c r="L652">
        <f t="shared" si="42"/>
        <v>360.72880000000004</v>
      </c>
      <c r="M652" t="str">
        <f t="shared" si="43"/>
        <v>Weekday</v>
      </c>
    </row>
    <row r="653" spans="1:13" x14ac:dyDescent="0.35">
      <c r="A653" t="s">
        <v>668</v>
      </c>
      <c r="B653" t="s">
        <v>17</v>
      </c>
      <c r="C653" t="s">
        <v>24</v>
      </c>
      <c r="D653" s="1">
        <v>45487</v>
      </c>
      <c r="E653">
        <v>70.510000000000005</v>
      </c>
      <c r="F653">
        <v>1.28</v>
      </c>
      <c r="G653">
        <v>81</v>
      </c>
      <c r="H653" t="s">
        <v>12</v>
      </c>
      <c r="I653">
        <v>5.32</v>
      </c>
      <c r="J653" t="str">
        <f t="shared" si="40"/>
        <v>Jul</v>
      </c>
      <c r="K653">
        <f t="shared" si="41"/>
        <v>2024</v>
      </c>
      <c r="L653">
        <f t="shared" si="42"/>
        <v>375.11320000000006</v>
      </c>
      <c r="M653" t="str">
        <f t="shared" si="43"/>
        <v>Weekend</v>
      </c>
    </row>
    <row r="654" spans="1:13" x14ac:dyDescent="0.35">
      <c r="A654" t="s">
        <v>669</v>
      </c>
      <c r="B654" t="s">
        <v>17</v>
      </c>
      <c r="C654" t="s">
        <v>24</v>
      </c>
      <c r="D654" s="1">
        <v>45297</v>
      </c>
      <c r="E654">
        <v>23.4</v>
      </c>
      <c r="F654">
        <v>5.46</v>
      </c>
      <c r="G654">
        <v>82</v>
      </c>
      <c r="H654" t="s">
        <v>18</v>
      </c>
      <c r="I654">
        <v>4.2699999999999996</v>
      </c>
      <c r="J654" t="str">
        <f t="shared" si="40"/>
        <v>Jan</v>
      </c>
      <c r="K654">
        <f t="shared" si="41"/>
        <v>2024</v>
      </c>
      <c r="L654">
        <f t="shared" si="42"/>
        <v>99.917999999999978</v>
      </c>
      <c r="M654" t="str">
        <f t="shared" si="43"/>
        <v>Weekend</v>
      </c>
    </row>
    <row r="655" spans="1:13" x14ac:dyDescent="0.35">
      <c r="A655" t="s">
        <v>670</v>
      </c>
      <c r="B655" t="s">
        <v>17</v>
      </c>
      <c r="C655" t="s">
        <v>15</v>
      </c>
      <c r="D655" s="1">
        <v>45553</v>
      </c>
      <c r="E655">
        <v>35.78</v>
      </c>
      <c r="F655">
        <v>8.86</v>
      </c>
      <c r="G655">
        <v>79</v>
      </c>
      <c r="H655" t="s">
        <v>12</v>
      </c>
      <c r="I655">
        <v>9.73</v>
      </c>
      <c r="J655" t="str">
        <f t="shared" si="40"/>
        <v>Sep</v>
      </c>
      <c r="K655">
        <f t="shared" si="41"/>
        <v>2024</v>
      </c>
      <c r="L655">
        <f t="shared" si="42"/>
        <v>348.13940000000002</v>
      </c>
      <c r="M655" t="str">
        <f t="shared" si="43"/>
        <v>Weekday</v>
      </c>
    </row>
    <row r="656" spans="1:13" x14ac:dyDescent="0.35">
      <c r="A656" t="s">
        <v>671</v>
      </c>
      <c r="B656" t="s">
        <v>14</v>
      </c>
      <c r="C656" t="s">
        <v>24</v>
      </c>
      <c r="D656" s="1">
        <v>45496</v>
      </c>
      <c r="E656">
        <v>95.44</v>
      </c>
      <c r="F656">
        <v>4.8099999999999996</v>
      </c>
      <c r="G656">
        <v>100</v>
      </c>
      <c r="H656" t="s">
        <v>18</v>
      </c>
      <c r="I656">
        <v>6.57</v>
      </c>
      <c r="J656" t="str">
        <f t="shared" si="40"/>
        <v>Jul</v>
      </c>
      <c r="K656">
        <f t="shared" si="41"/>
        <v>2024</v>
      </c>
      <c r="L656">
        <f t="shared" si="42"/>
        <v>627.04079999999999</v>
      </c>
      <c r="M656" t="str">
        <f t="shared" si="43"/>
        <v>Weekday</v>
      </c>
    </row>
    <row r="657" spans="1:13" x14ac:dyDescent="0.35">
      <c r="A657" t="s">
        <v>672</v>
      </c>
      <c r="B657" t="s">
        <v>14</v>
      </c>
      <c r="C657" t="s">
        <v>15</v>
      </c>
      <c r="D657" s="1">
        <v>45296</v>
      </c>
      <c r="E657">
        <v>71</v>
      </c>
      <c r="F657">
        <v>8.17</v>
      </c>
      <c r="G657">
        <v>34</v>
      </c>
      <c r="H657" t="s">
        <v>12</v>
      </c>
      <c r="I657">
        <v>4.1500000000000004</v>
      </c>
      <c r="J657" t="str">
        <f t="shared" si="40"/>
        <v>Jan</v>
      </c>
      <c r="K657">
        <f t="shared" si="41"/>
        <v>2024</v>
      </c>
      <c r="L657">
        <f t="shared" si="42"/>
        <v>294.65000000000003</v>
      </c>
      <c r="M657" t="str">
        <f t="shared" si="43"/>
        <v>Weekday</v>
      </c>
    </row>
    <row r="658" spans="1:13" x14ac:dyDescent="0.35">
      <c r="A658" t="s">
        <v>673</v>
      </c>
      <c r="B658" t="s">
        <v>14</v>
      </c>
      <c r="C658" t="s">
        <v>11</v>
      </c>
      <c r="D658" s="1">
        <v>45446</v>
      </c>
      <c r="E658">
        <v>14.46</v>
      </c>
      <c r="F658">
        <v>5.19</v>
      </c>
      <c r="G658">
        <v>114</v>
      </c>
      <c r="H658" t="s">
        <v>18</v>
      </c>
      <c r="I658">
        <v>4.2300000000000004</v>
      </c>
      <c r="J658" t="str">
        <f t="shared" si="40"/>
        <v>Jun</v>
      </c>
      <c r="K658">
        <f t="shared" si="41"/>
        <v>2024</v>
      </c>
      <c r="L658">
        <f t="shared" si="42"/>
        <v>61.165800000000011</v>
      </c>
      <c r="M658" t="str">
        <f t="shared" si="43"/>
        <v>Weekday</v>
      </c>
    </row>
    <row r="659" spans="1:13" x14ac:dyDescent="0.35">
      <c r="A659" t="s">
        <v>674</v>
      </c>
      <c r="B659" t="s">
        <v>17</v>
      </c>
      <c r="C659" t="s">
        <v>15</v>
      </c>
      <c r="D659" s="1">
        <v>45366</v>
      </c>
      <c r="E659">
        <v>62.78</v>
      </c>
      <c r="F659">
        <v>2.95</v>
      </c>
      <c r="G659">
        <v>29</v>
      </c>
      <c r="H659" t="s">
        <v>12</v>
      </c>
      <c r="I659">
        <v>7.07</v>
      </c>
      <c r="J659" t="str">
        <f t="shared" si="40"/>
        <v>Mar</v>
      </c>
      <c r="K659">
        <f t="shared" si="41"/>
        <v>2024</v>
      </c>
      <c r="L659">
        <f t="shared" si="42"/>
        <v>443.8546</v>
      </c>
      <c r="M659" t="str">
        <f t="shared" si="43"/>
        <v>Weekday</v>
      </c>
    </row>
    <row r="660" spans="1:13" x14ac:dyDescent="0.35">
      <c r="A660" t="s">
        <v>675</v>
      </c>
      <c r="B660" t="s">
        <v>10</v>
      </c>
      <c r="C660" t="s">
        <v>15</v>
      </c>
      <c r="D660" s="1">
        <v>45521</v>
      </c>
      <c r="E660">
        <v>52.05</v>
      </c>
      <c r="F660">
        <v>7.38</v>
      </c>
      <c r="G660">
        <v>62</v>
      </c>
      <c r="H660" t="s">
        <v>12</v>
      </c>
      <c r="I660">
        <v>9.84</v>
      </c>
      <c r="J660" t="str">
        <f t="shared" si="40"/>
        <v>Aug</v>
      </c>
      <c r="K660">
        <f t="shared" si="41"/>
        <v>2024</v>
      </c>
      <c r="L660">
        <f t="shared" si="42"/>
        <v>512.17199999999991</v>
      </c>
      <c r="M660" t="str">
        <f t="shared" si="43"/>
        <v>Weekend</v>
      </c>
    </row>
    <row r="661" spans="1:13" x14ac:dyDescent="0.35">
      <c r="A661" t="s">
        <v>676</v>
      </c>
      <c r="B661" t="s">
        <v>14</v>
      </c>
      <c r="C661" t="s">
        <v>15</v>
      </c>
      <c r="D661" s="1">
        <v>45330</v>
      </c>
      <c r="E661">
        <v>66.02</v>
      </c>
      <c r="F661">
        <v>9.32</v>
      </c>
      <c r="G661">
        <v>67</v>
      </c>
      <c r="H661" t="s">
        <v>12</v>
      </c>
      <c r="I661">
        <v>6.9</v>
      </c>
      <c r="J661" t="str">
        <f t="shared" si="40"/>
        <v>Feb</v>
      </c>
      <c r="K661">
        <f t="shared" si="41"/>
        <v>2024</v>
      </c>
      <c r="L661">
        <f t="shared" si="42"/>
        <v>455.53800000000001</v>
      </c>
      <c r="M661" t="str">
        <f t="shared" si="43"/>
        <v>Weekday</v>
      </c>
    </row>
    <row r="662" spans="1:13" x14ac:dyDescent="0.35">
      <c r="A662" t="s">
        <v>677</v>
      </c>
      <c r="B662" t="s">
        <v>10</v>
      </c>
      <c r="C662" t="s">
        <v>15</v>
      </c>
      <c r="D662" s="1">
        <v>45450</v>
      </c>
      <c r="E662">
        <v>88.96</v>
      </c>
      <c r="F662">
        <v>6.94</v>
      </c>
      <c r="G662">
        <v>110</v>
      </c>
      <c r="H662" t="s">
        <v>12</v>
      </c>
      <c r="I662">
        <v>7.64</v>
      </c>
      <c r="J662" t="str">
        <f t="shared" si="40"/>
        <v>Jun</v>
      </c>
      <c r="K662">
        <f t="shared" si="41"/>
        <v>2024</v>
      </c>
      <c r="L662">
        <f t="shared" si="42"/>
        <v>679.6543999999999</v>
      </c>
      <c r="M662" t="str">
        <f t="shared" si="43"/>
        <v>Weekday</v>
      </c>
    </row>
    <row r="663" spans="1:13" x14ac:dyDescent="0.35">
      <c r="A663" t="s">
        <v>678</v>
      </c>
      <c r="B663" t="s">
        <v>10</v>
      </c>
      <c r="C663" t="s">
        <v>11</v>
      </c>
      <c r="D663" s="1">
        <v>45487</v>
      </c>
      <c r="E663">
        <v>88.54</v>
      </c>
      <c r="F663">
        <v>1.44</v>
      </c>
      <c r="G663">
        <v>11</v>
      </c>
      <c r="H663" t="s">
        <v>18</v>
      </c>
      <c r="I663">
        <v>8.65</v>
      </c>
      <c r="J663" t="str">
        <f t="shared" si="40"/>
        <v>Jul</v>
      </c>
      <c r="K663">
        <f t="shared" si="41"/>
        <v>2024</v>
      </c>
      <c r="L663">
        <f t="shared" si="42"/>
        <v>765.87100000000009</v>
      </c>
      <c r="M663" t="str">
        <f t="shared" si="43"/>
        <v>Weekend</v>
      </c>
    </row>
    <row r="664" spans="1:13" x14ac:dyDescent="0.35">
      <c r="A664" t="s">
        <v>679</v>
      </c>
      <c r="B664" t="s">
        <v>10</v>
      </c>
      <c r="C664" t="s">
        <v>24</v>
      </c>
      <c r="D664" s="1">
        <v>45308</v>
      </c>
      <c r="E664">
        <v>18.649999999999999</v>
      </c>
      <c r="F664">
        <v>7.57</v>
      </c>
      <c r="G664">
        <v>46</v>
      </c>
      <c r="H664" t="s">
        <v>18</v>
      </c>
      <c r="I664">
        <v>8.61</v>
      </c>
      <c r="J664" t="str">
        <f t="shared" si="40"/>
        <v>Jan</v>
      </c>
      <c r="K664">
        <f t="shared" si="41"/>
        <v>2024</v>
      </c>
      <c r="L664">
        <f t="shared" si="42"/>
        <v>160.57649999999998</v>
      </c>
      <c r="M664" t="str">
        <f t="shared" si="43"/>
        <v>Weekday</v>
      </c>
    </row>
    <row r="665" spans="1:13" x14ac:dyDescent="0.35">
      <c r="A665" t="s">
        <v>680</v>
      </c>
      <c r="B665" t="s">
        <v>17</v>
      </c>
      <c r="C665" t="s">
        <v>15</v>
      </c>
      <c r="D665" s="1">
        <v>45609</v>
      </c>
      <c r="E665">
        <v>86.54</v>
      </c>
      <c r="F665">
        <v>8.49</v>
      </c>
      <c r="G665">
        <v>20</v>
      </c>
      <c r="H665" t="s">
        <v>18</v>
      </c>
      <c r="I665">
        <v>7.22</v>
      </c>
      <c r="J665" t="str">
        <f t="shared" si="40"/>
        <v>Nov</v>
      </c>
      <c r="K665">
        <f t="shared" si="41"/>
        <v>2024</v>
      </c>
      <c r="L665">
        <f t="shared" si="42"/>
        <v>624.81880000000001</v>
      </c>
      <c r="M665" t="str">
        <f t="shared" si="43"/>
        <v>Weekday</v>
      </c>
    </row>
    <row r="666" spans="1:13" x14ac:dyDescent="0.35">
      <c r="A666" t="s">
        <v>681</v>
      </c>
      <c r="B666" t="s">
        <v>10</v>
      </c>
      <c r="C666" t="s">
        <v>24</v>
      </c>
      <c r="D666" s="1">
        <v>45490</v>
      </c>
      <c r="E666">
        <v>8.6999999999999993</v>
      </c>
      <c r="F666">
        <v>6.58</v>
      </c>
      <c r="G666">
        <v>114</v>
      </c>
      <c r="H666" t="s">
        <v>18</v>
      </c>
      <c r="I666">
        <v>8.77</v>
      </c>
      <c r="J666" t="str">
        <f t="shared" si="40"/>
        <v>Jul</v>
      </c>
      <c r="K666">
        <f t="shared" si="41"/>
        <v>2024</v>
      </c>
      <c r="L666">
        <f t="shared" si="42"/>
        <v>76.298999999999992</v>
      </c>
      <c r="M666" t="str">
        <f t="shared" si="43"/>
        <v>Weekday</v>
      </c>
    </row>
    <row r="667" spans="1:13" x14ac:dyDescent="0.35">
      <c r="A667" t="s">
        <v>682</v>
      </c>
      <c r="B667" t="s">
        <v>14</v>
      </c>
      <c r="C667" t="s">
        <v>15</v>
      </c>
      <c r="D667" s="1">
        <v>45386</v>
      </c>
      <c r="E667">
        <v>31.59</v>
      </c>
      <c r="F667">
        <v>5.1100000000000003</v>
      </c>
      <c r="G667">
        <v>97</v>
      </c>
      <c r="H667" t="s">
        <v>18</v>
      </c>
      <c r="I667">
        <v>6.29</v>
      </c>
      <c r="J667" t="str">
        <f t="shared" si="40"/>
        <v>Apr</v>
      </c>
      <c r="K667">
        <f t="shared" si="41"/>
        <v>2024</v>
      </c>
      <c r="L667">
        <f t="shared" si="42"/>
        <v>198.7011</v>
      </c>
      <c r="M667" t="str">
        <f t="shared" si="43"/>
        <v>Weekday</v>
      </c>
    </row>
    <row r="668" spans="1:13" x14ac:dyDescent="0.35">
      <c r="A668" t="s">
        <v>683</v>
      </c>
      <c r="B668" t="s">
        <v>17</v>
      </c>
      <c r="C668" t="s">
        <v>15</v>
      </c>
      <c r="D668" s="1">
        <v>45588</v>
      </c>
      <c r="E668">
        <v>57.99</v>
      </c>
      <c r="F668">
        <v>1.02</v>
      </c>
      <c r="G668">
        <v>5</v>
      </c>
      <c r="H668" t="s">
        <v>18</v>
      </c>
      <c r="I668">
        <v>3.03</v>
      </c>
      <c r="J668" t="str">
        <f t="shared" si="40"/>
        <v>Oct</v>
      </c>
      <c r="K668">
        <f t="shared" si="41"/>
        <v>2024</v>
      </c>
      <c r="L668">
        <f t="shared" si="42"/>
        <v>175.7097</v>
      </c>
      <c r="M668" t="str">
        <f t="shared" si="43"/>
        <v>Weekday</v>
      </c>
    </row>
    <row r="669" spans="1:13" x14ac:dyDescent="0.35">
      <c r="A669" t="s">
        <v>684</v>
      </c>
      <c r="B669" t="s">
        <v>14</v>
      </c>
      <c r="C669" t="s">
        <v>24</v>
      </c>
      <c r="D669" s="1">
        <v>45566</v>
      </c>
      <c r="E669">
        <v>73.569999999999993</v>
      </c>
      <c r="F669">
        <v>8.64</v>
      </c>
      <c r="G669">
        <v>67</v>
      </c>
      <c r="H669" t="s">
        <v>12</v>
      </c>
      <c r="I669">
        <v>6.34</v>
      </c>
      <c r="J669" t="str">
        <f t="shared" si="40"/>
        <v>Oct</v>
      </c>
      <c r="K669">
        <f t="shared" si="41"/>
        <v>2024</v>
      </c>
      <c r="L669">
        <f t="shared" si="42"/>
        <v>466.43379999999996</v>
      </c>
      <c r="M669" t="str">
        <f t="shared" si="43"/>
        <v>Weekday</v>
      </c>
    </row>
    <row r="670" spans="1:13" x14ac:dyDescent="0.35">
      <c r="A670" t="s">
        <v>685</v>
      </c>
      <c r="B670" t="s">
        <v>10</v>
      </c>
      <c r="C670" t="s">
        <v>24</v>
      </c>
      <c r="D670" s="1">
        <v>45306</v>
      </c>
      <c r="E670">
        <v>57.74</v>
      </c>
      <c r="F670">
        <v>7.94</v>
      </c>
      <c r="G670">
        <v>12</v>
      </c>
      <c r="H670" t="s">
        <v>18</v>
      </c>
      <c r="I670">
        <v>4.32</v>
      </c>
      <c r="J670" t="str">
        <f t="shared" si="40"/>
        <v>Jan</v>
      </c>
      <c r="K670">
        <f t="shared" si="41"/>
        <v>2024</v>
      </c>
      <c r="L670">
        <f t="shared" si="42"/>
        <v>249.43680000000003</v>
      </c>
      <c r="M670" t="str">
        <f t="shared" si="43"/>
        <v>Weekday</v>
      </c>
    </row>
    <row r="671" spans="1:13" x14ac:dyDescent="0.35">
      <c r="A671" t="s">
        <v>686</v>
      </c>
      <c r="B671" t="s">
        <v>17</v>
      </c>
      <c r="C671" t="s">
        <v>15</v>
      </c>
      <c r="D671" s="1">
        <v>45642</v>
      </c>
      <c r="E671">
        <v>7.87</v>
      </c>
      <c r="F671">
        <v>7.71</v>
      </c>
      <c r="G671">
        <v>48</v>
      </c>
      <c r="H671" t="s">
        <v>18</v>
      </c>
      <c r="I671">
        <v>5.23</v>
      </c>
      <c r="J671" t="str">
        <f t="shared" si="40"/>
        <v>Dec</v>
      </c>
      <c r="K671">
        <f t="shared" si="41"/>
        <v>2024</v>
      </c>
      <c r="L671">
        <f t="shared" si="42"/>
        <v>41.160100000000007</v>
      </c>
      <c r="M671" t="str">
        <f t="shared" si="43"/>
        <v>Weekday</v>
      </c>
    </row>
    <row r="672" spans="1:13" x14ac:dyDescent="0.35">
      <c r="A672" t="s">
        <v>687</v>
      </c>
      <c r="B672" t="s">
        <v>17</v>
      </c>
      <c r="C672" t="s">
        <v>11</v>
      </c>
      <c r="D672" s="1">
        <v>45585</v>
      </c>
      <c r="E672">
        <v>10.87</v>
      </c>
      <c r="F672">
        <v>9.6199999999999992</v>
      </c>
      <c r="G672">
        <v>60</v>
      </c>
      <c r="H672" t="s">
        <v>18</v>
      </c>
      <c r="I672">
        <v>4.9800000000000004</v>
      </c>
      <c r="J672" t="str">
        <f t="shared" si="40"/>
        <v>Oct</v>
      </c>
      <c r="K672">
        <f t="shared" si="41"/>
        <v>2024</v>
      </c>
      <c r="L672">
        <f t="shared" si="42"/>
        <v>54.132600000000004</v>
      </c>
      <c r="M672" t="str">
        <f t="shared" si="43"/>
        <v>Weekend</v>
      </c>
    </row>
    <row r="673" spans="1:13" x14ac:dyDescent="0.35">
      <c r="A673" t="s">
        <v>688</v>
      </c>
      <c r="B673" t="s">
        <v>17</v>
      </c>
      <c r="C673" t="s">
        <v>15</v>
      </c>
      <c r="D673" s="1">
        <v>45595</v>
      </c>
      <c r="E673">
        <v>75.040000000000006</v>
      </c>
      <c r="F673">
        <v>1.8</v>
      </c>
      <c r="G673">
        <v>61</v>
      </c>
      <c r="H673" t="s">
        <v>18</v>
      </c>
      <c r="I673">
        <v>8.94</v>
      </c>
      <c r="J673" t="str">
        <f t="shared" si="40"/>
        <v>Oct</v>
      </c>
      <c r="K673">
        <f t="shared" si="41"/>
        <v>2024</v>
      </c>
      <c r="L673">
        <f t="shared" si="42"/>
        <v>670.85760000000005</v>
      </c>
      <c r="M673" t="str">
        <f t="shared" si="43"/>
        <v>Weekday</v>
      </c>
    </row>
    <row r="674" spans="1:13" x14ac:dyDescent="0.35">
      <c r="A674" t="s">
        <v>689</v>
      </c>
      <c r="B674" t="s">
        <v>14</v>
      </c>
      <c r="C674" t="s">
        <v>11</v>
      </c>
      <c r="D674" s="1">
        <v>45292</v>
      </c>
      <c r="E674">
        <v>6.1</v>
      </c>
      <c r="F674">
        <v>1.59</v>
      </c>
      <c r="G674">
        <v>25</v>
      </c>
      <c r="H674" t="s">
        <v>18</v>
      </c>
      <c r="I674">
        <v>3.55</v>
      </c>
      <c r="J674" t="str">
        <f t="shared" si="40"/>
        <v>Jan</v>
      </c>
      <c r="K674">
        <f t="shared" si="41"/>
        <v>2024</v>
      </c>
      <c r="L674">
        <f t="shared" si="42"/>
        <v>21.654999999999998</v>
      </c>
      <c r="M674" t="str">
        <f t="shared" si="43"/>
        <v>Weekday</v>
      </c>
    </row>
    <row r="675" spans="1:13" x14ac:dyDescent="0.35">
      <c r="A675" t="s">
        <v>690</v>
      </c>
      <c r="B675" t="s">
        <v>17</v>
      </c>
      <c r="C675" t="s">
        <v>24</v>
      </c>
      <c r="D675" s="1">
        <v>45541</v>
      </c>
      <c r="E675">
        <v>50.48</v>
      </c>
      <c r="F675">
        <v>6.24</v>
      </c>
      <c r="G675">
        <v>73</v>
      </c>
      <c r="H675" t="s">
        <v>18</v>
      </c>
      <c r="I675">
        <v>4.3600000000000003</v>
      </c>
      <c r="J675" t="str">
        <f t="shared" si="40"/>
        <v>Sep</v>
      </c>
      <c r="K675">
        <f t="shared" si="41"/>
        <v>2024</v>
      </c>
      <c r="L675">
        <f t="shared" si="42"/>
        <v>220.09280000000001</v>
      </c>
      <c r="M675" t="str">
        <f t="shared" si="43"/>
        <v>Weekday</v>
      </c>
    </row>
    <row r="676" spans="1:13" x14ac:dyDescent="0.35">
      <c r="A676" t="s">
        <v>691</v>
      </c>
      <c r="B676" t="s">
        <v>17</v>
      </c>
      <c r="C676" t="s">
        <v>24</v>
      </c>
      <c r="D676" s="1">
        <v>45628</v>
      </c>
      <c r="E676">
        <v>57.06</v>
      </c>
      <c r="F676">
        <v>4.54</v>
      </c>
      <c r="G676">
        <v>58</v>
      </c>
      <c r="H676" t="s">
        <v>12</v>
      </c>
      <c r="I676">
        <v>9.94</v>
      </c>
      <c r="J676" t="str">
        <f t="shared" si="40"/>
        <v>Dec</v>
      </c>
      <c r="K676">
        <f t="shared" si="41"/>
        <v>2024</v>
      </c>
      <c r="L676">
        <f t="shared" si="42"/>
        <v>567.17639999999994</v>
      </c>
      <c r="M676" t="str">
        <f t="shared" si="43"/>
        <v>Weekday</v>
      </c>
    </row>
    <row r="677" spans="1:13" x14ac:dyDescent="0.35">
      <c r="A677" t="s">
        <v>692</v>
      </c>
      <c r="B677" t="s">
        <v>17</v>
      </c>
      <c r="C677" t="s">
        <v>24</v>
      </c>
      <c r="D677" s="1">
        <v>45383</v>
      </c>
      <c r="E677">
        <v>35.31</v>
      </c>
      <c r="F677">
        <v>4.8499999999999996</v>
      </c>
      <c r="G677">
        <v>76</v>
      </c>
      <c r="H677" t="s">
        <v>12</v>
      </c>
      <c r="I677">
        <v>9.2799999999999994</v>
      </c>
      <c r="J677" t="str">
        <f t="shared" si="40"/>
        <v>Apr</v>
      </c>
      <c r="K677">
        <f t="shared" si="41"/>
        <v>2024</v>
      </c>
      <c r="L677">
        <f t="shared" si="42"/>
        <v>327.67680000000001</v>
      </c>
      <c r="M677" t="str">
        <f t="shared" si="43"/>
        <v>Weekday</v>
      </c>
    </row>
    <row r="678" spans="1:13" x14ac:dyDescent="0.35">
      <c r="A678" t="s">
        <v>693</v>
      </c>
      <c r="B678" t="s">
        <v>10</v>
      </c>
      <c r="C678" t="s">
        <v>24</v>
      </c>
      <c r="D678" s="1">
        <v>45546</v>
      </c>
      <c r="E678">
        <v>85.83</v>
      </c>
      <c r="F678">
        <v>8.26</v>
      </c>
      <c r="G678">
        <v>104</v>
      </c>
      <c r="H678" t="s">
        <v>18</v>
      </c>
      <c r="I678">
        <v>7.78</v>
      </c>
      <c r="J678" t="str">
        <f t="shared" si="40"/>
        <v>Sep</v>
      </c>
      <c r="K678">
        <f t="shared" si="41"/>
        <v>2024</v>
      </c>
      <c r="L678">
        <f t="shared" si="42"/>
        <v>667.75739999999996</v>
      </c>
      <c r="M678" t="str">
        <f t="shared" si="43"/>
        <v>Weekday</v>
      </c>
    </row>
    <row r="679" spans="1:13" x14ac:dyDescent="0.35">
      <c r="A679" t="s">
        <v>694</v>
      </c>
      <c r="B679" t="s">
        <v>17</v>
      </c>
      <c r="C679" t="s">
        <v>24</v>
      </c>
      <c r="D679" s="1">
        <v>45322</v>
      </c>
      <c r="E679">
        <v>72.38</v>
      </c>
      <c r="F679">
        <v>3.67</v>
      </c>
      <c r="G679">
        <v>46</v>
      </c>
      <c r="H679" t="s">
        <v>12</v>
      </c>
      <c r="I679">
        <v>4.1500000000000004</v>
      </c>
      <c r="J679" t="str">
        <f t="shared" si="40"/>
        <v>Jan</v>
      </c>
      <c r="K679">
        <f t="shared" si="41"/>
        <v>2024</v>
      </c>
      <c r="L679">
        <f t="shared" si="42"/>
        <v>300.37700000000001</v>
      </c>
      <c r="M679" t="str">
        <f t="shared" si="43"/>
        <v>Weekday</v>
      </c>
    </row>
    <row r="680" spans="1:13" x14ac:dyDescent="0.35">
      <c r="A680" t="s">
        <v>695</v>
      </c>
      <c r="B680" t="s">
        <v>17</v>
      </c>
      <c r="C680" t="s">
        <v>24</v>
      </c>
      <c r="D680" s="1">
        <v>45352</v>
      </c>
      <c r="E680">
        <v>70.849999999999994</v>
      </c>
      <c r="F680">
        <v>7.46</v>
      </c>
      <c r="G680">
        <v>105</v>
      </c>
      <c r="H680" t="s">
        <v>12</v>
      </c>
      <c r="I680">
        <v>8.08</v>
      </c>
      <c r="J680" t="str">
        <f t="shared" si="40"/>
        <v>Mar</v>
      </c>
      <c r="K680">
        <f t="shared" si="41"/>
        <v>2024</v>
      </c>
      <c r="L680">
        <f t="shared" si="42"/>
        <v>572.46799999999996</v>
      </c>
      <c r="M680" t="str">
        <f t="shared" si="43"/>
        <v>Weekday</v>
      </c>
    </row>
    <row r="681" spans="1:13" x14ac:dyDescent="0.35">
      <c r="A681" t="s">
        <v>696</v>
      </c>
      <c r="B681" t="s">
        <v>14</v>
      </c>
      <c r="C681" t="s">
        <v>24</v>
      </c>
      <c r="D681" s="1">
        <v>45384</v>
      </c>
      <c r="E681">
        <v>87.92</v>
      </c>
      <c r="F681">
        <v>9.09</v>
      </c>
      <c r="G681">
        <v>64</v>
      </c>
      <c r="H681" t="s">
        <v>12</v>
      </c>
      <c r="I681">
        <v>7.34</v>
      </c>
      <c r="J681" t="str">
        <f t="shared" si="40"/>
        <v>Apr</v>
      </c>
      <c r="K681">
        <f t="shared" si="41"/>
        <v>2024</v>
      </c>
      <c r="L681">
        <f t="shared" si="42"/>
        <v>645.33280000000002</v>
      </c>
      <c r="M681" t="str">
        <f t="shared" si="43"/>
        <v>Weekday</v>
      </c>
    </row>
    <row r="682" spans="1:13" x14ac:dyDescent="0.35">
      <c r="A682" t="s">
        <v>697</v>
      </c>
      <c r="B682" t="s">
        <v>14</v>
      </c>
      <c r="C682" t="s">
        <v>11</v>
      </c>
      <c r="D682" s="1">
        <v>45378</v>
      </c>
      <c r="E682">
        <v>19.46</v>
      </c>
      <c r="F682">
        <v>3.37</v>
      </c>
      <c r="G682">
        <v>70</v>
      </c>
      <c r="H682" t="s">
        <v>18</v>
      </c>
      <c r="I682">
        <v>5.85</v>
      </c>
      <c r="J682" t="str">
        <f t="shared" si="40"/>
        <v>Mar</v>
      </c>
      <c r="K682">
        <f t="shared" si="41"/>
        <v>2024</v>
      </c>
      <c r="L682">
        <f t="shared" si="42"/>
        <v>113.84099999999999</v>
      </c>
      <c r="M682" t="str">
        <f t="shared" si="43"/>
        <v>Weekday</v>
      </c>
    </row>
    <row r="683" spans="1:13" x14ac:dyDescent="0.35">
      <c r="A683" t="s">
        <v>698</v>
      </c>
      <c r="B683" t="s">
        <v>14</v>
      </c>
      <c r="C683" t="s">
        <v>24</v>
      </c>
      <c r="D683" s="1">
        <v>45469</v>
      </c>
      <c r="E683">
        <v>15.21</v>
      </c>
      <c r="F683">
        <v>1.76</v>
      </c>
      <c r="G683">
        <v>43</v>
      </c>
      <c r="H683" t="s">
        <v>18</v>
      </c>
      <c r="I683">
        <v>7.1</v>
      </c>
      <c r="J683" t="str">
        <f t="shared" si="40"/>
        <v>Jun</v>
      </c>
      <c r="K683">
        <f t="shared" si="41"/>
        <v>2024</v>
      </c>
      <c r="L683">
        <f t="shared" si="42"/>
        <v>107.991</v>
      </c>
      <c r="M683" t="str">
        <f t="shared" si="43"/>
        <v>Weekday</v>
      </c>
    </row>
    <row r="684" spans="1:13" x14ac:dyDescent="0.35">
      <c r="A684" t="s">
        <v>699</v>
      </c>
      <c r="B684" t="s">
        <v>14</v>
      </c>
      <c r="C684" t="s">
        <v>15</v>
      </c>
      <c r="D684" s="1">
        <v>45546</v>
      </c>
      <c r="E684">
        <v>56.31</v>
      </c>
      <c r="F684">
        <v>7.22</v>
      </c>
      <c r="G684">
        <v>73</v>
      </c>
      <c r="H684" t="s">
        <v>12</v>
      </c>
      <c r="I684">
        <v>4.1100000000000003</v>
      </c>
      <c r="J684" t="str">
        <f t="shared" si="40"/>
        <v>Sep</v>
      </c>
      <c r="K684">
        <f t="shared" si="41"/>
        <v>2024</v>
      </c>
      <c r="L684">
        <f t="shared" si="42"/>
        <v>231.43410000000003</v>
      </c>
      <c r="M684" t="str">
        <f t="shared" si="43"/>
        <v>Weekday</v>
      </c>
    </row>
    <row r="685" spans="1:13" x14ac:dyDescent="0.35">
      <c r="A685" t="s">
        <v>700</v>
      </c>
      <c r="B685" t="s">
        <v>10</v>
      </c>
      <c r="C685" t="s">
        <v>15</v>
      </c>
      <c r="D685" s="1">
        <v>45513</v>
      </c>
      <c r="E685">
        <v>52.44</v>
      </c>
      <c r="F685">
        <v>4.67</v>
      </c>
      <c r="G685">
        <v>102</v>
      </c>
      <c r="H685" t="s">
        <v>18</v>
      </c>
      <c r="I685">
        <v>7.95</v>
      </c>
      <c r="J685" t="str">
        <f t="shared" si="40"/>
        <v>Aug</v>
      </c>
      <c r="K685">
        <f t="shared" si="41"/>
        <v>2024</v>
      </c>
      <c r="L685">
        <f t="shared" si="42"/>
        <v>416.89799999999997</v>
      </c>
      <c r="M685" t="str">
        <f t="shared" si="43"/>
        <v>Weekday</v>
      </c>
    </row>
    <row r="686" spans="1:13" x14ac:dyDescent="0.35">
      <c r="A686" t="s">
        <v>701</v>
      </c>
      <c r="B686" t="s">
        <v>14</v>
      </c>
      <c r="C686" t="s">
        <v>11</v>
      </c>
      <c r="D686" s="1">
        <v>45622</v>
      </c>
      <c r="E686">
        <v>83.85</v>
      </c>
      <c r="F686">
        <v>2.02</v>
      </c>
      <c r="G686">
        <v>43</v>
      </c>
      <c r="H686" t="s">
        <v>18</v>
      </c>
      <c r="I686">
        <v>5.38</v>
      </c>
      <c r="J686" t="str">
        <f t="shared" si="40"/>
        <v>Nov</v>
      </c>
      <c r="K686">
        <f t="shared" si="41"/>
        <v>2024</v>
      </c>
      <c r="L686">
        <f t="shared" si="42"/>
        <v>451.11299999999994</v>
      </c>
      <c r="M686" t="str">
        <f t="shared" si="43"/>
        <v>Weekday</v>
      </c>
    </row>
    <row r="687" spans="1:13" x14ac:dyDescent="0.35">
      <c r="A687" t="s">
        <v>702</v>
      </c>
      <c r="B687" t="s">
        <v>14</v>
      </c>
      <c r="C687" t="s">
        <v>24</v>
      </c>
      <c r="D687" s="1">
        <v>45543</v>
      </c>
      <c r="E687">
        <v>12.4</v>
      </c>
      <c r="F687">
        <v>6.41</v>
      </c>
      <c r="G687">
        <v>17</v>
      </c>
      <c r="H687" t="s">
        <v>18</v>
      </c>
      <c r="I687">
        <v>4.4400000000000004</v>
      </c>
      <c r="J687" t="str">
        <f t="shared" si="40"/>
        <v>Sep</v>
      </c>
      <c r="K687">
        <f t="shared" si="41"/>
        <v>2024</v>
      </c>
      <c r="L687">
        <f t="shared" si="42"/>
        <v>55.056000000000004</v>
      </c>
      <c r="M687" t="str">
        <f t="shared" si="43"/>
        <v>Weekend</v>
      </c>
    </row>
    <row r="688" spans="1:13" x14ac:dyDescent="0.35">
      <c r="A688" t="s">
        <v>703</v>
      </c>
      <c r="B688" t="s">
        <v>17</v>
      </c>
      <c r="C688" t="s">
        <v>11</v>
      </c>
      <c r="D688" s="1">
        <v>45536</v>
      </c>
      <c r="E688">
        <v>61.9</v>
      </c>
      <c r="F688">
        <v>6.99</v>
      </c>
      <c r="G688">
        <v>3</v>
      </c>
      <c r="H688" t="s">
        <v>12</v>
      </c>
      <c r="I688">
        <v>3.39</v>
      </c>
      <c r="J688" t="str">
        <f t="shared" si="40"/>
        <v>Sep</v>
      </c>
      <c r="K688">
        <f t="shared" si="41"/>
        <v>2024</v>
      </c>
      <c r="L688">
        <f t="shared" si="42"/>
        <v>209.84100000000001</v>
      </c>
      <c r="M688" t="str">
        <f t="shared" si="43"/>
        <v>Weekend</v>
      </c>
    </row>
    <row r="689" spans="1:13" x14ac:dyDescent="0.35">
      <c r="A689" t="s">
        <v>704</v>
      </c>
      <c r="B689" t="s">
        <v>17</v>
      </c>
      <c r="C689" t="s">
        <v>24</v>
      </c>
      <c r="D689" s="1">
        <v>45601</v>
      </c>
      <c r="E689">
        <v>99.59</v>
      </c>
      <c r="F689">
        <v>3.29</v>
      </c>
      <c r="G689">
        <v>72</v>
      </c>
      <c r="H689" t="s">
        <v>18</v>
      </c>
      <c r="I689">
        <v>7.38</v>
      </c>
      <c r="J689" t="str">
        <f t="shared" si="40"/>
        <v>Nov</v>
      </c>
      <c r="K689">
        <f t="shared" si="41"/>
        <v>2024</v>
      </c>
      <c r="L689">
        <f t="shared" si="42"/>
        <v>734.9742</v>
      </c>
      <c r="M689" t="str">
        <f t="shared" si="43"/>
        <v>Weekday</v>
      </c>
    </row>
    <row r="690" spans="1:13" x14ac:dyDescent="0.35">
      <c r="A690" t="s">
        <v>705</v>
      </c>
      <c r="B690" t="s">
        <v>10</v>
      </c>
      <c r="C690" t="s">
        <v>11</v>
      </c>
      <c r="D690" s="1">
        <v>45596</v>
      </c>
      <c r="E690">
        <v>18.8</v>
      </c>
      <c r="F690">
        <v>3</v>
      </c>
      <c r="G690">
        <v>51</v>
      </c>
      <c r="H690" t="s">
        <v>12</v>
      </c>
      <c r="I690">
        <v>8.69</v>
      </c>
      <c r="J690" t="str">
        <f t="shared" si="40"/>
        <v>Oct</v>
      </c>
      <c r="K690">
        <f t="shared" si="41"/>
        <v>2024</v>
      </c>
      <c r="L690">
        <f t="shared" si="42"/>
        <v>163.37199999999999</v>
      </c>
      <c r="M690" t="str">
        <f t="shared" si="43"/>
        <v>Weekday</v>
      </c>
    </row>
    <row r="691" spans="1:13" x14ac:dyDescent="0.35">
      <c r="A691" t="s">
        <v>706</v>
      </c>
      <c r="B691" t="s">
        <v>17</v>
      </c>
      <c r="C691" t="s">
        <v>15</v>
      </c>
      <c r="D691" s="1">
        <v>45490</v>
      </c>
      <c r="E691">
        <v>45.32</v>
      </c>
      <c r="F691">
        <v>9.69</v>
      </c>
      <c r="G691">
        <v>33</v>
      </c>
      <c r="H691" t="s">
        <v>12</v>
      </c>
      <c r="I691">
        <v>9.3000000000000007</v>
      </c>
      <c r="J691" t="str">
        <f t="shared" si="40"/>
        <v>Jul</v>
      </c>
      <c r="K691">
        <f t="shared" si="41"/>
        <v>2024</v>
      </c>
      <c r="L691">
        <f t="shared" si="42"/>
        <v>421.47600000000006</v>
      </c>
      <c r="M691" t="str">
        <f t="shared" si="43"/>
        <v>Weekday</v>
      </c>
    </row>
    <row r="692" spans="1:13" x14ac:dyDescent="0.35">
      <c r="A692" t="s">
        <v>707</v>
      </c>
      <c r="B692" t="s">
        <v>14</v>
      </c>
      <c r="C692" t="s">
        <v>24</v>
      </c>
      <c r="D692" s="1">
        <v>45639</v>
      </c>
      <c r="E692">
        <v>29.55</v>
      </c>
      <c r="F692">
        <v>5.6</v>
      </c>
      <c r="G692">
        <v>58</v>
      </c>
      <c r="H692" t="s">
        <v>12</v>
      </c>
      <c r="I692">
        <v>6.8</v>
      </c>
      <c r="J692" t="str">
        <f t="shared" si="40"/>
        <v>Dec</v>
      </c>
      <c r="K692">
        <f t="shared" si="41"/>
        <v>2024</v>
      </c>
      <c r="L692">
        <f t="shared" si="42"/>
        <v>200.94</v>
      </c>
      <c r="M692" t="str">
        <f t="shared" si="43"/>
        <v>Weekday</v>
      </c>
    </row>
    <row r="693" spans="1:13" x14ac:dyDescent="0.35">
      <c r="A693" t="s">
        <v>708</v>
      </c>
      <c r="B693" t="s">
        <v>14</v>
      </c>
      <c r="C693" t="s">
        <v>24</v>
      </c>
      <c r="D693" s="1">
        <v>45541</v>
      </c>
      <c r="E693">
        <v>20.38</v>
      </c>
      <c r="F693">
        <v>9.14</v>
      </c>
      <c r="G693">
        <v>39</v>
      </c>
      <c r="H693" t="s">
        <v>18</v>
      </c>
      <c r="I693">
        <v>5.43</v>
      </c>
      <c r="J693" t="str">
        <f t="shared" si="40"/>
        <v>Sep</v>
      </c>
      <c r="K693">
        <f t="shared" si="41"/>
        <v>2024</v>
      </c>
      <c r="L693">
        <f t="shared" si="42"/>
        <v>110.6634</v>
      </c>
      <c r="M693" t="str">
        <f t="shared" si="43"/>
        <v>Weekday</v>
      </c>
    </row>
    <row r="694" spans="1:13" x14ac:dyDescent="0.35">
      <c r="A694" t="s">
        <v>709</v>
      </c>
      <c r="B694" t="s">
        <v>17</v>
      </c>
      <c r="C694" t="s">
        <v>24</v>
      </c>
      <c r="D694" s="1">
        <v>45415</v>
      </c>
      <c r="E694">
        <v>82.61</v>
      </c>
      <c r="F694">
        <v>5.63</v>
      </c>
      <c r="G694">
        <v>25</v>
      </c>
      <c r="H694" t="s">
        <v>12</v>
      </c>
      <c r="I694">
        <v>5.32</v>
      </c>
      <c r="J694" t="str">
        <f t="shared" si="40"/>
        <v>May</v>
      </c>
      <c r="K694">
        <f t="shared" si="41"/>
        <v>2024</v>
      </c>
      <c r="L694">
        <f t="shared" si="42"/>
        <v>439.48520000000002</v>
      </c>
      <c r="M694" t="str">
        <f t="shared" si="43"/>
        <v>Weekday</v>
      </c>
    </row>
    <row r="695" spans="1:13" x14ac:dyDescent="0.35">
      <c r="A695" t="s">
        <v>710</v>
      </c>
      <c r="B695" t="s">
        <v>14</v>
      </c>
      <c r="C695" t="s">
        <v>15</v>
      </c>
      <c r="D695" s="1">
        <v>45578</v>
      </c>
      <c r="E695">
        <v>97.51</v>
      </c>
      <c r="F695">
        <v>8.6199999999999992</v>
      </c>
      <c r="G695">
        <v>3</v>
      </c>
      <c r="H695" t="s">
        <v>12</v>
      </c>
      <c r="I695">
        <v>7.18</v>
      </c>
      <c r="J695" t="str">
        <f t="shared" si="40"/>
        <v>Oct</v>
      </c>
      <c r="K695">
        <f t="shared" si="41"/>
        <v>2024</v>
      </c>
      <c r="L695">
        <f t="shared" si="42"/>
        <v>700.12180000000001</v>
      </c>
      <c r="M695" t="str">
        <f t="shared" si="43"/>
        <v>Weekend</v>
      </c>
    </row>
    <row r="696" spans="1:13" x14ac:dyDescent="0.35">
      <c r="A696" t="s">
        <v>711</v>
      </c>
      <c r="B696" t="s">
        <v>17</v>
      </c>
      <c r="C696" t="s">
        <v>15</v>
      </c>
      <c r="D696" s="1">
        <v>45643</v>
      </c>
      <c r="E696">
        <v>10.69</v>
      </c>
      <c r="F696">
        <v>1.78</v>
      </c>
      <c r="G696">
        <v>44</v>
      </c>
      <c r="H696" t="s">
        <v>18</v>
      </c>
      <c r="I696">
        <v>5.26</v>
      </c>
      <c r="J696" t="str">
        <f t="shared" si="40"/>
        <v>Dec</v>
      </c>
      <c r="K696">
        <f t="shared" si="41"/>
        <v>2024</v>
      </c>
      <c r="L696">
        <f t="shared" si="42"/>
        <v>56.229399999999998</v>
      </c>
      <c r="M696" t="str">
        <f t="shared" si="43"/>
        <v>Weekday</v>
      </c>
    </row>
    <row r="697" spans="1:13" x14ac:dyDescent="0.35">
      <c r="A697" t="s">
        <v>712</v>
      </c>
      <c r="B697" t="s">
        <v>10</v>
      </c>
      <c r="C697" t="s">
        <v>15</v>
      </c>
      <c r="D697" s="1">
        <v>45621</v>
      </c>
      <c r="E697">
        <v>74.510000000000005</v>
      </c>
      <c r="F697">
        <v>3.57</v>
      </c>
      <c r="G697">
        <v>13</v>
      </c>
      <c r="H697" t="s">
        <v>12</v>
      </c>
      <c r="I697">
        <v>9.89</v>
      </c>
      <c r="J697" t="str">
        <f t="shared" si="40"/>
        <v>Nov</v>
      </c>
      <c r="K697">
        <f t="shared" si="41"/>
        <v>2024</v>
      </c>
      <c r="L697">
        <f t="shared" si="42"/>
        <v>736.90390000000014</v>
      </c>
      <c r="M697" t="str">
        <f t="shared" si="43"/>
        <v>Weekday</v>
      </c>
    </row>
    <row r="698" spans="1:13" x14ac:dyDescent="0.35">
      <c r="A698" t="s">
        <v>713</v>
      </c>
      <c r="B698" t="s">
        <v>10</v>
      </c>
      <c r="C698" t="s">
        <v>11</v>
      </c>
      <c r="D698" s="1">
        <v>45428</v>
      </c>
      <c r="E698">
        <v>50.65</v>
      </c>
      <c r="F698">
        <v>9.33</v>
      </c>
      <c r="G698">
        <v>70</v>
      </c>
      <c r="H698" t="s">
        <v>18</v>
      </c>
      <c r="I698">
        <v>7.95</v>
      </c>
      <c r="J698" t="str">
        <f t="shared" si="40"/>
        <v>May</v>
      </c>
      <c r="K698">
        <f t="shared" si="41"/>
        <v>2024</v>
      </c>
      <c r="L698">
        <f t="shared" si="42"/>
        <v>402.66750000000002</v>
      </c>
      <c r="M698" t="str">
        <f t="shared" si="43"/>
        <v>Weekday</v>
      </c>
    </row>
    <row r="699" spans="1:13" x14ac:dyDescent="0.35">
      <c r="A699" t="s">
        <v>714</v>
      </c>
      <c r="B699" t="s">
        <v>17</v>
      </c>
      <c r="C699" t="s">
        <v>24</v>
      </c>
      <c r="D699" s="1">
        <v>45356</v>
      </c>
      <c r="E699">
        <v>18.68</v>
      </c>
      <c r="F699">
        <v>5.93</v>
      </c>
      <c r="G699">
        <v>80</v>
      </c>
      <c r="H699" t="s">
        <v>18</v>
      </c>
      <c r="I699">
        <v>6.63</v>
      </c>
      <c r="J699" t="str">
        <f t="shared" si="40"/>
        <v>Mar</v>
      </c>
      <c r="K699">
        <f t="shared" si="41"/>
        <v>2024</v>
      </c>
      <c r="L699">
        <f t="shared" si="42"/>
        <v>123.8484</v>
      </c>
      <c r="M699" t="str">
        <f t="shared" si="43"/>
        <v>Weekday</v>
      </c>
    </row>
    <row r="700" spans="1:13" x14ac:dyDescent="0.35">
      <c r="A700" t="s">
        <v>715</v>
      </c>
      <c r="B700" t="s">
        <v>17</v>
      </c>
      <c r="C700" t="s">
        <v>11</v>
      </c>
      <c r="D700" s="1">
        <v>45427</v>
      </c>
      <c r="E700">
        <v>23.6</v>
      </c>
      <c r="F700">
        <v>5.27</v>
      </c>
      <c r="G700">
        <v>69</v>
      </c>
      <c r="H700" t="s">
        <v>12</v>
      </c>
      <c r="I700">
        <v>8.0500000000000007</v>
      </c>
      <c r="J700" t="str">
        <f t="shared" si="40"/>
        <v>May</v>
      </c>
      <c r="K700">
        <f t="shared" si="41"/>
        <v>2024</v>
      </c>
      <c r="L700">
        <f t="shared" si="42"/>
        <v>189.98000000000002</v>
      </c>
      <c r="M700" t="str">
        <f t="shared" si="43"/>
        <v>Weekday</v>
      </c>
    </row>
    <row r="701" spans="1:13" x14ac:dyDescent="0.35">
      <c r="A701" t="s">
        <v>716</v>
      </c>
      <c r="B701" t="s">
        <v>14</v>
      </c>
      <c r="C701" t="s">
        <v>15</v>
      </c>
      <c r="D701" s="1">
        <v>45451</v>
      </c>
      <c r="E701">
        <v>46.26</v>
      </c>
      <c r="F701">
        <v>7.78</v>
      </c>
      <c r="G701">
        <v>1</v>
      </c>
      <c r="H701" t="s">
        <v>18</v>
      </c>
      <c r="I701">
        <v>6.44</v>
      </c>
      <c r="J701" t="str">
        <f t="shared" si="40"/>
        <v>Jun</v>
      </c>
      <c r="K701">
        <f t="shared" si="41"/>
        <v>2024</v>
      </c>
      <c r="L701">
        <f t="shared" si="42"/>
        <v>297.9144</v>
      </c>
      <c r="M701" t="str">
        <f t="shared" si="43"/>
        <v>Weekend</v>
      </c>
    </row>
    <row r="702" spans="1:13" x14ac:dyDescent="0.35">
      <c r="A702" t="s">
        <v>717</v>
      </c>
      <c r="B702" t="s">
        <v>14</v>
      </c>
      <c r="C702" t="s">
        <v>11</v>
      </c>
      <c r="D702" s="1">
        <v>45463</v>
      </c>
      <c r="E702">
        <v>42.12</v>
      </c>
      <c r="F702">
        <v>5.95</v>
      </c>
      <c r="G702">
        <v>53</v>
      </c>
      <c r="H702" t="s">
        <v>18</v>
      </c>
      <c r="I702">
        <v>3.33</v>
      </c>
      <c r="J702" t="str">
        <f t="shared" si="40"/>
        <v>Jun</v>
      </c>
      <c r="K702">
        <f t="shared" si="41"/>
        <v>2024</v>
      </c>
      <c r="L702">
        <f t="shared" si="42"/>
        <v>140.25960000000001</v>
      </c>
      <c r="M702" t="str">
        <f t="shared" si="43"/>
        <v>Weekday</v>
      </c>
    </row>
    <row r="703" spans="1:13" x14ac:dyDescent="0.35">
      <c r="A703" t="s">
        <v>718</v>
      </c>
      <c r="B703" t="s">
        <v>17</v>
      </c>
      <c r="C703" t="s">
        <v>11</v>
      </c>
      <c r="D703" s="1">
        <v>45382</v>
      </c>
      <c r="E703">
        <v>93.07</v>
      </c>
      <c r="F703">
        <v>9.52</v>
      </c>
      <c r="G703">
        <v>66</v>
      </c>
      <c r="H703" t="s">
        <v>12</v>
      </c>
      <c r="I703">
        <v>6.67</v>
      </c>
      <c r="J703" t="str">
        <f t="shared" si="40"/>
        <v>Mar</v>
      </c>
      <c r="K703">
        <f t="shared" si="41"/>
        <v>2024</v>
      </c>
      <c r="L703">
        <f t="shared" si="42"/>
        <v>620.77689999999996</v>
      </c>
      <c r="M703" t="str">
        <f t="shared" si="43"/>
        <v>Weekend</v>
      </c>
    </row>
    <row r="704" spans="1:13" x14ac:dyDescent="0.35">
      <c r="A704" t="s">
        <v>719</v>
      </c>
      <c r="B704" t="s">
        <v>10</v>
      </c>
      <c r="C704" t="s">
        <v>24</v>
      </c>
      <c r="D704" s="1">
        <v>45453</v>
      </c>
      <c r="E704">
        <v>46.79</v>
      </c>
      <c r="F704">
        <v>9.89</v>
      </c>
      <c r="G704">
        <v>106</v>
      </c>
      <c r="H704" t="s">
        <v>18</v>
      </c>
      <c r="I704">
        <v>8.73</v>
      </c>
      <c r="J704" t="str">
        <f t="shared" si="40"/>
        <v>Jun</v>
      </c>
      <c r="K704">
        <f t="shared" si="41"/>
        <v>2024</v>
      </c>
      <c r="L704">
        <f t="shared" si="42"/>
        <v>408.47669999999999</v>
      </c>
      <c r="M704" t="str">
        <f t="shared" si="43"/>
        <v>Weekday</v>
      </c>
    </row>
    <row r="705" spans="1:13" x14ac:dyDescent="0.35">
      <c r="A705" t="s">
        <v>720</v>
      </c>
      <c r="B705" t="s">
        <v>17</v>
      </c>
      <c r="C705" t="s">
        <v>24</v>
      </c>
      <c r="D705" s="1">
        <v>45505</v>
      </c>
      <c r="E705">
        <v>50.55</v>
      </c>
      <c r="F705">
        <v>3.59</v>
      </c>
      <c r="G705">
        <v>93</v>
      </c>
      <c r="H705" t="s">
        <v>18</v>
      </c>
      <c r="I705">
        <v>9.2799999999999994</v>
      </c>
      <c r="J705" t="str">
        <f t="shared" si="40"/>
        <v>Aug</v>
      </c>
      <c r="K705">
        <f t="shared" si="41"/>
        <v>2024</v>
      </c>
      <c r="L705">
        <f t="shared" si="42"/>
        <v>469.10399999999993</v>
      </c>
      <c r="M705" t="str">
        <f t="shared" si="43"/>
        <v>Weekday</v>
      </c>
    </row>
    <row r="706" spans="1:13" x14ac:dyDescent="0.35">
      <c r="A706" t="s">
        <v>721</v>
      </c>
      <c r="B706" t="s">
        <v>14</v>
      </c>
      <c r="C706" t="s">
        <v>15</v>
      </c>
      <c r="D706" s="1">
        <v>45516</v>
      </c>
      <c r="E706">
        <v>57</v>
      </c>
      <c r="F706">
        <v>6.77</v>
      </c>
      <c r="G706">
        <v>37</v>
      </c>
      <c r="H706" t="s">
        <v>18</v>
      </c>
      <c r="I706">
        <v>3.6</v>
      </c>
      <c r="J706" t="str">
        <f t="shared" si="40"/>
        <v>Aug</v>
      </c>
      <c r="K706">
        <f t="shared" si="41"/>
        <v>2024</v>
      </c>
      <c r="L706">
        <f t="shared" si="42"/>
        <v>205.20000000000002</v>
      </c>
      <c r="M706" t="str">
        <f t="shared" si="43"/>
        <v>Weekday</v>
      </c>
    </row>
    <row r="707" spans="1:13" x14ac:dyDescent="0.35">
      <c r="A707" t="s">
        <v>722</v>
      </c>
      <c r="B707" t="s">
        <v>14</v>
      </c>
      <c r="C707" t="s">
        <v>15</v>
      </c>
      <c r="D707" s="1">
        <v>45394</v>
      </c>
      <c r="E707">
        <v>80.430000000000007</v>
      </c>
      <c r="F707">
        <v>5.05</v>
      </c>
      <c r="G707">
        <v>24</v>
      </c>
      <c r="H707" t="s">
        <v>18</v>
      </c>
      <c r="I707">
        <v>3.46</v>
      </c>
      <c r="J707" t="str">
        <f t="shared" ref="J707:J770" si="44">TEXT(D707,"mmm")</f>
        <v>Apr</v>
      </c>
      <c r="K707">
        <f t="shared" ref="K707:K770" si="45">YEAR(D707)</f>
        <v>2024</v>
      </c>
      <c r="L707">
        <f t="shared" ref="L707:L770" si="46">E707*I707</f>
        <v>278.2878</v>
      </c>
      <c r="M707" t="str">
        <f t="shared" ref="M707:M770" si="47">IF(OR(WEEKDAY(D707)=1,WEEKDAY(D707)=7),"Weekend","Weekday")</f>
        <v>Weekday</v>
      </c>
    </row>
    <row r="708" spans="1:13" x14ac:dyDescent="0.35">
      <c r="A708" t="s">
        <v>723</v>
      </c>
      <c r="B708" t="s">
        <v>14</v>
      </c>
      <c r="C708" t="s">
        <v>24</v>
      </c>
      <c r="D708" s="1">
        <v>45342</v>
      </c>
      <c r="E708">
        <v>38.36</v>
      </c>
      <c r="F708">
        <v>4.41</v>
      </c>
      <c r="G708">
        <v>56</v>
      </c>
      <c r="H708" t="s">
        <v>18</v>
      </c>
      <c r="I708">
        <v>3.05</v>
      </c>
      <c r="J708" t="str">
        <f t="shared" si="44"/>
        <v>Feb</v>
      </c>
      <c r="K708">
        <f t="shared" si="45"/>
        <v>2024</v>
      </c>
      <c r="L708">
        <f t="shared" si="46"/>
        <v>116.99799999999999</v>
      </c>
      <c r="M708" t="str">
        <f t="shared" si="47"/>
        <v>Weekday</v>
      </c>
    </row>
    <row r="709" spans="1:13" x14ac:dyDescent="0.35">
      <c r="A709" t="s">
        <v>724</v>
      </c>
      <c r="B709" t="s">
        <v>14</v>
      </c>
      <c r="C709" t="s">
        <v>15</v>
      </c>
      <c r="D709" s="1">
        <v>45416</v>
      </c>
      <c r="E709">
        <v>16.079999999999998</v>
      </c>
      <c r="F709">
        <v>4.75</v>
      </c>
      <c r="G709">
        <v>22</v>
      </c>
      <c r="H709" t="s">
        <v>18</v>
      </c>
      <c r="I709">
        <v>4.96</v>
      </c>
      <c r="J709" t="str">
        <f t="shared" si="44"/>
        <v>May</v>
      </c>
      <c r="K709">
        <f t="shared" si="45"/>
        <v>2024</v>
      </c>
      <c r="L709">
        <f t="shared" si="46"/>
        <v>79.756799999999984</v>
      </c>
      <c r="M709" t="str">
        <f t="shared" si="47"/>
        <v>Weekend</v>
      </c>
    </row>
    <row r="710" spans="1:13" x14ac:dyDescent="0.35">
      <c r="A710" t="s">
        <v>725</v>
      </c>
      <c r="B710" t="s">
        <v>14</v>
      </c>
      <c r="C710" t="s">
        <v>11</v>
      </c>
      <c r="D710" s="1">
        <v>45576</v>
      </c>
      <c r="E710">
        <v>88.84</v>
      </c>
      <c r="F710">
        <v>6.42</v>
      </c>
      <c r="G710">
        <v>78</v>
      </c>
      <c r="H710" t="s">
        <v>12</v>
      </c>
      <c r="I710">
        <v>7.52</v>
      </c>
      <c r="J710" t="str">
        <f t="shared" si="44"/>
        <v>Oct</v>
      </c>
      <c r="K710">
        <f t="shared" si="45"/>
        <v>2024</v>
      </c>
      <c r="L710">
        <f t="shared" si="46"/>
        <v>668.07679999999993</v>
      </c>
      <c r="M710" t="str">
        <f t="shared" si="47"/>
        <v>Weekday</v>
      </c>
    </row>
    <row r="711" spans="1:13" x14ac:dyDescent="0.35">
      <c r="A711" t="s">
        <v>726</v>
      </c>
      <c r="B711" t="s">
        <v>14</v>
      </c>
      <c r="C711" t="s">
        <v>11</v>
      </c>
      <c r="D711" s="1">
        <v>45461</v>
      </c>
      <c r="E711">
        <v>98.76</v>
      </c>
      <c r="F711">
        <v>8.66</v>
      </c>
      <c r="G711">
        <v>77</v>
      </c>
      <c r="H711" t="s">
        <v>18</v>
      </c>
      <c r="I711">
        <v>3.18</v>
      </c>
      <c r="J711" t="str">
        <f t="shared" si="44"/>
        <v>Jun</v>
      </c>
      <c r="K711">
        <f t="shared" si="45"/>
        <v>2024</v>
      </c>
      <c r="L711">
        <f t="shared" si="46"/>
        <v>314.05680000000001</v>
      </c>
      <c r="M711" t="str">
        <f t="shared" si="47"/>
        <v>Weekday</v>
      </c>
    </row>
    <row r="712" spans="1:13" x14ac:dyDescent="0.35">
      <c r="A712" t="s">
        <v>727</v>
      </c>
      <c r="B712" t="s">
        <v>17</v>
      </c>
      <c r="C712" t="s">
        <v>24</v>
      </c>
      <c r="D712" s="1">
        <v>45503</v>
      </c>
      <c r="E712">
        <v>90.1</v>
      </c>
      <c r="F712">
        <v>5.31</v>
      </c>
      <c r="G712">
        <v>73</v>
      </c>
      <c r="H712" t="s">
        <v>12</v>
      </c>
      <c r="I712">
        <v>4.49</v>
      </c>
      <c r="J712" t="str">
        <f t="shared" si="44"/>
        <v>Jul</v>
      </c>
      <c r="K712">
        <f t="shared" si="45"/>
        <v>2024</v>
      </c>
      <c r="L712">
        <f t="shared" si="46"/>
        <v>404.54899999999998</v>
      </c>
      <c r="M712" t="str">
        <f t="shared" si="47"/>
        <v>Weekday</v>
      </c>
    </row>
    <row r="713" spans="1:13" x14ac:dyDescent="0.35">
      <c r="A713" t="s">
        <v>728</v>
      </c>
      <c r="B713" t="s">
        <v>10</v>
      </c>
      <c r="C713" t="s">
        <v>24</v>
      </c>
      <c r="D713" s="1">
        <v>45579</v>
      </c>
      <c r="E713">
        <v>47.37</v>
      </c>
      <c r="F713">
        <v>3.74</v>
      </c>
      <c r="G713">
        <v>110</v>
      </c>
      <c r="H713" t="s">
        <v>18</v>
      </c>
      <c r="I713">
        <v>8.26</v>
      </c>
      <c r="J713" t="str">
        <f t="shared" si="44"/>
        <v>Oct</v>
      </c>
      <c r="K713">
        <f t="shared" si="45"/>
        <v>2024</v>
      </c>
      <c r="L713">
        <f t="shared" si="46"/>
        <v>391.27619999999996</v>
      </c>
      <c r="M713" t="str">
        <f t="shared" si="47"/>
        <v>Weekday</v>
      </c>
    </row>
    <row r="714" spans="1:13" x14ac:dyDescent="0.35">
      <c r="A714" t="s">
        <v>729</v>
      </c>
      <c r="B714" t="s">
        <v>10</v>
      </c>
      <c r="C714" t="s">
        <v>15</v>
      </c>
      <c r="D714" s="1">
        <v>45517</v>
      </c>
      <c r="E714">
        <v>54.95</v>
      </c>
      <c r="F714">
        <v>9</v>
      </c>
      <c r="G714">
        <v>106</v>
      </c>
      <c r="H714" t="s">
        <v>18</v>
      </c>
      <c r="I714">
        <v>5.66</v>
      </c>
      <c r="J714" t="str">
        <f t="shared" si="44"/>
        <v>Aug</v>
      </c>
      <c r="K714">
        <f t="shared" si="45"/>
        <v>2024</v>
      </c>
      <c r="L714">
        <f t="shared" si="46"/>
        <v>311.017</v>
      </c>
      <c r="M714" t="str">
        <f t="shared" si="47"/>
        <v>Weekday</v>
      </c>
    </row>
    <row r="715" spans="1:13" x14ac:dyDescent="0.35">
      <c r="A715" t="s">
        <v>730</v>
      </c>
      <c r="B715" t="s">
        <v>17</v>
      </c>
      <c r="C715" t="s">
        <v>24</v>
      </c>
      <c r="D715" s="1">
        <v>45577</v>
      </c>
      <c r="E715">
        <v>62.76</v>
      </c>
      <c r="F715">
        <v>6.88</v>
      </c>
      <c r="G715">
        <v>2</v>
      </c>
      <c r="H715" t="s">
        <v>18</v>
      </c>
      <c r="I715">
        <v>8.8000000000000007</v>
      </c>
      <c r="J715" t="str">
        <f t="shared" si="44"/>
        <v>Oct</v>
      </c>
      <c r="K715">
        <f t="shared" si="45"/>
        <v>2024</v>
      </c>
      <c r="L715">
        <f t="shared" si="46"/>
        <v>552.28800000000001</v>
      </c>
      <c r="M715" t="str">
        <f t="shared" si="47"/>
        <v>Weekend</v>
      </c>
    </row>
    <row r="716" spans="1:13" x14ac:dyDescent="0.35">
      <c r="A716" t="s">
        <v>731</v>
      </c>
      <c r="B716" t="s">
        <v>14</v>
      </c>
      <c r="C716" t="s">
        <v>24</v>
      </c>
      <c r="D716" s="1">
        <v>45417</v>
      </c>
      <c r="E716">
        <v>11.46</v>
      </c>
      <c r="F716">
        <v>1.05</v>
      </c>
      <c r="G716">
        <v>83</v>
      </c>
      <c r="H716" t="s">
        <v>12</v>
      </c>
      <c r="I716">
        <v>8.64</v>
      </c>
      <c r="J716" t="str">
        <f t="shared" si="44"/>
        <v>May</v>
      </c>
      <c r="K716">
        <f t="shared" si="45"/>
        <v>2024</v>
      </c>
      <c r="L716">
        <f t="shared" si="46"/>
        <v>99.014400000000009</v>
      </c>
      <c r="M716" t="str">
        <f t="shared" si="47"/>
        <v>Weekend</v>
      </c>
    </row>
    <row r="717" spans="1:13" x14ac:dyDescent="0.35">
      <c r="A717" t="s">
        <v>732</v>
      </c>
      <c r="B717" t="s">
        <v>17</v>
      </c>
      <c r="C717" t="s">
        <v>15</v>
      </c>
      <c r="D717" s="1">
        <v>45565</v>
      </c>
      <c r="E717">
        <v>95.36</v>
      </c>
      <c r="F717">
        <v>7.67</v>
      </c>
      <c r="G717">
        <v>36</v>
      </c>
      <c r="H717" t="s">
        <v>18</v>
      </c>
      <c r="I717">
        <v>9.67</v>
      </c>
      <c r="J717" t="str">
        <f t="shared" si="44"/>
        <v>Sep</v>
      </c>
      <c r="K717">
        <f t="shared" si="45"/>
        <v>2024</v>
      </c>
      <c r="L717">
        <f t="shared" si="46"/>
        <v>922.13120000000004</v>
      </c>
      <c r="M717" t="str">
        <f t="shared" si="47"/>
        <v>Weekday</v>
      </c>
    </row>
    <row r="718" spans="1:13" x14ac:dyDescent="0.35">
      <c r="A718" t="s">
        <v>733</v>
      </c>
      <c r="B718" t="s">
        <v>17</v>
      </c>
      <c r="C718" t="s">
        <v>11</v>
      </c>
      <c r="D718" s="1">
        <v>45528</v>
      </c>
      <c r="E718">
        <v>10.36</v>
      </c>
      <c r="F718">
        <v>1.08</v>
      </c>
      <c r="G718">
        <v>94</v>
      </c>
      <c r="H718" t="s">
        <v>18</v>
      </c>
      <c r="I718">
        <v>8.1300000000000008</v>
      </c>
      <c r="J718" t="str">
        <f t="shared" si="44"/>
        <v>Aug</v>
      </c>
      <c r="K718">
        <f t="shared" si="45"/>
        <v>2024</v>
      </c>
      <c r="L718">
        <f t="shared" si="46"/>
        <v>84.226799999999997</v>
      </c>
      <c r="M718" t="str">
        <f t="shared" si="47"/>
        <v>Weekend</v>
      </c>
    </row>
    <row r="719" spans="1:13" x14ac:dyDescent="0.35">
      <c r="A719" t="s">
        <v>734</v>
      </c>
      <c r="B719" t="s">
        <v>10</v>
      </c>
      <c r="C719" t="s">
        <v>11</v>
      </c>
      <c r="D719" s="1">
        <v>45600</v>
      </c>
      <c r="E719">
        <v>61.98</v>
      </c>
      <c r="F719">
        <v>3.68</v>
      </c>
      <c r="G719">
        <v>68</v>
      </c>
      <c r="H719" t="s">
        <v>12</v>
      </c>
      <c r="I719">
        <v>8.5500000000000007</v>
      </c>
      <c r="J719" t="str">
        <f t="shared" si="44"/>
        <v>Nov</v>
      </c>
      <c r="K719">
        <f t="shared" si="45"/>
        <v>2024</v>
      </c>
      <c r="L719">
        <f t="shared" si="46"/>
        <v>529.92899999999997</v>
      </c>
      <c r="M719" t="str">
        <f t="shared" si="47"/>
        <v>Weekday</v>
      </c>
    </row>
    <row r="720" spans="1:13" x14ac:dyDescent="0.35">
      <c r="A720" t="s">
        <v>735</v>
      </c>
      <c r="B720" t="s">
        <v>14</v>
      </c>
      <c r="C720" t="s">
        <v>15</v>
      </c>
      <c r="D720" s="1">
        <v>45307</v>
      </c>
      <c r="E720">
        <v>39.31</v>
      </c>
      <c r="F720">
        <v>3.56</v>
      </c>
      <c r="G720">
        <v>81</v>
      </c>
      <c r="H720" t="s">
        <v>12</v>
      </c>
      <c r="I720">
        <v>8.57</v>
      </c>
      <c r="J720" t="str">
        <f t="shared" si="44"/>
        <v>Jan</v>
      </c>
      <c r="K720">
        <f t="shared" si="45"/>
        <v>2024</v>
      </c>
      <c r="L720">
        <f t="shared" si="46"/>
        <v>336.88670000000002</v>
      </c>
      <c r="M720" t="str">
        <f t="shared" si="47"/>
        <v>Weekday</v>
      </c>
    </row>
    <row r="721" spans="1:13" x14ac:dyDescent="0.35">
      <c r="A721" t="s">
        <v>736</v>
      </c>
      <c r="B721" t="s">
        <v>17</v>
      </c>
      <c r="C721" t="s">
        <v>24</v>
      </c>
      <c r="D721" s="1">
        <v>45570</v>
      </c>
      <c r="E721">
        <v>49.37</v>
      </c>
      <c r="F721">
        <v>4.5199999999999996</v>
      </c>
      <c r="G721">
        <v>64</v>
      </c>
      <c r="H721" t="s">
        <v>18</v>
      </c>
      <c r="I721">
        <v>5.33</v>
      </c>
      <c r="J721" t="str">
        <f t="shared" si="44"/>
        <v>Oct</v>
      </c>
      <c r="K721">
        <f t="shared" si="45"/>
        <v>2024</v>
      </c>
      <c r="L721">
        <f t="shared" si="46"/>
        <v>263.14209999999997</v>
      </c>
      <c r="M721" t="str">
        <f t="shared" si="47"/>
        <v>Weekend</v>
      </c>
    </row>
    <row r="722" spans="1:13" x14ac:dyDescent="0.35">
      <c r="A722" t="s">
        <v>737</v>
      </c>
      <c r="B722" t="s">
        <v>17</v>
      </c>
      <c r="C722" t="s">
        <v>11</v>
      </c>
      <c r="D722" s="1">
        <v>45310</v>
      </c>
      <c r="E722">
        <v>87.89</v>
      </c>
      <c r="F722">
        <v>7.76</v>
      </c>
      <c r="G722">
        <v>116</v>
      </c>
      <c r="H722" t="s">
        <v>12</v>
      </c>
      <c r="I722">
        <v>9.3800000000000008</v>
      </c>
      <c r="J722" t="str">
        <f t="shared" si="44"/>
        <v>Jan</v>
      </c>
      <c r="K722">
        <f t="shared" si="45"/>
        <v>2024</v>
      </c>
      <c r="L722">
        <f t="shared" si="46"/>
        <v>824.40820000000008</v>
      </c>
      <c r="M722" t="str">
        <f t="shared" si="47"/>
        <v>Weekday</v>
      </c>
    </row>
    <row r="723" spans="1:13" x14ac:dyDescent="0.35">
      <c r="A723" t="s">
        <v>738</v>
      </c>
      <c r="B723" t="s">
        <v>10</v>
      </c>
      <c r="C723" t="s">
        <v>11</v>
      </c>
      <c r="D723" s="1">
        <v>45585</v>
      </c>
      <c r="E723">
        <v>51.29</v>
      </c>
      <c r="F723">
        <v>2.4300000000000002</v>
      </c>
      <c r="G723">
        <v>19</v>
      </c>
      <c r="H723" t="s">
        <v>12</v>
      </c>
      <c r="I723">
        <v>6.38</v>
      </c>
      <c r="J723" t="str">
        <f t="shared" si="44"/>
        <v>Oct</v>
      </c>
      <c r="K723">
        <f t="shared" si="45"/>
        <v>2024</v>
      </c>
      <c r="L723">
        <f t="shared" si="46"/>
        <v>327.23019999999997</v>
      </c>
      <c r="M723" t="str">
        <f t="shared" si="47"/>
        <v>Weekend</v>
      </c>
    </row>
    <row r="724" spans="1:13" x14ac:dyDescent="0.35">
      <c r="A724" t="s">
        <v>739</v>
      </c>
      <c r="B724" t="s">
        <v>17</v>
      </c>
      <c r="C724" t="s">
        <v>24</v>
      </c>
      <c r="D724" s="1">
        <v>45407</v>
      </c>
      <c r="E724">
        <v>63.46</v>
      </c>
      <c r="F724">
        <v>6.97</v>
      </c>
      <c r="G724">
        <v>87</v>
      </c>
      <c r="H724" t="s">
        <v>18</v>
      </c>
      <c r="I724">
        <v>7.46</v>
      </c>
      <c r="J724" t="str">
        <f t="shared" si="44"/>
        <v>Apr</v>
      </c>
      <c r="K724">
        <f t="shared" si="45"/>
        <v>2024</v>
      </c>
      <c r="L724">
        <f t="shared" si="46"/>
        <v>473.41160000000002</v>
      </c>
      <c r="M724" t="str">
        <f t="shared" si="47"/>
        <v>Weekday</v>
      </c>
    </row>
    <row r="725" spans="1:13" x14ac:dyDescent="0.35">
      <c r="A725" t="s">
        <v>740</v>
      </c>
      <c r="B725" t="s">
        <v>17</v>
      </c>
      <c r="C725" t="s">
        <v>15</v>
      </c>
      <c r="D725" s="1">
        <v>45360</v>
      </c>
      <c r="E725">
        <v>36.29</v>
      </c>
      <c r="F725">
        <v>8.07</v>
      </c>
      <c r="G725">
        <v>57</v>
      </c>
      <c r="H725" t="s">
        <v>18</v>
      </c>
      <c r="I725">
        <v>7.43</v>
      </c>
      <c r="J725" t="str">
        <f t="shared" si="44"/>
        <v>Mar</v>
      </c>
      <c r="K725">
        <f t="shared" si="45"/>
        <v>2024</v>
      </c>
      <c r="L725">
        <f t="shared" si="46"/>
        <v>269.63470000000001</v>
      </c>
      <c r="M725" t="str">
        <f t="shared" si="47"/>
        <v>Weekend</v>
      </c>
    </row>
    <row r="726" spans="1:13" x14ac:dyDescent="0.35">
      <c r="A726" t="s">
        <v>741</v>
      </c>
      <c r="B726" t="s">
        <v>10</v>
      </c>
      <c r="C726" t="s">
        <v>24</v>
      </c>
      <c r="D726" s="1">
        <v>45594</v>
      </c>
      <c r="E726">
        <v>48.45</v>
      </c>
      <c r="F726">
        <v>1.07</v>
      </c>
      <c r="G726">
        <v>10</v>
      </c>
      <c r="H726" t="s">
        <v>12</v>
      </c>
      <c r="I726">
        <v>9.84</v>
      </c>
      <c r="J726" t="str">
        <f t="shared" si="44"/>
        <v>Oct</v>
      </c>
      <c r="K726">
        <f t="shared" si="45"/>
        <v>2024</v>
      </c>
      <c r="L726">
        <f t="shared" si="46"/>
        <v>476.74800000000005</v>
      </c>
      <c r="M726" t="str">
        <f t="shared" si="47"/>
        <v>Weekday</v>
      </c>
    </row>
    <row r="727" spans="1:13" x14ac:dyDescent="0.35">
      <c r="A727" t="s">
        <v>742</v>
      </c>
      <c r="B727" t="s">
        <v>17</v>
      </c>
      <c r="C727" t="s">
        <v>15</v>
      </c>
      <c r="D727" s="1">
        <v>45614</v>
      </c>
      <c r="E727">
        <v>44.32</v>
      </c>
      <c r="F727">
        <v>1.6</v>
      </c>
      <c r="G727">
        <v>49</v>
      </c>
      <c r="H727" t="s">
        <v>12</v>
      </c>
      <c r="I727">
        <v>8.39</v>
      </c>
      <c r="J727" t="str">
        <f t="shared" si="44"/>
        <v>Nov</v>
      </c>
      <c r="K727">
        <f t="shared" si="45"/>
        <v>2024</v>
      </c>
      <c r="L727">
        <f t="shared" si="46"/>
        <v>371.84480000000002</v>
      </c>
      <c r="M727" t="str">
        <f t="shared" si="47"/>
        <v>Weekday</v>
      </c>
    </row>
    <row r="728" spans="1:13" x14ac:dyDescent="0.35">
      <c r="A728" t="s">
        <v>743</v>
      </c>
      <c r="B728" t="s">
        <v>17</v>
      </c>
      <c r="C728" t="s">
        <v>24</v>
      </c>
      <c r="D728" s="1">
        <v>45481</v>
      </c>
      <c r="E728">
        <v>20.36</v>
      </c>
      <c r="F728">
        <v>6.31</v>
      </c>
      <c r="G728">
        <v>25</v>
      </c>
      <c r="H728" t="s">
        <v>18</v>
      </c>
      <c r="I728">
        <v>7.04</v>
      </c>
      <c r="J728" t="str">
        <f t="shared" si="44"/>
        <v>Jul</v>
      </c>
      <c r="K728">
        <f t="shared" si="45"/>
        <v>2024</v>
      </c>
      <c r="L728">
        <f t="shared" si="46"/>
        <v>143.33439999999999</v>
      </c>
      <c r="M728" t="str">
        <f t="shared" si="47"/>
        <v>Weekday</v>
      </c>
    </row>
    <row r="729" spans="1:13" x14ac:dyDescent="0.35">
      <c r="A729" t="s">
        <v>744</v>
      </c>
      <c r="B729" t="s">
        <v>10</v>
      </c>
      <c r="C729" t="s">
        <v>11</v>
      </c>
      <c r="D729" s="1">
        <v>45461</v>
      </c>
      <c r="E729">
        <v>77.03</v>
      </c>
      <c r="F729">
        <v>5.82</v>
      </c>
      <c r="G729">
        <v>13</v>
      </c>
      <c r="H729" t="s">
        <v>18</v>
      </c>
      <c r="I729">
        <v>8.4</v>
      </c>
      <c r="J729" t="str">
        <f t="shared" si="44"/>
        <v>Jun</v>
      </c>
      <c r="K729">
        <f t="shared" si="45"/>
        <v>2024</v>
      </c>
      <c r="L729">
        <f t="shared" si="46"/>
        <v>647.05200000000002</v>
      </c>
      <c r="M729" t="str">
        <f t="shared" si="47"/>
        <v>Weekday</v>
      </c>
    </row>
    <row r="730" spans="1:13" x14ac:dyDescent="0.35">
      <c r="A730" t="s">
        <v>745</v>
      </c>
      <c r="B730" t="s">
        <v>10</v>
      </c>
      <c r="C730" t="s">
        <v>15</v>
      </c>
      <c r="D730" s="1">
        <v>45482</v>
      </c>
      <c r="E730">
        <v>62.98</v>
      </c>
      <c r="F730">
        <v>6.35</v>
      </c>
      <c r="G730">
        <v>31</v>
      </c>
      <c r="H730" t="s">
        <v>12</v>
      </c>
      <c r="I730">
        <v>5.14</v>
      </c>
      <c r="J730" t="str">
        <f t="shared" si="44"/>
        <v>Jul</v>
      </c>
      <c r="K730">
        <f t="shared" si="45"/>
        <v>2024</v>
      </c>
      <c r="L730">
        <f t="shared" si="46"/>
        <v>323.71719999999999</v>
      </c>
      <c r="M730" t="str">
        <f t="shared" si="47"/>
        <v>Weekday</v>
      </c>
    </row>
    <row r="731" spans="1:13" x14ac:dyDescent="0.35">
      <c r="A731" t="s">
        <v>746</v>
      </c>
      <c r="B731" t="s">
        <v>14</v>
      </c>
      <c r="C731" t="s">
        <v>24</v>
      </c>
      <c r="D731" s="1">
        <v>45444</v>
      </c>
      <c r="E731">
        <v>5.15</v>
      </c>
      <c r="F731">
        <v>2.6</v>
      </c>
      <c r="G731">
        <v>96</v>
      </c>
      <c r="H731" t="s">
        <v>12</v>
      </c>
      <c r="I731">
        <v>6.2</v>
      </c>
      <c r="J731" t="str">
        <f t="shared" si="44"/>
        <v>Jun</v>
      </c>
      <c r="K731">
        <f t="shared" si="45"/>
        <v>2024</v>
      </c>
      <c r="L731">
        <f t="shared" si="46"/>
        <v>31.930000000000003</v>
      </c>
      <c r="M731" t="str">
        <f t="shared" si="47"/>
        <v>Weekend</v>
      </c>
    </row>
    <row r="732" spans="1:13" x14ac:dyDescent="0.35">
      <c r="A732" t="s">
        <v>747</v>
      </c>
      <c r="B732" t="s">
        <v>14</v>
      </c>
      <c r="C732" t="s">
        <v>24</v>
      </c>
      <c r="D732" s="1">
        <v>45361</v>
      </c>
      <c r="E732">
        <v>14.27</v>
      </c>
      <c r="F732">
        <v>8.32</v>
      </c>
      <c r="G732">
        <v>56</v>
      </c>
      <c r="H732" t="s">
        <v>18</v>
      </c>
      <c r="I732">
        <v>3.17</v>
      </c>
      <c r="J732" t="str">
        <f t="shared" si="44"/>
        <v>Mar</v>
      </c>
      <c r="K732">
        <f t="shared" si="45"/>
        <v>2024</v>
      </c>
      <c r="L732">
        <f t="shared" si="46"/>
        <v>45.235900000000001</v>
      </c>
      <c r="M732" t="str">
        <f t="shared" si="47"/>
        <v>Weekend</v>
      </c>
    </row>
    <row r="733" spans="1:13" x14ac:dyDescent="0.35">
      <c r="A733" t="s">
        <v>748</v>
      </c>
      <c r="B733" t="s">
        <v>17</v>
      </c>
      <c r="C733" t="s">
        <v>11</v>
      </c>
      <c r="D733" s="1">
        <v>45316</v>
      </c>
      <c r="E733">
        <v>52.17</v>
      </c>
      <c r="F733">
        <v>9.6</v>
      </c>
      <c r="G733">
        <v>18</v>
      </c>
      <c r="H733" t="s">
        <v>18</v>
      </c>
      <c r="I733">
        <v>4.38</v>
      </c>
      <c r="J733" t="str">
        <f t="shared" si="44"/>
        <v>Jan</v>
      </c>
      <c r="K733">
        <f t="shared" si="45"/>
        <v>2024</v>
      </c>
      <c r="L733">
        <f t="shared" si="46"/>
        <v>228.50460000000001</v>
      </c>
      <c r="M733" t="str">
        <f t="shared" si="47"/>
        <v>Weekday</v>
      </c>
    </row>
    <row r="734" spans="1:13" x14ac:dyDescent="0.35">
      <c r="A734" t="s">
        <v>749</v>
      </c>
      <c r="B734" t="s">
        <v>10</v>
      </c>
      <c r="C734" t="s">
        <v>11</v>
      </c>
      <c r="D734" s="1">
        <v>45653</v>
      </c>
      <c r="E734">
        <v>69.48</v>
      </c>
      <c r="F734">
        <v>2.15</v>
      </c>
      <c r="G734">
        <v>64</v>
      </c>
      <c r="H734" t="s">
        <v>18</v>
      </c>
      <c r="I734">
        <v>3.89</v>
      </c>
      <c r="J734" t="str">
        <f t="shared" si="44"/>
        <v>Dec</v>
      </c>
      <c r="K734">
        <f t="shared" si="45"/>
        <v>2024</v>
      </c>
      <c r="L734">
        <f t="shared" si="46"/>
        <v>270.27720000000005</v>
      </c>
      <c r="M734" t="str">
        <f t="shared" si="47"/>
        <v>Weekday</v>
      </c>
    </row>
    <row r="735" spans="1:13" x14ac:dyDescent="0.35">
      <c r="A735" t="s">
        <v>750</v>
      </c>
      <c r="B735" t="s">
        <v>17</v>
      </c>
      <c r="C735" t="s">
        <v>11</v>
      </c>
      <c r="D735" s="1">
        <v>45391</v>
      </c>
      <c r="E735">
        <v>84.24</v>
      </c>
      <c r="F735">
        <v>4.58</v>
      </c>
      <c r="G735">
        <v>94</v>
      </c>
      <c r="H735" t="s">
        <v>18</v>
      </c>
      <c r="I735">
        <v>7.56</v>
      </c>
      <c r="J735" t="str">
        <f t="shared" si="44"/>
        <v>Apr</v>
      </c>
      <c r="K735">
        <f t="shared" si="45"/>
        <v>2024</v>
      </c>
      <c r="L735">
        <f t="shared" si="46"/>
        <v>636.85439999999994</v>
      </c>
      <c r="M735" t="str">
        <f t="shared" si="47"/>
        <v>Weekday</v>
      </c>
    </row>
    <row r="736" spans="1:13" x14ac:dyDescent="0.35">
      <c r="A736" t="s">
        <v>751</v>
      </c>
      <c r="B736" t="s">
        <v>17</v>
      </c>
      <c r="C736" t="s">
        <v>11</v>
      </c>
      <c r="D736" s="1">
        <v>45344</v>
      </c>
      <c r="E736">
        <v>73.94</v>
      </c>
      <c r="F736">
        <v>3.02</v>
      </c>
      <c r="G736">
        <v>10</v>
      </c>
      <c r="H736" t="s">
        <v>12</v>
      </c>
      <c r="I736">
        <v>5.46</v>
      </c>
      <c r="J736" t="str">
        <f t="shared" si="44"/>
        <v>Feb</v>
      </c>
      <c r="K736">
        <f t="shared" si="45"/>
        <v>2024</v>
      </c>
      <c r="L736">
        <f t="shared" si="46"/>
        <v>403.7124</v>
      </c>
      <c r="M736" t="str">
        <f t="shared" si="47"/>
        <v>Weekday</v>
      </c>
    </row>
    <row r="737" spans="1:13" x14ac:dyDescent="0.35">
      <c r="A737" t="s">
        <v>752</v>
      </c>
      <c r="B737" t="s">
        <v>17</v>
      </c>
      <c r="C737" t="s">
        <v>15</v>
      </c>
      <c r="D737" s="1">
        <v>45649</v>
      </c>
      <c r="E737">
        <v>38.78</v>
      </c>
      <c r="F737">
        <v>4.59</v>
      </c>
      <c r="G737">
        <v>107</v>
      </c>
      <c r="H737" t="s">
        <v>12</v>
      </c>
      <c r="I737">
        <v>7.95</v>
      </c>
      <c r="J737" t="str">
        <f t="shared" si="44"/>
        <v>Dec</v>
      </c>
      <c r="K737">
        <f t="shared" si="45"/>
        <v>2024</v>
      </c>
      <c r="L737">
        <f t="shared" si="46"/>
        <v>308.30099999999999</v>
      </c>
      <c r="M737" t="str">
        <f t="shared" si="47"/>
        <v>Weekday</v>
      </c>
    </row>
    <row r="738" spans="1:13" x14ac:dyDescent="0.35">
      <c r="A738" t="s">
        <v>753</v>
      </c>
      <c r="B738" t="s">
        <v>14</v>
      </c>
      <c r="C738" t="s">
        <v>15</v>
      </c>
      <c r="D738" s="1">
        <v>45305</v>
      </c>
      <c r="E738">
        <v>29.81</v>
      </c>
      <c r="F738">
        <v>6.96</v>
      </c>
      <c r="G738">
        <v>24</v>
      </c>
      <c r="H738" t="s">
        <v>18</v>
      </c>
      <c r="I738">
        <v>9</v>
      </c>
      <c r="J738" t="str">
        <f t="shared" si="44"/>
        <v>Jan</v>
      </c>
      <c r="K738">
        <f t="shared" si="45"/>
        <v>2024</v>
      </c>
      <c r="L738">
        <f t="shared" si="46"/>
        <v>268.28999999999996</v>
      </c>
      <c r="M738" t="str">
        <f t="shared" si="47"/>
        <v>Weekend</v>
      </c>
    </row>
    <row r="739" spans="1:13" x14ac:dyDescent="0.35">
      <c r="A739" t="s">
        <v>754</v>
      </c>
      <c r="B739" t="s">
        <v>14</v>
      </c>
      <c r="C739" t="s">
        <v>15</v>
      </c>
      <c r="D739" s="1">
        <v>45573</v>
      </c>
      <c r="E739">
        <v>90.77</v>
      </c>
      <c r="F739">
        <v>3.2</v>
      </c>
      <c r="G739">
        <v>55</v>
      </c>
      <c r="H739" t="s">
        <v>12</v>
      </c>
      <c r="I739">
        <v>4.45</v>
      </c>
      <c r="J739" t="str">
        <f t="shared" si="44"/>
        <v>Oct</v>
      </c>
      <c r="K739">
        <f t="shared" si="45"/>
        <v>2024</v>
      </c>
      <c r="L739">
        <f t="shared" si="46"/>
        <v>403.92649999999998</v>
      </c>
      <c r="M739" t="str">
        <f t="shared" si="47"/>
        <v>Weekday</v>
      </c>
    </row>
    <row r="740" spans="1:13" x14ac:dyDescent="0.35">
      <c r="A740" t="s">
        <v>755</v>
      </c>
      <c r="B740" t="s">
        <v>17</v>
      </c>
      <c r="C740" t="s">
        <v>24</v>
      </c>
      <c r="D740" s="1">
        <v>45502</v>
      </c>
      <c r="E740">
        <v>59.92</v>
      </c>
      <c r="F740">
        <v>4.0199999999999996</v>
      </c>
      <c r="G740">
        <v>10</v>
      </c>
      <c r="H740" t="s">
        <v>12</v>
      </c>
      <c r="I740">
        <v>4.8600000000000003</v>
      </c>
      <c r="J740" t="str">
        <f t="shared" si="44"/>
        <v>Jul</v>
      </c>
      <c r="K740">
        <f t="shared" si="45"/>
        <v>2024</v>
      </c>
      <c r="L740">
        <f t="shared" si="46"/>
        <v>291.21120000000002</v>
      </c>
      <c r="M740" t="str">
        <f t="shared" si="47"/>
        <v>Weekday</v>
      </c>
    </row>
    <row r="741" spans="1:13" x14ac:dyDescent="0.35">
      <c r="A741" t="s">
        <v>756</v>
      </c>
      <c r="B741" t="s">
        <v>10</v>
      </c>
      <c r="C741" t="s">
        <v>11</v>
      </c>
      <c r="D741" s="1">
        <v>45604</v>
      </c>
      <c r="E741">
        <v>92.69</v>
      </c>
      <c r="F741">
        <v>4.4400000000000004</v>
      </c>
      <c r="G741">
        <v>61</v>
      </c>
      <c r="H741" t="s">
        <v>18</v>
      </c>
      <c r="I741">
        <v>7.22</v>
      </c>
      <c r="J741" t="str">
        <f t="shared" si="44"/>
        <v>Nov</v>
      </c>
      <c r="K741">
        <f t="shared" si="45"/>
        <v>2024</v>
      </c>
      <c r="L741">
        <f t="shared" si="46"/>
        <v>669.22179999999992</v>
      </c>
      <c r="M741" t="str">
        <f t="shared" si="47"/>
        <v>Weekday</v>
      </c>
    </row>
    <row r="742" spans="1:13" x14ac:dyDescent="0.35">
      <c r="A742" t="s">
        <v>757</v>
      </c>
      <c r="B742" t="s">
        <v>17</v>
      </c>
      <c r="C742" t="s">
        <v>11</v>
      </c>
      <c r="D742" s="1">
        <v>45555</v>
      </c>
      <c r="E742">
        <v>34.14</v>
      </c>
      <c r="F742">
        <v>5.41</v>
      </c>
      <c r="G742">
        <v>22</v>
      </c>
      <c r="H742" t="s">
        <v>18</v>
      </c>
      <c r="I742">
        <v>6.31</v>
      </c>
      <c r="J742" t="str">
        <f t="shared" si="44"/>
        <v>Sep</v>
      </c>
      <c r="K742">
        <f t="shared" si="45"/>
        <v>2024</v>
      </c>
      <c r="L742">
        <f t="shared" si="46"/>
        <v>215.42339999999999</v>
      </c>
      <c r="M742" t="str">
        <f t="shared" si="47"/>
        <v>Weekday</v>
      </c>
    </row>
    <row r="743" spans="1:13" x14ac:dyDescent="0.35">
      <c r="A743" t="s">
        <v>758</v>
      </c>
      <c r="B743" t="s">
        <v>14</v>
      </c>
      <c r="C743" t="s">
        <v>11</v>
      </c>
      <c r="D743" s="1">
        <v>45413</v>
      </c>
      <c r="E743">
        <v>86.51</v>
      </c>
      <c r="F743">
        <v>9.4499999999999993</v>
      </c>
      <c r="G743">
        <v>60</v>
      </c>
      <c r="H743" t="s">
        <v>18</v>
      </c>
      <c r="I743">
        <v>8.6999999999999993</v>
      </c>
      <c r="J743" t="str">
        <f t="shared" si="44"/>
        <v>May</v>
      </c>
      <c r="K743">
        <f t="shared" si="45"/>
        <v>2024</v>
      </c>
      <c r="L743">
        <f t="shared" si="46"/>
        <v>752.63699999999994</v>
      </c>
      <c r="M743" t="str">
        <f t="shared" si="47"/>
        <v>Weekday</v>
      </c>
    </row>
    <row r="744" spans="1:13" x14ac:dyDescent="0.35">
      <c r="A744" t="s">
        <v>759</v>
      </c>
      <c r="B744" t="s">
        <v>10</v>
      </c>
      <c r="C744" t="s">
        <v>15</v>
      </c>
      <c r="D744" s="1">
        <v>45641</v>
      </c>
      <c r="E744">
        <v>70.31</v>
      </c>
      <c r="F744">
        <v>1.19</v>
      </c>
      <c r="G744">
        <v>104</v>
      </c>
      <c r="H744" t="s">
        <v>18</v>
      </c>
      <c r="I744">
        <v>9.9700000000000006</v>
      </c>
      <c r="J744" t="str">
        <f t="shared" si="44"/>
        <v>Dec</v>
      </c>
      <c r="K744">
        <f t="shared" si="45"/>
        <v>2024</v>
      </c>
      <c r="L744">
        <f t="shared" si="46"/>
        <v>700.99070000000006</v>
      </c>
      <c r="M744" t="str">
        <f t="shared" si="47"/>
        <v>Weekend</v>
      </c>
    </row>
    <row r="745" spans="1:13" x14ac:dyDescent="0.35">
      <c r="A745" t="s">
        <v>760</v>
      </c>
      <c r="B745" t="s">
        <v>14</v>
      </c>
      <c r="C745" t="s">
        <v>11</v>
      </c>
      <c r="D745" s="1">
        <v>45448</v>
      </c>
      <c r="E745">
        <v>7.49</v>
      </c>
      <c r="F745">
        <v>8.89</v>
      </c>
      <c r="G745">
        <v>86</v>
      </c>
      <c r="H745" t="s">
        <v>18</v>
      </c>
      <c r="I745">
        <v>6.97</v>
      </c>
      <c r="J745" t="str">
        <f t="shared" si="44"/>
        <v>Jun</v>
      </c>
      <c r="K745">
        <f t="shared" si="45"/>
        <v>2024</v>
      </c>
      <c r="L745">
        <f t="shared" si="46"/>
        <v>52.205300000000001</v>
      </c>
      <c r="M745" t="str">
        <f t="shared" si="47"/>
        <v>Weekday</v>
      </c>
    </row>
    <row r="746" spans="1:13" x14ac:dyDescent="0.35">
      <c r="A746" t="s">
        <v>761</v>
      </c>
      <c r="B746" t="s">
        <v>17</v>
      </c>
      <c r="C746" t="s">
        <v>24</v>
      </c>
      <c r="D746" s="1">
        <v>45427</v>
      </c>
      <c r="E746">
        <v>96.73</v>
      </c>
      <c r="F746">
        <v>1.1299999999999999</v>
      </c>
      <c r="G746">
        <v>1</v>
      </c>
      <c r="H746" t="s">
        <v>18</v>
      </c>
      <c r="I746">
        <v>4.91</v>
      </c>
      <c r="J746" t="str">
        <f t="shared" si="44"/>
        <v>May</v>
      </c>
      <c r="K746">
        <f t="shared" si="45"/>
        <v>2024</v>
      </c>
      <c r="L746">
        <f t="shared" si="46"/>
        <v>474.94430000000006</v>
      </c>
      <c r="M746" t="str">
        <f t="shared" si="47"/>
        <v>Weekday</v>
      </c>
    </row>
    <row r="747" spans="1:13" x14ac:dyDescent="0.35">
      <c r="A747" t="s">
        <v>762</v>
      </c>
      <c r="B747" t="s">
        <v>17</v>
      </c>
      <c r="C747" t="s">
        <v>15</v>
      </c>
      <c r="D747" s="1">
        <v>45644</v>
      </c>
      <c r="E747">
        <v>26.34</v>
      </c>
      <c r="F747">
        <v>3.13</v>
      </c>
      <c r="G747">
        <v>92</v>
      </c>
      <c r="H747" t="s">
        <v>12</v>
      </c>
      <c r="I747">
        <v>3.83</v>
      </c>
      <c r="J747" t="str">
        <f t="shared" si="44"/>
        <v>Dec</v>
      </c>
      <c r="K747">
        <f t="shared" si="45"/>
        <v>2024</v>
      </c>
      <c r="L747">
        <f t="shared" si="46"/>
        <v>100.8822</v>
      </c>
      <c r="M747" t="str">
        <f t="shared" si="47"/>
        <v>Weekday</v>
      </c>
    </row>
    <row r="748" spans="1:13" x14ac:dyDescent="0.35">
      <c r="A748" t="s">
        <v>763</v>
      </c>
      <c r="B748" t="s">
        <v>17</v>
      </c>
      <c r="C748" t="s">
        <v>24</v>
      </c>
      <c r="D748" s="1">
        <v>45449</v>
      </c>
      <c r="E748">
        <v>98.23</v>
      </c>
      <c r="F748">
        <v>5.47</v>
      </c>
      <c r="G748">
        <v>93</v>
      </c>
      <c r="H748" t="s">
        <v>18</v>
      </c>
      <c r="I748">
        <v>3.76</v>
      </c>
      <c r="J748" t="str">
        <f t="shared" si="44"/>
        <v>Jun</v>
      </c>
      <c r="K748">
        <f t="shared" si="45"/>
        <v>2024</v>
      </c>
      <c r="L748">
        <f t="shared" si="46"/>
        <v>369.34480000000002</v>
      </c>
      <c r="M748" t="str">
        <f t="shared" si="47"/>
        <v>Weekday</v>
      </c>
    </row>
    <row r="749" spans="1:13" x14ac:dyDescent="0.35">
      <c r="A749" t="s">
        <v>764</v>
      </c>
      <c r="B749" t="s">
        <v>10</v>
      </c>
      <c r="C749" t="s">
        <v>11</v>
      </c>
      <c r="D749" s="1">
        <v>45635</v>
      </c>
      <c r="E749">
        <v>32.840000000000003</v>
      </c>
      <c r="F749">
        <v>4.42</v>
      </c>
      <c r="G749">
        <v>34</v>
      </c>
      <c r="H749" t="s">
        <v>12</v>
      </c>
      <c r="I749">
        <v>4.5199999999999996</v>
      </c>
      <c r="J749" t="str">
        <f t="shared" si="44"/>
        <v>Dec</v>
      </c>
      <c r="K749">
        <f t="shared" si="45"/>
        <v>2024</v>
      </c>
      <c r="L749">
        <f t="shared" si="46"/>
        <v>148.43680000000001</v>
      </c>
      <c r="M749" t="str">
        <f t="shared" si="47"/>
        <v>Weekday</v>
      </c>
    </row>
    <row r="750" spans="1:13" x14ac:dyDescent="0.35">
      <c r="A750" t="s">
        <v>765</v>
      </c>
      <c r="B750" t="s">
        <v>17</v>
      </c>
      <c r="C750" t="s">
        <v>15</v>
      </c>
      <c r="D750" s="1">
        <v>45335</v>
      </c>
      <c r="E750">
        <v>49.47</v>
      </c>
      <c r="F750">
        <v>3.99</v>
      </c>
      <c r="G750">
        <v>100</v>
      </c>
      <c r="H750" t="s">
        <v>12</v>
      </c>
      <c r="I750">
        <v>5.09</v>
      </c>
      <c r="J750" t="str">
        <f t="shared" si="44"/>
        <v>Feb</v>
      </c>
      <c r="K750">
        <f t="shared" si="45"/>
        <v>2024</v>
      </c>
      <c r="L750">
        <f t="shared" si="46"/>
        <v>251.80229999999997</v>
      </c>
      <c r="M750" t="str">
        <f t="shared" si="47"/>
        <v>Weekday</v>
      </c>
    </row>
    <row r="751" spans="1:13" x14ac:dyDescent="0.35">
      <c r="A751" t="s">
        <v>766</v>
      </c>
      <c r="B751" t="s">
        <v>10</v>
      </c>
      <c r="C751" t="s">
        <v>24</v>
      </c>
      <c r="D751" s="1">
        <v>45477</v>
      </c>
      <c r="E751">
        <v>25.35</v>
      </c>
      <c r="F751">
        <v>5.13</v>
      </c>
      <c r="G751">
        <v>72</v>
      </c>
      <c r="H751" t="s">
        <v>18</v>
      </c>
      <c r="I751">
        <v>6.96</v>
      </c>
      <c r="J751" t="str">
        <f t="shared" si="44"/>
        <v>Jul</v>
      </c>
      <c r="K751">
        <f t="shared" si="45"/>
        <v>2024</v>
      </c>
      <c r="L751">
        <f t="shared" si="46"/>
        <v>176.43600000000001</v>
      </c>
      <c r="M751" t="str">
        <f t="shared" si="47"/>
        <v>Weekday</v>
      </c>
    </row>
    <row r="752" spans="1:13" x14ac:dyDescent="0.35">
      <c r="A752" t="s">
        <v>767</v>
      </c>
      <c r="B752" t="s">
        <v>10</v>
      </c>
      <c r="C752" t="s">
        <v>15</v>
      </c>
      <c r="D752" s="1">
        <v>45534</v>
      </c>
      <c r="E752">
        <v>76.94</v>
      </c>
      <c r="F752">
        <v>6.59</v>
      </c>
      <c r="G752">
        <v>98</v>
      </c>
      <c r="H752" t="s">
        <v>18</v>
      </c>
      <c r="I752">
        <v>4.7</v>
      </c>
      <c r="J752" t="str">
        <f t="shared" si="44"/>
        <v>Aug</v>
      </c>
      <c r="K752">
        <f t="shared" si="45"/>
        <v>2024</v>
      </c>
      <c r="L752">
        <f t="shared" si="46"/>
        <v>361.61799999999999</v>
      </c>
      <c r="M752" t="str">
        <f t="shared" si="47"/>
        <v>Weekday</v>
      </c>
    </row>
    <row r="753" spans="1:13" x14ac:dyDescent="0.35">
      <c r="A753" t="s">
        <v>768</v>
      </c>
      <c r="B753" t="s">
        <v>10</v>
      </c>
      <c r="C753" t="s">
        <v>24</v>
      </c>
      <c r="D753" s="1">
        <v>45453</v>
      </c>
      <c r="E753">
        <v>54.97</v>
      </c>
      <c r="F753">
        <v>8.7799999999999994</v>
      </c>
      <c r="G753">
        <v>56</v>
      </c>
      <c r="H753" t="s">
        <v>18</v>
      </c>
      <c r="I753">
        <v>9.25</v>
      </c>
      <c r="J753" t="str">
        <f t="shared" si="44"/>
        <v>Jun</v>
      </c>
      <c r="K753">
        <f t="shared" si="45"/>
        <v>2024</v>
      </c>
      <c r="L753">
        <f t="shared" si="46"/>
        <v>508.47249999999997</v>
      </c>
      <c r="M753" t="str">
        <f t="shared" si="47"/>
        <v>Weekday</v>
      </c>
    </row>
    <row r="754" spans="1:13" x14ac:dyDescent="0.35">
      <c r="A754" t="s">
        <v>769</v>
      </c>
      <c r="B754" t="s">
        <v>10</v>
      </c>
      <c r="C754" t="s">
        <v>24</v>
      </c>
      <c r="D754" s="1">
        <v>45551</v>
      </c>
      <c r="E754">
        <v>98.93</v>
      </c>
      <c r="F754">
        <v>3.64</v>
      </c>
      <c r="G754">
        <v>32</v>
      </c>
      <c r="H754" t="s">
        <v>12</v>
      </c>
      <c r="I754">
        <v>7.32</v>
      </c>
      <c r="J754" t="str">
        <f t="shared" si="44"/>
        <v>Sep</v>
      </c>
      <c r="K754">
        <f t="shared" si="45"/>
        <v>2024</v>
      </c>
      <c r="L754">
        <f t="shared" si="46"/>
        <v>724.16760000000011</v>
      </c>
      <c r="M754" t="str">
        <f t="shared" si="47"/>
        <v>Weekday</v>
      </c>
    </row>
    <row r="755" spans="1:13" x14ac:dyDescent="0.35">
      <c r="A755" t="s">
        <v>770</v>
      </c>
      <c r="B755" t="s">
        <v>14</v>
      </c>
      <c r="C755" t="s">
        <v>15</v>
      </c>
      <c r="D755" s="1">
        <v>45304</v>
      </c>
      <c r="E755">
        <v>88.32</v>
      </c>
      <c r="F755">
        <v>5.29</v>
      </c>
      <c r="G755">
        <v>108</v>
      </c>
      <c r="H755" t="s">
        <v>18</v>
      </c>
      <c r="I755">
        <v>4.0599999999999996</v>
      </c>
      <c r="J755" t="str">
        <f t="shared" si="44"/>
        <v>Jan</v>
      </c>
      <c r="K755">
        <f t="shared" si="45"/>
        <v>2024</v>
      </c>
      <c r="L755">
        <f t="shared" si="46"/>
        <v>358.57919999999996</v>
      </c>
      <c r="M755" t="str">
        <f t="shared" si="47"/>
        <v>Weekend</v>
      </c>
    </row>
    <row r="756" spans="1:13" x14ac:dyDescent="0.35">
      <c r="A756" t="s">
        <v>771</v>
      </c>
      <c r="B756" t="s">
        <v>14</v>
      </c>
      <c r="C756" t="s">
        <v>11</v>
      </c>
      <c r="D756" s="1">
        <v>45292</v>
      </c>
      <c r="E756">
        <v>22.67</v>
      </c>
      <c r="F756">
        <v>1.52</v>
      </c>
      <c r="G756">
        <v>105</v>
      </c>
      <c r="H756" t="s">
        <v>12</v>
      </c>
      <c r="I756">
        <v>6.72</v>
      </c>
      <c r="J756" t="str">
        <f t="shared" si="44"/>
        <v>Jan</v>
      </c>
      <c r="K756">
        <f t="shared" si="45"/>
        <v>2024</v>
      </c>
      <c r="L756">
        <f t="shared" si="46"/>
        <v>152.3424</v>
      </c>
      <c r="M756" t="str">
        <f t="shared" si="47"/>
        <v>Weekday</v>
      </c>
    </row>
    <row r="757" spans="1:13" x14ac:dyDescent="0.35">
      <c r="A757" t="s">
        <v>772</v>
      </c>
      <c r="B757" t="s">
        <v>17</v>
      </c>
      <c r="C757" t="s">
        <v>15</v>
      </c>
      <c r="D757" s="1">
        <v>45481</v>
      </c>
      <c r="E757">
        <v>80.95</v>
      </c>
      <c r="F757">
        <v>9.91</v>
      </c>
      <c r="G757">
        <v>49</v>
      </c>
      <c r="H757" t="s">
        <v>12</v>
      </c>
      <c r="I757">
        <v>9.27</v>
      </c>
      <c r="J757" t="str">
        <f t="shared" si="44"/>
        <v>Jul</v>
      </c>
      <c r="K757">
        <f t="shared" si="45"/>
        <v>2024</v>
      </c>
      <c r="L757">
        <f t="shared" si="46"/>
        <v>750.40649999999994</v>
      </c>
      <c r="M757" t="str">
        <f t="shared" si="47"/>
        <v>Weekday</v>
      </c>
    </row>
    <row r="758" spans="1:13" x14ac:dyDescent="0.35">
      <c r="A758" t="s">
        <v>773</v>
      </c>
      <c r="B758" t="s">
        <v>10</v>
      </c>
      <c r="C758" t="s">
        <v>11</v>
      </c>
      <c r="D758" s="1">
        <v>45628</v>
      </c>
      <c r="E758">
        <v>72.17</v>
      </c>
      <c r="F758">
        <v>9.39</v>
      </c>
      <c r="G758">
        <v>102</v>
      </c>
      <c r="H758" t="s">
        <v>12</v>
      </c>
      <c r="I758">
        <v>4.6399999999999997</v>
      </c>
      <c r="J758" t="str">
        <f t="shared" si="44"/>
        <v>Dec</v>
      </c>
      <c r="K758">
        <f t="shared" si="45"/>
        <v>2024</v>
      </c>
      <c r="L758">
        <f t="shared" si="46"/>
        <v>334.86879999999996</v>
      </c>
      <c r="M758" t="str">
        <f t="shared" si="47"/>
        <v>Weekday</v>
      </c>
    </row>
    <row r="759" spans="1:13" x14ac:dyDescent="0.35">
      <c r="A759" t="s">
        <v>774</v>
      </c>
      <c r="B759" t="s">
        <v>14</v>
      </c>
      <c r="C759" t="s">
        <v>15</v>
      </c>
      <c r="D759" s="1">
        <v>45344</v>
      </c>
      <c r="E759">
        <v>31</v>
      </c>
      <c r="F759">
        <v>5.47</v>
      </c>
      <c r="G759">
        <v>10</v>
      </c>
      <c r="H759" t="s">
        <v>12</v>
      </c>
      <c r="I759">
        <v>6.01</v>
      </c>
      <c r="J759" t="str">
        <f t="shared" si="44"/>
        <v>Feb</v>
      </c>
      <c r="K759">
        <f t="shared" si="45"/>
        <v>2024</v>
      </c>
      <c r="L759">
        <f t="shared" si="46"/>
        <v>186.31</v>
      </c>
      <c r="M759" t="str">
        <f t="shared" si="47"/>
        <v>Weekday</v>
      </c>
    </row>
    <row r="760" spans="1:13" x14ac:dyDescent="0.35">
      <c r="A760" t="s">
        <v>775</v>
      </c>
      <c r="B760" t="s">
        <v>17</v>
      </c>
      <c r="C760" t="s">
        <v>24</v>
      </c>
      <c r="D760" s="1">
        <v>45318</v>
      </c>
      <c r="E760">
        <v>99.58</v>
      </c>
      <c r="F760">
        <v>2.87</v>
      </c>
      <c r="G760">
        <v>15</v>
      </c>
      <c r="H760" t="s">
        <v>18</v>
      </c>
      <c r="I760">
        <v>6.22</v>
      </c>
      <c r="J760" t="str">
        <f t="shared" si="44"/>
        <v>Jan</v>
      </c>
      <c r="K760">
        <f t="shared" si="45"/>
        <v>2024</v>
      </c>
      <c r="L760">
        <f t="shared" si="46"/>
        <v>619.38760000000002</v>
      </c>
      <c r="M760" t="str">
        <f t="shared" si="47"/>
        <v>Weekend</v>
      </c>
    </row>
    <row r="761" spans="1:13" x14ac:dyDescent="0.35">
      <c r="A761" t="s">
        <v>776</v>
      </c>
      <c r="B761" t="s">
        <v>10</v>
      </c>
      <c r="C761" t="s">
        <v>11</v>
      </c>
      <c r="D761" s="1">
        <v>45380</v>
      </c>
      <c r="E761">
        <v>51.6</v>
      </c>
      <c r="F761">
        <v>2.64</v>
      </c>
      <c r="G761">
        <v>114</v>
      </c>
      <c r="H761" t="s">
        <v>18</v>
      </c>
      <c r="I761">
        <v>4.74</v>
      </c>
      <c r="J761" t="str">
        <f t="shared" si="44"/>
        <v>Mar</v>
      </c>
      <c r="K761">
        <f t="shared" si="45"/>
        <v>2024</v>
      </c>
      <c r="L761">
        <f t="shared" si="46"/>
        <v>244.58400000000003</v>
      </c>
      <c r="M761" t="str">
        <f t="shared" si="47"/>
        <v>Weekday</v>
      </c>
    </row>
    <row r="762" spans="1:13" x14ac:dyDescent="0.35">
      <c r="A762" t="s">
        <v>777</v>
      </c>
      <c r="B762" t="s">
        <v>14</v>
      </c>
      <c r="C762" t="s">
        <v>15</v>
      </c>
      <c r="D762" s="1">
        <v>45640</v>
      </c>
      <c r="E762">
        <v>50.92</v>
      </c>
      <c r="F762">
        <v>7.44</v>
      </c>
      <c r="G762">
        <v>48</v>
      </c>
      <c r="H762" t="s">
        <v>18</v>
      </c>
      <c r="I762">
        <v>8.57</v>
      </c>
      <c r="J762" t="str">
        <f t="shared" si="44"/>
        <v>Dec</v>
      </c>
      <c r="K762">
        <f t="shared" si="45"/>
        <v>2024</v>
      </c>
      <c r="L762">
        <f t="shared" si="46"/>
        <v>436.38440000000003</v>
      </c>
      <c r="M762" t="str">
        <f t="shared" si="47"/>
        <v>Weekend</v>
      </c>
    </row>
    <row r="763" spans="1:13" x14ac:dyDescent="0.35">
      <c r="A763" t="s">
        <v>778</v>
      </c>
      <c r="B763" t="s">
        <v>10</v>
      </c>
      <c r="C763" t="s">
        <v>24</v>
      </c>
      <c r="D763" s="1">
        <v>45549</v>
      </c>
      <c r="E763">
        <v>59.62</v>
      </c>
      <c r="F763">
        <v>9.8000000000000007</v>
      </c>
      <c r="G763">
        <v>34</v>
      </c>
      <c r="H763" t="s">
        <v>18</v>
      </c>
      <c r="I763">
        <v>9.73</v>
      </c>
      <c r="J763" t="str">
        <f t="shared" si="44"/>
        <v>Sep</v>
      </c>
      <c r="K763">
        <f t="shared" si="45"/>
        <v>2024</v>
      </c>
      <c r="L763">
        <f t="shared" si="46"/>
        <v>580.10260000000005</v>
      </c>
      <c r="M763" t="str">
        <f t="shared" si="47"/>
        <v>Weekend</v>
      </c>
    </row>
    <row r="764" spans="1:13" x14ac:dyDescent="0.35">
      <c r="A764" t="s">
        <v>779</v>
      </c>
      <c r="B764" t="s">
        <v>14</v>
      </c>
      <c r="C764" t="s">
        <v>15</v>
      </c>
      <c r="D764" s="1">
        <v>45457</v>
      </c>
      <c r="E764">
        <v>21.18</v>
      </c>
      <c r="F764">
        <v>3.4</v>
      </c>
      <c r="G764">
        <v>29</v>
      </c>
      <c r="H764" t="s">
        <v>18</v>
      </c>
      <c r="I764">
        <v>3.39</v>
      </c>
      <c r="J764" t="str">
        <f t="shared" si="44"/>
        <v>Jun</v>
      </c>
      <c r="K764">
        <f t="shared" si="45"/>
        <v>2024</v>
      </c>
      <c r="L764">
        <f t="shared" si="46"/>
        <v>71.800200000000004</v>
      </c>
      <c r="M764" t="str">
        <f t="shared" si="47"/>
        <v>Weekday</v>
      </c>
    </row>
    <row r="765" spans="1:13" x14ac:dyDescent="0.35">
      <c r="A765" t="s">
        <v>780</v>
      </c>
      <c r="B765" t="s">
        <v>14</v>
      </c>
      <c r="C765" t="s">
        <v>15</v>
      </c>
      <c r="D765" s="1">
        <v>45444</v>
      </c>
      <c r="E765">
        <v>30.94</v>
      </c>
      <c r="F765">
        <v>7.9</v>
      </c>
      <c r="G765">
        <v>67</v>
      </c>
      <c r="H765" t="s">
        <v>18</v>
      </c>
      <c r="I765">
        <v>9.25</v>
      </c>
      <c r="J765" t="str">
        <f t="shared" si="44"/>
        <v>Jun</v>
      </c>
      <c r="K765">
        <f t="shared" si="45"/>
        <v>2024</v>
      </c>
      <c r="L765">
        <f t="shared" si="46"/>
        <v>286.19499999999999</v>
      </c>
      <c r="M765" t="str">
        <f t="shared" si="47"/>
        <v>Weekend</v>
      </c>
    </row>
    <row r="766" spans="1:13" x14ac:dyDescent="0.35">
      <c r="A766" t="s">
        <v>781</v>
      </c>
      <c r="B766" t="s">
        <v>17</v>
      </c>
      <c r="C766" t="s">
        <v>11</v>
      </c>
      <c r="D766" s="1">
        <v>45468</v>
      </c>
      <c r="E766">
        <v>93.84</v>
      </c>
      <c r="F766">
        <v>2.58</v>
      </c>
      <c r="G766">
        <v>19</v>
      </c>
      <c r="H766" t="s">
        <v>18</v>
      </c>
      <c r="I766">
        <v>9.6999999999999993</v>
      </c>
      <c r="J766" t="str">
        <f t="shared" si="44"/>
        <v>Jun</v>
      </c>
      <c r="K766">
        <f t="shared" si="45"/>
        <v>2024</v>
      </c>
      <c r="L766">
        <f t="shared" si="46"/>
        <v>910.24799999999993</v>
      </c>
      <c r="M766" t="str">
        <f t="shared" si="47"/>
        <v>Weekday</v>
      </c>
    </row>
    <row r="767" spans="1:13" x14ac:dyDescent="0.35">
      <c r="A767" t="s">
        <v>782</v>
      </c>
      <c r="B767" t="s">
        <v>14</v>
      </c>
      <c r="C767" t="s">
        <v>24</v>
      </c>
      <c r="D767" s="1">
        <v>45326</v>
      </c>
      <c r="E767">
        <v>82.72</v>
      </c>
      <c r="F767">
        <v>1.1599999999999999</v>
      </c>
      <c r="G767">
        <v>55</v>
      </c>
      <c r="H767" t="s">
        <v>12</v>
      </c>
      <c r="I767">
        <v>3.22</v>
      </c>
      <c r="J767" t="str">
        <f t="shared" si="44"/>
        <v>Feb</v>
      </c>
      <c r="K767">
        <f t="shared" si="45"/>
        <v>2024</v>
      </c>
      <c r="L767">
        <f t="shared" si="46"/>
        <v>266.35840000000002</v>
      </c>
      <c r="M767" t="str">
        <f t="shared" si="47"/>
        <v>Weekend</v>
      </c>
    </row>
    <row r="768" spans="1:13" x14ac:dyDescent="0.35">
      <c r="A768" t="s">
        <v>783</v>
      </c>
      <c r="B768" t="s">
        <v>14</v>
      </c>
      <c r="C768" t="s">
        <v>24</v>
      </c>
      <c r="D768" s="1">
        <v>45425</v>
      </c>
      <c r="E768">
        <v>6.59</v>
      </c>
      <c r="F768">
        <v>5.96</v>
      </c>
      <c r="G768">
        <v>82</v>
      </c>
      <c r="H768" t="s">
        <v>12</v>
      </c>
      <c r="I768">
        <v>3.99</v>
      </c>
      <c r="J768" t="str">
        <f t="shared" si="44"/>
        <v>May</v>
      </c>
      <c r="K768">
        <f t="shared" si="45"/>
        <v>2024</v>
      </c>
      <c r="L768">
        <f t="shared" si="46"/>
        <v>26.2941</v>
      </c>
      <c r="M768" t="str">
        <f t="shared" si="47"/>
        <v>Weekday</v>
      </c>
    </row>
    <row r="769" spans="1:13" x14ac:dyDescent="0.35">
      <c r="A769" t="s">
        <v>784</v>
      </c>
      <c r="B769" t="s">
        <v>10</v>
      </c>
      <c r="C769" t="s">
        <v>11</v>
      </c>
      <c r="D769" s="1">
        <v>45533</v>
      </c>
      <c r="E769">
        <v>68.150000000000006</v>
      </c>
      <c r="F769">
        <v>9.08</v>
      </c>
      <c r="G769">
        <v>104</v>
      </c>
      <c r="H769" t="s">
        <v>12</v>
      </c>
      <c r="I769">
        <v>9.17</v>
      </c>
      <c r="J769" t="str">
        <f t="shared" si="44"/>
        <v>Aug</v>
      </c>
      <c r="K769">
        <f t="shared" si="45"/>
        <v>2024</v>
      </c>
      <c r="L769">
        <f t="shared" si="46"/>
        <v>624.93550000000005</v>
      </c>
      <c r="M769" t="str">
        <f t="shared" si="47"/>
        <v>Weekday</v>
      </c>
    </row>
    <row r="770" spans="1:13" x14ac:dyDescent="0.35">
      <c r="A770" t="s">
        <v>785</v>
      </c>
      <c r="B770" t="s">
        <v>10</v>
      </c>
      <c r="C770" t="s">
        <v>11</v>
      </c>
      <c r="D770" s="1">
        <v>45527</v>
      </c>
      <c r="E770">
        <v>9.82</v>
      </c>
      <c r="F770">
        <v>4.2</v>
      </c>
      <c r="G770">
        <v>26</v>
      </c>
      <c r="H770" t="s">
        <v>12</v>
      </c>
      <c r="I770">
        <v>7.59</v>
      </c>
      <c r="J770" t="str">
        <f t="shared" si="44"/>
        <v>Aug</v>
      </c>
      <c r="K770">
        <f t="shared" si="45"/>
        <v>2024</v>
      </c>
      <c r="L770">
        <f t="shared" si="46"/>
        <v>74.533799999999999</v>
      </c>
      <c r="M770" t="str">
        <f t="shared" si="47"/>
        <v>Weekday</v>
      </c>
    </row>
    <row r="771" spans="1:13" x14ac:dyDescent="0.35">
      <c r="A771" t="s">
        <v>786</v>
      </c>
      <c r="B771" t="s">
        <v>14</v>
      </c>
      <c r="C771" t="s">
        <v>11</v>
      </c>
      <c r="D771" s="1">
        <v>45612</v>
      </c>
      <c r="E771">
        <v>52.07</v>
      </c>
      <c r="F771">
        <v>5.1100000000000003</v>
      </c>
      <c r="G771">
        <v>69</v>
      </c>
      <c r="H771" t="s">
        <v>18</v>
      </c>
      <c r="I771">
        <v>4.25</v>
      </c>
      <c r="J771" t="str">
        <f t="shared" ref="J771:J834" si="48">TEXT(D771,"mmm")</f>
        <v>Nov</v>
      </c>
      <c r="K771">
        <f t="shared" ref="K771:K834" si="49">YEAR(D771)</f>
        <v>2024</v>
      </c>
      <c r="L771">
        <f t="shared" ref="L771:L834" si="50">E771*I771</f>
        <v>221.29750000000001</v>
      </c>
      <c r="M771" t="str">
        <f t="shared" ref="M771:M834" si="51">IF(OR(WEEKDAY(D771)=1,WEEKDAY(D771)=7),"Weekend","Weekday")</f>
        <v>Weekend</v>
      </c>
    </row>
    <row r="772" spans="1:13" x14ac:dyDescent="0.35">
      <c r="A772" t="s">
        <v>787</v>
      </c>
      <c r="B772" t="s">
        <v>17</v>
      </c>
      <c r="C772" t="s">
        <v>24</v>
      </c>
      <c r="D772" s="1">
        <v>45550</v>
      </c>
      <c r="E772">
        <v>22.46</v>
      </c>
      <c r="F772">
        <v>2.69</v>
      </c>
      <c r="G772">
        <v>53</v>
      </c>
      <c r="H772" t="s">
        <v>12</v>
      </c>
      <c r="I772">
        <v>3.26</v>
      </c>
      <c r="J772" t="str">
        <f t="shared" si="48"/>
        <v>Sep</v>
      </c>
      <c r="K772">
        <f t="shared" si="49"/>
        <v>2024</v>
      </c>
      <c r="L772">
        <f t="shared" si="50"/>
        <v>73.2196</v>
      </c>
      <c r="M772" t="str">
        <f t="shared" si="51"/>
        <v>Weekend</v>
      </c>
    </row>
    <row r="773" spans="1:13" x14ac:dyDescent="0.35">
      <c r="A773" t="s">
        <v>788</v>
      </c>
      <c r="B773" t="s">
        <v>14</v>
      </c>
      <c r="C773" t="s">
        <v>11</v>
      </c>
      <c r="D773" s="1">
        <v>45443</v>
      </c>
      <c r="E773">
        <v>85.99</v>
      </c>
      <c r="F773">
        <v>1.78</v>
      </c>
      <c r="G773">
        <v>0</v>
      </c>
      <c r="H773" t="s">
        <v>18</v>
      </c>
      <c r="I773">
        <v>7.09</v>
      </c>
      <c r="J773" t="str">
        <f t="shared" si="48"/>
        <v>May</v>
      </c>
      <c r="K773">
        <f t="shared" si="49"/>
        <v>2024</v>
      </c>
      <c r="L773">
        <f t="shared" si="50"/>
        <v>609.66909999999996</v>
      </c>
      <c r="M773" t="str">
        <f t="shared" si="51"/>
        <v>Weekday</v>
      </c>
    </row>
    <row r="774" spans="1:13" x14ac:dyDescent="0.35">
      <c r="A774" t="s">
        <v>789</v>
      </c>
      <c r="B774" t="s">
        <v>17</v>
      </c>
      <c r="C774" t="s">
        <v>24</v>
      </c>
      <c r="D774" s="1">
        <v>45573</v>
      </c>
      <c r="E774">
        <v>9.1999999999999993</v>
      </c>
      <c r="F774">
        <v>4.9400000000000004</v>
      </c>
      <c r="G774">
        <v>16</v>
      </c>
      <c r="H774" t="s">
        <v>12</v>
      </c>
      <c r="I774">
        <v>3.52</v>
      </c>
      <c r="J774" t="str">
        <f t="shared" si="48"/>
        <v>Oct</v>
      </c>
      <c r="K774">
        <f t="shared" si="49"/>
        <v>2024</v>
      </c>
      <c r="L774">
        <f t="shared" si="50"/>
        <v>32.384</v>
      </c>
      <c r="M774" t="str">
        <f t="shared" si="51"/>
        <v>Weekday</v>
      </c>
    </row>
    <row r="775" spans="1:13" x14ac:dyDescent="0.35">
      <c r="A775" t="s">
        <v>790</v>
      </c>
      <c r="B775" t="s">
        <v>17</v>
      </c>
      <c r="C775" t="s">
        <v>24</v>
      </c>
      <c r="D775" s="1">
        <v>45381</v>
      </c>
      <c r="E775">
        <v>95.53</v>
      </c>
      <c r="F775">
        <v>4.38</v>
      </c>
      <c r="G775">
        <v>24</v>
      </c>
      <c r="H775" t="s">
        <v>18</v>
      </c>
      <c r="I775">
        <v>6.05</v>
      </c>
      <c r="J775" t="str">
        <f t="shared" si="48"/>
        <v>Mar</v>
      </c>
      <c r="K775">
        <f t="shared" si="49"/>
        <v>2024</v>
      </c>
      <c r="L775">
        <f t="shared" si="50"/>
        <v>577.95650000000001</v>
      </c>
      <c r="M775" t="str">
        <f t="shared" si="51"/>
        <v>Weekend</v>
      </c>
    </row>
    <row r="776" spans="1:13" x14ac:dyDescent="0.35">
      <c r="A776" t="s">
        <v>791</v>
      </c>
      <c r="B776" t="s">
        <v>17</v>
      </c>
      <c r="C776" t="s">
        <v>11</v>
      </c>
      <c r="D776" s="1">
        <v>45559</v>
      </c>
      <c r="E776">
        <v>41.71</v>
      </c>
      <c r="F776">
        <v>6.38</v>
      </c>
      <c r="G776">
        <v>56</v>
      </c>
      <c r="H776" t="s">
        <v>12</v>
      </c>
      <c r="I776">
        <v>8.31</v>
      </c>
      <c r="J776" t="str">
        <f t="shared" si="48"/>
        <v>Sep</v>
      </c>
      <c r="K776">
        <f t="shared" si="49"/>
        <v>2024</v>
      </c>
      <c r="L776">
        <f t="shared" si="50"/>
        <v>346.61010000000005</v>
      </c>
      <c r="M776" t="str">
        <f t="shared" si="51"/>
        <v>Weekday</v>
      </c>
    </row>
    <row r="777" spans="1:13" x14ac:dyDescent="0.35">
      <c r="A777" t="s">
        <v>792</v>
      </c>
      <c r="B777" t="s">
        <v>10</v>
      </c>
      <c r="C777" t="s">
        <v>11</v>
      </c>
      <c r="D777" s="1">
        <v>45618</v>
      </c>
      <c r="E777">
        <v>84.42</v>
      </c>
      <c r="F777">
        <v>4.92</v>
      </c>
      <c r="G777">
        <v>10</v>
      </c>
      <c r="H777" t="s">
        <v>18</v>
      </c>
      <c r="I777">
        <v>8.16</v>
      </c>
      <c r="J777" t="str">
        <f t="shared" si="48"/>
        <v>Nov</v>
      </c>
      <c r="K777">
        <f t="shared" si="49"/>
        <v>2024</v>
      </c>
      <c r="L777">
        <f t="shared" si="50"/>
        <v>688.86720000000003</v>
      </c>
      <c r="M777" t="str">
        <f t="shared" si="51"/>
        <v>Weekday</v>
      </c>
    </row>
    <row r="778" spans="1:13" x14ac:dyDescent="0.35">
      <c r="A778" t="s">
        <v>793</v>
      </c>
      <c r="B778" t="s">
        <v>17</v>
      </c>
      <c r="C778" t="s">
        <v>11</v>
      </c>
      <c r="D778" s="1">
        <v>45341</v>
      </c>
      <c r="E778">
        <v>93.23</v>
      </c>
      <c r="F778">
        <v>7.2</v>
      </c>
      <c r="G778">
        <v>39</v>
      </c>
      <c r="H778" t="s">
        <v>12</v>
      </c>
      <c r="I778">
        <v>9.3699999999999992</v>
      </c>
      <c r="J778" t="str">
        <f t="shared" si="48"/>
        <v>Feb</v>
      </c>
      <c r="K778">
        <f t="shared" si="49"/>
        <v>2024</v>
      </c>
      <c r="L778">
        <f t="shared" si="50"/>
        <v>873.56509999999992</v>
      </c>
      <c r="M778" t="str">
        <f t="shared" si="51"/>
        <v>Weekday</v>
      </c>
    </row>
    <row r="779" spans="1:13" x14ac:dyDescent="0.35">
      <c r="A779" t="s">
        <v>794</v>
      </c>
      <c r="B779" t="s">
        <v>14</v>
      </c>
      <c r="C779" t="s">
        <v>15</v>
      </c>
      <c r="D779" s="1">
        <v>45493</v>
      </c>
      <c r="E779">
        <v>59.9</v>
      </c>
      <c r="F779">
        <v>2.69</v>
      </c>
      <c r="G779">
        <v>117</v>
      </c>
      <c r="H779" t="s">
        <v>18</v>
      </c>
      <c r="I779">
        <v>4.37</v>
      </c>
      <c r="J779" t="str">
        <f t="shared" si="48"/>
        <v>Jul</v>
      </c>
      <c r="K779">
        <f t="shared" si="49"/>
        <v>2024</v>
      </c>
      <c r="L779">
        <f t="shared" si="50"/>
        <v>261.76299999999998</v>
      </c>
      <c r="M779" t="str">
        <f t="shared" si="51"/>
        <v>Weekend</v>
      </c>
    </row>
    <row r="780" spans="1:13" x14ac:dyDescent="0.35">
      <c r="A780" t="s">
        <v>795</v>
      </c>
      <c r="B780" t="s">
        <v>10</v>
      </c>
      <c r="C780" t="s">
        <v>11</v>
      </c>
      <c r="D780" s="1">
        <v>45559</v>
      </c>
      <c r="E780">
        <v>23.41</v>
      </c>
      <c r="F780">
        <v>1.99</v>
      </c>
      <c r="G780">
        <v>114</v>
      </c>
      <c r="H780" t="s">
        <v>12</v>
      </c>
      <c r="I780">
        <v>9.84</v>
      </c>
      <c r="J780" t="str">
        <f t="shared" si="48"/>
        <v>Sep</v>
      </c>
      <c r="K780">
        <f t="shared" si="49"/>
        <v>2024</v>
      </c>
      <c r="L780">
        <f t="shared" si="50"/>
        <v>230.3544</v>
      </c>
      <c r="M780" t="str">
        <f t="shared" si="51"/>
        <v>Weekday</v>
      </c>
    </row>
    <row r="781" spans="1:13" x14ac:dyDescent="0.35">
      <c r="A781" t="s">
        <v>796</v>
      </c>
      <c r="B781" t="s">
        <v>14</v>
      </c>
      <c r="C781" t="s">
        <v>15</v>
      </c>
      <c r="D781" s="1">
        <v>45585</v>
      </c>
      <c r="E781">
        <v>92.63</v>
      </c>
      <c r="F781">
        <v>5.77</v>
      </c>
      <c r="G781">
        <v>104</v>
      </c>
      <c r="H781" t="s">
        <v>12</v>
      </c>
      <c r="I781">
        <v>7.13</v>
      </c>
      <c r="J781" t="str">
        <f t="shared" si="48"/>
        <v>Oct</v>
      </c>
      <c r="K781">
        <f t="shared" si="49"/>
        <v>2024</v>
      </c>
      <c r="L781">
        <f t="shared" si="50"/>
        <v>660.45189999999991</v>
      </c>
      <c r="M781" t="str">
        <f t="shared" si="51"/>
        <v>Weekend</v>
      </c>
    </row>
    <row r="782" spans="1:13" x14ac:dyDescent="0.35">
      <c r="A782" t="s">
        <v>797</v>
      </c>
      <c r="B782" t="s">
        <v>14</v>
      </c>
      <c r="C782" t="s">
        <v>24</v>
      </c>
      <c r="D782" s="1">
        <v>45482</v>
      </c>
      <c r="E782">
        <v>47.57</v>
      </c>
      <c r="F782">
        <v>2.12</v>
      </c>
      <c r="G782">
        <v>24</v>
      </c>
      <c r="H782" t="s">
        <v>12</v>
      </c>
      <c r="I782">
        <v>4</v>
      </c>
      <c r="J782" t="str">
        <f t="shared" si="48"/>
        <v>Jul</v>
      </c>
      <c r="K782">
        <f t="shared" si="49"/>
        <v>2024</v>
      </c>
      <c r="L782">
        <f t="shared" si="50"/>
        <v>190.28</v>
      </c>
      <c r="M782" t="str">
        <f t="shared" si="51"/>
        <v>Weekday</v>
      </c>
    </row>
    <row r="783" spans="1:13" x14ac:dyDescent="0.35">
      <c r="A783" t="s">
        <v>798</v>
      </c>
      <c r="B783" t="s">
        <v>14</v>
      </c>
      <c r="C783" t="s">
        <v>11</v>
      </c>
      <c r="D783" s="1">
        <v>45632</v>
      </c>
      <c r="E783">
        <v>16.059999999999999</v>
      </c>
      <c r="F783">
        <v>8.5500000000000007</v>
      </c>
      <c r="G783">
        <v>87</v>
      </c>
      <c r="H783" t="s">
        <v>18</v>
      </c>
      <c r="I783">
        <v>5.7</v>
      </c>
      <c r="J783" t="str">
        <f t="shared" si="48"/>
        <v>Dec</v>
      </c>
      <c r="K783">
        <f t="shared" si="49"/>
        <v>2024</v>
      </c>
      <c r="L783">
        <f t="shared" si="50"/>
        <v>91.542000000000002</v>
      </c>
      <c r="M783" t="str">
        <f t="shared" si="51"/>
        <v>Weekday</v>
      </c>
    </row>
    <row r="784" spans="1:13" x14ac:dyDescent="0.35">
      <c r="A784" t="s">
        <v>799</v>
      </c>
      <c r="B784" t="s">
        <v>14</v>
      </c>
      <c r="C784" t="s">
        <v>15</v>
      </c>
      <c r="D784" s="1">
        <v>45588</v>
      </c>
      <c r="E784">
        <v>33.409999999999997</v>
      </c>
      <c r="F784">
        <v>9.7100000000000009</v>
      </c>
      <c r="G784">
        <v>120</v>
      </c>
      <c r="H784" t="s">
        <v>12</v>
      </c>
      <c r="I784">
        <v>5.65</v>
      </c>
      <c r="J784" t="str">
        <f t="shared" si="48"/>
        <v>Oct</v>
      </c>
      <c r="K784">
        <f t="shared" si="49"/>
        <v>2024</v>
      </c>
      <c r="L784">
        <f t="shared" si="50"/>
        <v>188.76649999999998</v>
      </c>
      <c r="M784" t="str">
        <f t="shared" si="51"/>
        <v>Weekday</v>
      </c>
    </row>
    <row r="785" spans="1:13" x14ac:dyDescent="0.35">
      <c r="A785" t="s">
        <v>800</v>
      </c>
      <c r="B785" t="s">
        <v>10</v>
      </c>
      <c r="C785" t="s">
        <v>15</v>
      </c>
      <c r="D785" s="1">
        <v>45336</v>
      </c>
      <c r="E785">
        <v>72.3</v>
      </c>
      <c r="F785">
        <v>2.96</v>
      </c>
      <c r="G785">
        <v>35</v>
      </c>
      <c r="H785" t="s">
        <v>12</v>
      </c>
      <c r="I785">
        <v>4.7300000000000004</v>
      </c>
      <c r="J785" t="str">
        <f t="shared" si="48"/>
        <v>Feb</v>
      </c>
      <c r="K785">
        <f t="shared" si="49"/>
        <v>2024</v>
      </c>
      <c r="L785">
        <f t="shared" si="50"/>
        <v>341.97900000000004</v>
      </c>
      <c r="M785" t="str">
        <f t="shared" si="51"/>
        <v>Weekday</v>
      </c>
    </row>
    <row r="786" spans="1:13" x14ac:dyDescent="0.35">
      <c r="A786" t="s">
        <v>801</v>
      </c>
      <c r="B786" t="s">
        <v>10</v>
      </c>
      <c r="C786" t="s">
        <v>11</v>
      </c>
      <c r="D786" s="1">
        <v>45294</v>
      </c>
      <c r="E786">
        <v>57.5</v>
      </c>
      <c r="F786">
        <v>7.29</v>
      </c>
      <c r="G786">
        <v>12</v>
      </c>
      <c r="H786" t="s">
        <v>12</v>
      </c>
      <c r="I786">
        <v>3.46</v>
      </c>
      <c r="J786" t="str">
        <f t="shared" si="48"/>
        <v>Jan</v>
      </c>
      <c r="K786">
        <f t="shared" si="49"/>
        <v>2024</v>
      </c>
      <c r="L786">
        <f t="shared" si="50"/>
        <v>198.95</v>
      </c>
      <c r="M786" t="str">
        <f t="shared" si="51"/>
        <v>Weekday</v>
      </c>
    </row>
    <row r="787" spans="1:13" x14ac:dyDescent="0.35">
      <c r="A787" t="s">
        <v>802</v>
      </c>
      <c r="B787" t="s">
        <v>17</v>
      </c>
      <c r="C787" t="s">
        <v>24</v>
      </c>
      <c r="D787" s="1">
        <v>45625</v>
      </c>
      <c r="E787">
        <v>24.31</v>
      </c>
      <c r="F787">
        <v>1.51</v>
      </c>
      <c r="G787">
        <v>105</v>
      </c>
      <c r="H787" t="s">
        <v>18</v>
      </c>
      <c r="I787">
        <v>8.6999999999999993</v>
      </c>
      <c r="J787" t="str">
        <f t="shared" si="48"/>
        <v>Nov</v>
      </c>
      <c r="K787">
        <f t="shared" si="49"/>
        <v>2024</v>
      </c>
      <c r="L787">
        <f t="shared" si="50"/>
        <v>211.49699999999999</v>
      </c>
      <c r="M787" t="str">
        <f t="shared" si="51"/>
        <v>Weekday</v>
      </c>
    </row>
    <row r="788" spans="1:13" x14ac:dyDescent="0.35">
      <c r="A788" t="s">
        <v>803</v>
      </c>
      <c r="B788" t="s">
        <v>10</v>
      </c>
      <c r="C788" t="s">
        <v>24</v>
      </c>
      <c r="D788" s="1">
        <v>45369</v>
      </c>
      <c r="E788">
        <v>58.32</v>
      </c>
      <c r="F788">
        <v>9.0399999999999991</v>
      </c>
      <c r="G788">
        <v>69</v>
      </c>
      <c r="H788" t="s">
        <v>18</v>
      </c>
      <c r="I788">
        <v>7.32</v>
      </c>
      <c r="J788" t="str">
        <f t="shared" si="48"/>
        <v>Mar</v>
      </c>
      <c r="K788">
        <f t="shared" si="49"/>
        <v>2024</v>
      </c>
      <c r="L788">
        <f t="shared" si="50"/>
        <v>426.9024</v>
      </c>
      <c r="M788" t="str">
        <f t="shared" si="51"/>
        <v>Weekday</v>
      </c>
    </row>
    <row r="789" spans="1:13" x14ac:dyDescent="0.35">
      <c r="A789" t="s">
        <v>804</v>
      </c>
      <c r="B789" t="s">
        <v>10</v>
      </c>
      <c r="C789" t="s">
        <v>11</v>
      </c>
      <c r="D789" s="1">
        <v>45470</v>
      </c>
      <c r="E789">
        <v>7.45</v>
      </c>
      <c r="F789">
        <v>9.98</v>
      </c>
      <c r="G789">
        <v>35</v>
      </c>
      <c r="H789" t="s">
        <v>18</v>
      </c>
      <c r="I789">
        <v>9.01</v>
      </c>
      <c r="J789" t="str">
        <f t="shared" si="48"/>
        <v>Jun</v>
      </c>
      <c r="K789">
        <f t="shared" si="49"/>
        <v>2024</v>
      </c>
      <c r="L789">
        <f t="shared" si="50"/>
        <v>67.124499999999998</v>
      </c>
      <c r="M789" t="str">
        <f t="shared" si="51"/>
        <v>Weekday</v>
      </c>
    </row>
    <row r="790" spans="1:13" x14ac:dyDescent="0.35">
      <c r="A790" t="s">
        <v>805</v>
      </c>
      <c r="B790" t="s">
        <v>17</v>
      </c>
      <c r="C790" t="s">
        <v>24</v>
      </c>
      <c r="D790" s="1">
        <v>45321</v>
      </c>
      <c r="E790">
        <v>68.44</v>
      </c>
      <c r="F790">
        <v>6.03</v>
      </c>
      <c r="G790">
        <v>71</v>
      </c>
      <c r="H790" t="s">
        <v>18</v>
      </c>
      <c r="I790">
        <v>3.17</v>
      </c>
      <c r="J790" t="str">
        <f t="shared" si="48"/>
        <v>Jan</v>
      </c>
      <c r="K790">
        <f t="shared" si="49"/>
        <v>2024</v>
      </c>
      <c r="L790">
        <f t="shared" si="50"/>
        <v>216.95479999999998</v>
      </c>
      <c r="M790" t="str">
        <f t="shared" si="51"/>
        <v>Weekday</v>
      </c>
    </row>
    <row r="791" spans="1:13" x14ac:dyDescent="0.35">
      <c r="A791" t="s">
        <v>806</v>
      </c>
      <c r="B791" t="s">
        <v>14</v>
      </c>
      <c r="C791" t="s">
        <v>15</v>
      </c>
      <c r="D791" s="1">
        <v>45383</v>
      </c>
      <c r="E791">
        <v>65.290000000000006</v>
      </c>
      <c r="F791">
        <v>9.35</v>
      </c>
      <c r="G791">
        <v>19</v>
      </c>
      <c r="H791" t="s">
        <v>18</v>
      </c>
      <c r="I791">
        <v>6.79</v>
      </c>
      <c r="J791" t="str">
        <f t="shared" si="48"/>
        <v>Apr</v>
      </c>
      <c r="K791">
        <f t="shared" si="49"/>
        <v>2024</v>
      </c>
      <c r="L791">
        <f t="shared" si="50"/>
        <v>443.31910000000005</v>
      </c>
      <c r="M791" t="str">
        <f t="shared" si="51"/>
        <v>Weekday</v>
      </c>
    </row>
    <row r="792" spans="1:13" x14ac:dyDescent="0.35">
      <c r="A792" t="s">
        <v>807</v>
      </c>
      <c r="B792" t="s">
        <v>10</v>
      </c>
      <c r="C792" t="s">
        <v>24</v>
      </c>
      <c r="D792" s="1">
        <v>45427</v>
      </c>
      <c r="E792">
        <v>86.86</v>
      </c>
      <c r="F792">
        <v>8.9499999999999993</v>
      </c>
      <c r="G792">
        <v>42</v>
      </c>
      <c r="H792" t="s">
        <v>18</v>
      </c>
      <c r="I792">
        <v>4.53</v>
      </c>
      <c r="J792" t="str">
        <f t="shared" si="48"/>
        <v>May</v>
      </c>
      <c r="K792">
        <f t="shared" si="49"/>
        <v>2024</v>
      </c>
      <c r="L792">
        <f t="shared" si="50"/>
        <v>393.47579999999999</v>
      </c>
      <c r="M792" t="str">
        <f t="shared" si="51"/>
        <v>Weekday</v>
      </c>
    </row>
    <row r="793" spans="1:13" x14ac:dyDescent="0.35">
      <c r="A793" t="s">
        <v>808</v>
      </c>
      <c r="B793" t="s">
        <v>14</v>
      </c>
      <c r="C793" t="s">
        <v>24</v>
      </c>
      <c r="D793" s="1">
        <v>45450</v>
      </c>
      <c r="E793">
        <v>84.09</v>
      </c>
      <c r="F793">
        <v>3.69</v>
      </c>
      <c r="G793">
        <v>106</v>
      </c>
      <c r="H793" t="s">
        <v>18</v>
      </c>
      <c r="I793">
        <v>7.02</v>
      </c>
      <c r="J793" t="str">
        <f t="shared" si="48"/>
        <v>Jun</v>
      </c>
      <c r="K793">
        <f t="shared" si="49"/>
        <v>2024</v>
      </c>
      <c r="L793">
        <f t="shared" si="50"/>
        <v>590.31179999999995</v>
      </c>
      <c r="M793" t="str">
        <f t="shared" si="51"/>
        <v>Weekday</v>
      </c>
    </row>
    <row r="794" spans="1:13" x14ac:dyDescent="0.35">
      <c r="A794" t="s">
        <v>809</v>
      </c>
      <c r="B794" t="s">
        <v>17</v>
      </c>
      <c r="C794" t="s">
        <v>24</v>
      </c>
      <c r="D794" s="1">
        <v>45367</v>
      </c>
      <c r="E794">
        <v>65.260000000000005</v>
      </c>
      <c r="F794">
        <v>7.35</v>
      </c>
      <c r="G794">
        <v>82</v>
      </c>
      <c r="H794" t="s">
        <v>18</v>
      </c>
      <c r="I794">
        <v>8.19</v>
      </c>
      <c r="J794" t="str">
        <f t="shared" si="48"/>
        <v>Mar</v>
      </c>
      <c r="K794">
        <f t="shared" si="49"/>
        <v>2024</v>
      </c>
      <c r="L794">
        <f t="shared" si="50"/>
        <v>534.47940000000006</v>
      </c>
      <c r="M794" t="str">
        <f t="shared" si="51"/>
        <v>Weekend</v>
      </c>
    </row>
    <row r="795" spans="1:13" x14ac:dyDescent="0.35">
      <c r="A795" t="s">
        <v>810</v>
      </c>
      <c r="B795" t="s">
        <v>10</v>
      </c>
      <c r="C795" t="s">
        <v>15</v>
      </c>
      <c r="D795" s="1">
        <v>45633</v>
      </c>
      <c r="E795">
        <v>45.9</v>
      </c>
      <c r="F795">
        <v>4.0599999999999996</v>
      </c>
      <c r="G795">
        <v>26</v>
      </c>
      <c r="H795" t="s">
        <v>18</v>
      </c>
      <c r="I795">
        <v>3.99</v>
      </c>
      <c r="J795" t="str">
        <f t="shared" si="48"/>
        <v>Dec</v>
      </c>
      <c r="K795">
        <f t="shared" si="49"/>
        <v>2024</v>
      </c>
      <c r="L795">
        <f t="shared" si="50"/>
        <v>183.14099999999999</v>
      </c>
      <c r="M795" t="str">
        <f t="shared" si="51"/>
        <v>Weekend</v>
      </c>
    </row>
    <row r="796" spans="1:13" x14ac:dyDescent="0.35">
      <c r="A796" t="s">
        <v>811</v>
      </c>
      <c r="B796" t="s">
        <v>17</v>
      </c>
      <c r="C796" t="s">
        <v>11</v>
      </c>
      <c r="D796" s="1">
        <v>45518</v>
      </c>
      <c r="E796">
        <v>90.6</v>
      </c>
      <c r="F796">
        <v>9.14</v>
      </c>
      <c r="G796">
        <v>45</v>
      </c>
      <c r="H796" t="s">
        <v>12</v>
      </c>
      <c r="I796">
        <v>3.77</v>
      </c>
      <c r="J796" t="str">
        <f t="shared" si="48"/>
        <v>Aug</v>
      </c>
      <c r="K796">
        <f t="shared" si="49"/>
        <v>2024</v>
      </c>
      <c r="L796">
        <f t="shared" si="50"/>
        <v>341.56199999999995</v>
      </c>
      <c r="M796" t="str">
        <f t="shared" si="51"/>
        <v>Weekday</v>
      </c>
    </row>
    <row r="797" spans="1:13" x14ac:dyDescent="0.35">
      <c r="A797" t="s">
        <v>812</v>
      </c>
      <c r="B797" t="s">
        <v>14</v>
      </c>
      <c r="C797" t="s">
        <v>15</v>
      </c>
      <c r="D797" s="1">
        <v>45541</v>
      </c>
      <c r="E797">
        <v>6.03</v>
      </c>
      <c r="F797">
        <v>1.86</v>
      </c>
      <c r="G797">
        <v>57</v>
      </c>
      <c r="H797" t="s">
        <v>12</v>
      </c>
      <c r="I797">
        <v>8.44</v>
      </c>
      <c r="J797" t="str">
        <f t="shared" si="48"/>
        <v>Sep</v>
      </c>
      <c r="K797">
        <f t="shared" si="49"/>
        <v>2024</v>
      </c>
      <c r="L797">
        <f t="shared" si="50"/>
        <v>50.8932</v>
      </c>
      <c r="M797" t="str">
        <f t="shared" si="51"/>
        <v>Weekday</v>
      </c>
    </row>
    <row r="798" spans="1:13" x14ac:dyDescent="0.35">
      <c r="A798" t="s">
        <v>813</v>
      </c>
      <c r="B798" t="s">
        <v>10</v>
      </c>
      <c r="C798" t="s">
        <v>24</v>
      </c>
      <c r="D798" s="1">
        <v>45424</v>
      </c>
      <c r="E798">
        <v>85.81</v>
      </c>
      <c r="F798">
        <v>9.08</v>
      </c>
      <c r="G798">
        <v>66</v>
      </c>
      <c r="H798" t="s">
        <v>18</v>
      </c>
      <c r="I798">
        <v>7.73</v>
      </c>
      <c r="J798" t="str">
        <f t="shared" si="48"/>
        <v>May</v>
      </c>
      <c r="K798">
        <f t="shared" si="49"/>
        <v>2024</v>
      </c>
      <c r="L798">
        <f t="shared" si="50"/>
        <v>663.31130000000007</v>
      </c>
      <c r="M798" t="str">
        <f t="shared" si="51"/>
        <v>Weekend</v>
      </c>
    </row>
    <row r="799" spans="1:13" x14ac:dyDescent="0.35">
      <c r="A799" t="s">
        <v>814</v>
      </c>
      <c r="B799" t="s">
        <v>14</v>
      </c>
      <c r="C799" t="s">
        <v>24</v>
      </c>
      <c r="D799" s="1">
        <v>45574</v>
      </c>
      <c r="E799">
        <v>99.68</v>
      </c>
      <c r="F799">
        <v>7.36</v>
      </c>
      <c r="G799">
        <v>21</v>
      </c>
      <c r="H799" t="s">
        <v>18</v>
      </c>
      <c r="I799">
        <v>7.42</v>
      </c>
      <c r="J799" t="str">
        <f t="shared" si="48"/>
        <v>Oct</v>
      </c>
      <c r="K799">
        <f t="shared" si="49"/>
        <v>2024</v>
      </c>
      <c r="L799">
        <f t="shared" si="50"/>
        <v>739.62560000000008</v>
      </c>
      <c r="M799" t="str">
        <f t="shared" si="51"/>
        <v>Weekday</v>
      </c>
    </row>
    <row r="800" spans="1:13" x14ac:dyDescent="0.35">
      <c r="A800" t="s">
        <v>815</v>
      </c>
      <c r="B800" t="s">
        <v>14</v>
      </c>
      <c r="C800" t="s">
        <v>11</v>
      </c>
      <c r="D800" s="1">
        <v>45300</v>
      </c>
      <c r="E800">
        <v>99.58</v>
      </c>
      <c r="F800">
        <v>4.6100000000000003</v>
      </c>
      <c r="G800">
        <v>22</v>
      </c>
      <c r="H800" t="s">
        <v>12</v>
      </c>
      <c r="I800">
        <v>4.84</v>
      </c>
      <c r="J800" t="str">
        <f t="shared" si="48"/>
        <v>Jan</v>
      </c>
      <c r="K800">
        <f t="shared" si="49"/>
        <v>2024</v>
      </c>
      <c r="L800">
        <f t="shared" si="50"/>
        <v>481.96719999999999</v>
      </c>
      <c r="M800" t="str">
        <f t="shared" si="51"/>
        <v>Weekday</v>
      </c>
    </row>
    <row r="801" spans="1:13" x14ac:dyDescent="0.35">
      <c r="A801" t="s">
        <v>816</v>
      </c>
      <c r="B801" t="s">
        <v>17</v>
      </c>
      <c r="C801" t="s">
        <v>24</v>
      </c>
      <c r="D801" s="1">
        <v>45615</v>
      </c>
      <c r="E801">
        <v>89.99</v>
      </c>
      <c r="F801">
        <v>5.34</v>
      </c>
      <c r="G801">
        <v>117</v>
      </c>
      <c r="H801" t="s">
        <v>18</v>
      </c>
      <c r="I801">
        <v>8.2200000000000006</v>
      </c>
      <c r="J801" t="str">
        <f t="shared" si="48"/>
        <v>Nov</v>
      </c>
      <c r="K801">
        <f t="shared" si="49"/>
        <v>2024</v>
      </c>
      <c r="L801">
        <f t="shared" si="50"/>
        <v>739.71780000000001</v>
      </c>
      <c r="M801" t="str">
        <f t="shared" si="51"/>
        <v>Weekday</v>
      </c>
    </row>
    <row r="802" spans="1:13" x14ac:dyDescent="0.35">
      <c r="A802" t="s">
        <v>817</v>
      </c>
      <c r="B802" t="s">
        <v>17</v>
      </c>
      <c r="C802" t="s">
        <v>24</v>
      </c>
      <c r="D802" s="1">
        <v>45362</v>
      </c>
      <c r="E802">
        <v>22.34</v>
      </c>
      <c r="F802">
        <v>8.01</v>
      </c>
      <c r="G802">
        <v>117</v>
      </c>
      <c r="H802" t="s">
        <v>18</v>
      </c>
      <c r="I802">
        <v>9.51</v>
      </c>
      <c r="J802" t="str">
        <f t="shared" si="48"/>
        <v>Mar</v>
      </c>
      <c r="K802">
        <f t="shared" si="49"/>
        <v>2024</v>
      </c>
      <c r="L802">
        <f t="shared" si="50"/>
        <v>212.45339999999999</v>
      </c>
      <c r="M802" t="str">
        <f t="shared" si="51"/>
        <v>Weekday</v>
      </c>
    </row>
    <row r="803" spans="1:13" x14ac:dyDescent="0.35">
      <c r="A803" t="s">
        <v>818</v>
      </c>
      <c r="B803" t="s">
        <v>10</v>
      </c>
      <c r="C803" t="s">
        <v>11</v>
      </c>
      <c r="D803" s="1">
        <v>45578</v>
      </c>
      <c r="E803">
        <v>24.32</v>
      </c>
      <c r="F803">
        <v>4.1500000000000004</v>
      </c>
      <c r="G803">
        <v>114</v>
      </c>
      <c r="H803" t="s">
        <v>18</v>
      </c>
      <c r="I803">
        <v>3.53</v>
      </c>
      <c r="J803" t="str">
        <f t="shared" si="48"/>
        <v>Oct</v>
      </c>
      <c r="K803">
        <f t="shared" si="49"/>
        <v>2024</v>
      </c>
      <c r="L803">
        <f t="shared" si="50"/>
        <v>85.849599999999995</v>
      </c>
      <c r="M803" t="str">
        <f t="shared" si="51"/>
        <v>Weekend</v>
      </c>
    </row>
    <row r="804" spans="1:13" x14ac:dyDescent="0.35">
      <c r="A804" t="s">
        <v>819</v>
      </c>
      <c r="B804" t="s">
        <v>10</v>
      </c>
      <c r="C804" t="s">
        <v>11</v>
      </c>
      <c r="D804" s="1">
        <v>45581</v>
      </c>
      <c r="E804">
        <v>30.05</v>
      </c>
      <c r="F804">
        <v>3.07</v>
      </c>
      <c r="G804">
        <v>39</v>
      </c>
      <c r="H804" t="s">
        <v>12</v>
      </c>
      <c r="I804">
        <v>8.83</v>
      </c>
      <c r="J804" t="str">
        <f t="shared" si="48"/>
        <v>Oct</v>
      </c>
      <c r="K804">
        <f t="shared" si="49"/>
        <v>2024</v>
      </c>
      <c r="L804">
        <f t="shared" si="50"/>
        <v>265.3415</v>
      </c>
      <c r="M804" t="str">
        <f t="shared" si="51"/>
        <v>Weekday</v>
      </c>
    </row>
    <row r="805" spans="1:13" x14ac:dyDescent="0.35">
      <c r="A805" t="s">
        <v>820</v>
      </c>
      <c r="B805" t="s">
        <v>10</v>
      </c>
      <c r="C805" t="s">
        <v>24</v>
      </c>
      <c r="D805" s="1">
        <v>45332</v>
      </c>
      <c r="E805">
        <v>64.650000000000006</v>
      </c>
      <c r="F805">
        <v>8.83</v>
      </c>
      <c r="G805">
        <v>118</v>
      </c>
      <c r="H805" t="s">
        <v>18</v>
      </c>
      <c r="I805">
        <v>4.53</v>
      </c>
      <c r="J805" t="str">
        <f t="shared" si="48"/>
        <v>Feb</v>
      </c>
      <c r="K805">
        <f t="shared" si="49"/>
        <v>2024</v>
      </c>
      <c r="L805">
        <f t="shared" si="50"/>
        <v>292.86450000000002</v>
      </c>
      <c r="M805" t="str">
        <f t="shared" si="51"/>
        <v>Weekend</v>
      </c>
    </row>
    <row r="806" spans="1:13" x14ac:dyDescent="0.35">
      <c r="A806" t="s">
        <v>821</v>
      </c>
      <c r="B806" t="s">
        <v>14</v>
      </c>
      <c r="C806" t="s">
        <v>24</v>
      </c>
      <c r="D806" s="1">
        <v>45422</v>
      </c>
      <c r="E806">
        <v>20.43</v>
      </c>
      <c r="F806">
        <v>8.51</v>
      </c>
      <c r="G806">
        <v>43</v>
      </c>
      <c r="H806" t="s">
        <v>12</v>
      </c>
      <c r="I806">
        <v>5.05</v>
      </c>
      <c r="J806" t="str">
        <f t="shared" si="48"/>
        <v>May</v>
      </c>
      <c r="K806">
        <f t="shared" si="49"/>
        <v>2024</v>
      </c>
      <c r="L806">
        <f t="shared" si="50"/>
        <v>103.17149999999999</v>
      </c>
      <c r="M806" t="str">
        <f t="shared" si="51"/>
        <v>Weekday</v>
      </c>
    </row>
    <row r="807" spans="1:13" x14ac:dyDescent="0.35">
      <c r="A807" t="s">
        <v>822</v>
      </c>
      <c r="B807" t="s">
        <v>17</v>
      </c>
      <c r="C807" t="s">
        <v>11</v>
      </c>
      <c r="D807" s="1">
        <v>45402</v>
      </c>
      <c r="E807">
        <v>56.32</v>
      </c>
      <c r="F807">
        <v>9.64</v>
      </c>
      <c r="G807">
        <v>117</v>
      </c>
      <c r="H807" t="s">
        <v>12</v>
      </c>
      <c r="I807">
        <v>5.1100000000000003</v>
      </c>
      <c r="J807" t="str">
        <f t="shared" si="48"/>
        <v>Apr</v>
      </c>
      <c r="K807">
        <f t="shared" si="49"/>
        <v>2024</v>
      </c>
      <c r="L807">
        <f t="shared" si="50"/>
        <v>287.79520000000002</v>
      </c>
      <c r="M807" t="str">
        <f t="shared" si="51"/>
        <v>Weekend</v>
      </c>
    </row>
    <row r="808" spans="1:13" x14ac:dyDescent="0.35">
      <c r="A808" t="s">
        <v>823</v>
      </c>
      <c r="B808" t="s">
        <v>10</v>
      </c>
      <c r="C808" t="s">
        <v>24</v>
      </c>
      <c r="D808" s="1">
        <v>45295</v>
      </c>
      <c r="E808">
        <v>30.04</v>
      </c>
      <c r="F808">
        <v>9.4700000000000006</v>
      </c>
      <c r="G808">
        <v>7</v>
      </c>
      <c r="H808" t="s">
        <v>12</v>
      </c>
      <c r="I808">
        <v>6.86</v>
      </c>
      <c r="J808" t="str">
        <f t="shared" si="48"/>
        <v>Jan</v>
      </c>
      <c r="K808">
        <f t="shared" si="49"/>
        <v>2024</v>
      </c>
      <c r="L808">
        <f t="shared" si="50"/>
        <v>206.0744</v>
      </c>
      <c r="M808" t="str">
        <f t="shared" si="51"/>
        <v>Weekday</v>
      </c>
    </row>
    <row r="809" spans="1:13" x14ac:dyDescent="0.35">
      <c r="A809" t="s">
        <v>824</v>
      </c>
      <c r="B809" t="s">
        <v>10</v>
      </c>
      <c r="C809" t="s">
        <v>15</v>
      </c>
      <c r="D809" s="1">
        <v>45502</v>
      </c>
      <c r="E809">
        <v>34.92</v>
      </c>
      <c r="F809">
        <v>2.65</v>
      </c>
      <c r="G809">
        <v>101</v>
      </c>
      <c r="H809" t="s">
        <v>12</v>
      </c>
      <c r="I809">
        <v>6.31</v>
      </c>
      <c r="J809" t="str">
        <f t="shared" si="48"/>
        <v>Jul</v>
      </c>
      <c r="K809">
        <f t="shared" si="49"/>
        <v>2024</v>
      </c>
      <c r="L809">
        <f t="shared" si="50"/>
        <v>220.34520000000001</v>
      </c>
      <c r="M809" t="str">
        <f t="shared" si="51"/>
        <v>Weekday</v>
      </c>
    </row>
    <row r="810" spans="1:13" x14ac:dyDescent="0.35">
      <c r="A810" t="s">
        <v>825</v>
      </c>
      <c r="B810" t="s">
        <v>14</v>
      </c>
      <c r="C810" t="s">
        <v>15</v>
      </c>
      <c r="D810" s="1">
        <v>45645</v>
      </c>
      <c r="E810">
        <v>72.12</v>
      </c>
      <c r="F810">
        <v>4.4400000000000004</v>
      </c>
      <c r="G810">
        <v>45</v>
      </c>
      <c r="H810" t="s">
        <v>12</v>
      </c>
      <c r="I810">
        <v>4.16</v>
      </c>
      <c r="J810" t="str">
        <f t="shared" si="48"/>
        <v>Dec</v>
      </c>
      <c r="K810">
        <f t="shared" si="49"/>
        <v>2024</v>
      </c>
      <c r="L810">
        <f t="shared" si="50"/>
        <v>300.01920000000001</v>
      </c>
      <c r="M810" t="str">
        <f t="shared" si="51"/>
        <v>Weekday</v>
      </c>
    </row>
    <row r="811" spans="1:13" x14ac:dyDescent="0.35">
      <c r="A811" t="s">
        <v>826</v>
      </c>
      <c r="B811" t="s">
        <v>17</v>
      </c>
      <c r="C811" t="s">
        <v>15</v>
      </c>
      <c r="D811" s="1">
        <v>45540</v>
      </c>
      <c r="E811">
        <v>18.09</v>
      </c>
      <c r="F811">
        <v>7.28</v>
      </c>
      <c r="G811">
        <v>29</v>
      </c>
      <c r="H811" t="s">
        <v>12</v>
      </c>
      <c r="I811">
        <v>9.17</v>
      </c>
      <c r="J811" t="str">
        <f t="shared" si="48"/>
        <v>Sep</v>
      </c>
      <c r="K811">
        <f t="shared" si="49"/>
        <v>2024</v>
      </c>
      <c r="L811">
        <f t="shared" si="50"/>
        <v>165.8853</v>
      </c>
      <c r="M811" t="str">
        <f t="shared" si="51"/>
        <v>Weekday</v>
      </c>
    </row>
    <row r="812" spans="1:13" x14ac:dyDescent="0.35">
      <c r="A812" t="s">
        <v>827</v>
      </c>
      <c r="B812" t="s">
        <v>17</v>
      </c>
      <c r="C812" t="s">
        <v>24</v>
      </c>
      <c r="D812" s="1">
        <v>45495</v>
      </c>
      <c r="E812">
        <v>97.92</v>
      </c>
      <c r="F812">
        <v>8.48</v>
      </c>
      <c r="G812">
        <v>117</v>
      </c>
      <c r="H812" t="s">
        <v>18</v>
      </c>
      <c r="I812">
        <v>5.25</v>
      </c>
      <c r="J812" t="str">
        <f t="shared" si="48"/>
        <v>Jul</v>
      </c>
      <c r="K812">
        <f t="shared" si="49"/>
        <v>2024</v>
      </c>
      <c r="L812">
        <f t="shared" si="50"/>
        <v>514.08000000000004</v>
      </c>
      <c r="M812" t="str">
        <f t="shared" si="51"/>
        <v>Weekday</v>
      </c>
    </row>
    <row r="813" spans="1:13" x14ac:dyDescent="0.35">
      <c r="A813" t="s">
        <v>828</v>
      </c>
      <c r="B813" t="s">
        <v>17</v>
      </c>
      <c r="C813" t="s">
        <v>11</v>
      </c>
      <c r="D813" s="1">
        <v>45430</v>
      </c>
      <c r="E813">
        <v>38.409999999999997</v>
      </c>
      <c r="F813">
        <v>5.48</v>
      </c>
      <c r="G813">
        <v>6</v>
      </c>
      <c r="H813" t="s">
        <v>12</v>
      </c>
      <c r="I813">
        <v>4.29</v>
      </c>
      <c r="J813" t="str">
        <f t="shared" si="48"/>
        <v>May</v>
      </c>
      <c r="K813">
        <f t="shared" si="49"/>
        <v>2024</v>
      </c>
      <c r="L813">
        <f t="shared" si="50"/>
        <v>164.77889999999999</v>
      </c>
      <c r="M813" t="str">
        <f t="shared" si="51"/>
        <v>Weekend</v>
      </c>
    </row>
    <row r="814" spans="1:13" x14ac:dyDescent="0.35">
      <c r="A814" t="s">
        <v>829</v>
      </c>
      <c r="B814" t="s">
        <v>17</v>
      </c>
      <c r="C814" t="s">
        <v>15</v>
      </c>
      <c r="D814" s="1">
        <v>45450</v>
      </c>
      <c r="E814">
        <v>5.57</v>
      </c>
      <c r="F814">
        <v>6.84</v>
      </c>
      <c r="G814">
        <v>71</v>
      </c>
      <c r="H814" t="s">
        <v>18</v>
      </c>
      <c r="I814">
        <v>8.8699999999999992</v>
      </c>
      <c r="J814" t="str">
        <f t="shared" si="48"/>
        <v>Jun</v>
      </c>
      <c r="K814">
        <f t="shared" si="49"/>
        <v>2024</v>
      </c>
      <c r="L814">
        <f t="shared" si="50"/>
        <v>49.405899999999995</v>
      </c>
      <c r="M814" t="str">
        <f t="shared" si="51"/>
        <v>Weekday</v>
      </c>
    </row>
    <row r="815" spans="1:13" x14ac:dyDescent="0.35">
      <c r="A815" t="s">
        <v>830</v>
      </c>
      <c r="B815" t="s">
        <v>10</v>
      </c>
      <c r="C815" t="s">
        <v>15</v>
      </c>
      <c r="D815" s="1">
        <v>45439</v>
      </c>
      <c r="E815">
        <v>17.72</v>
      </c>
      <c r="F815">
        <v>6.57</v>
      </c>
      <c r="G815">
        <v>112</v>
      </c>
      <c r="H815" t="s">
        <v>18</v>
      </c>
      <c r="I815">
        <v>6.78</v>
      </c>
      <c r="J815" t="str">
        <f t="shared" si="48"/>
        <v>May</v>
      </c>
      <c r="K815">
        <f t="shared" si="49"/>
        <v>2024</v>
      </c>
      <c r="L815">
        <f t="shared" si="50"/>
        <v>120.1416</v>
      </c>
      <c r="M815" t="str">
        <f t="shared" si="51"/>
        <v>Weekday</v>
      </c>
    </row>
    <row r="816" spans="1:13" x14ac:dyDescent="0.35">
      <c r="A816" t="s">
        <v>831</v>
      </c>
      <c r="B816" t="s">
        <v>17</v>
      </c>
      <c r="C816" t="s">
        <v>11</v>
      </c>
      <c r="D816" s="1">
        <v>45435</v>
      </c>
      <c r="E816">
        <v>83.56</v>
      </c>
      <c r="F816">
        <v>1.1200000000000001</v>
      </c>
      <c r="G816">
        <v>69</v>
      </c>
      <c r="H816" t="s">
        <v>12</v>
      </c>
      <c r="I816">
        <v>6.05</v>
      </c>
      <c r="J816" t="str">
        <f t="shared" si="48"/>
        <v>May</v>
      </c>
      <c r="K816">
        <f t="shared" si="49"/>
        <v>2024</v>
      </c>
      <c r="L816">
        <f t="shared" si="50"/>
        <v>505.53800000000001</v>
      </c>
      <c r="M816" t="str">
        <f t="shared" si="51"/>
        <v>Weekday</v>
      </c>
    </row>
    <row r="817" spans="1:13" x14ac:dyDescent="0.35">
      <c r="A817" t="s">
        <v>832</v>
      </c>
      <c r="B817" t="s">
        <v>17</v>
      </c>
      <c r="C817" t="s">
        <v>11</v>
      </c>
      <c r="D817" s="1">
        <v>45604</v>
      </c>
      <c r="E817">
        <v>30.08</v>
      </c>
      <c r="F817">
        <v>7.61</v>
      </c>
      <c r="G817">
        <v>11</v>
      </c>
      <c r="H817" t="s">
        <v>18</v>
      </c>
      <c r="I817">
        <v>5.36</v>
      </c>
      <c r="J817" t="str">
        <f t="shared" si="48"/>
        <v>Nov</v>
      </c>
      <c r="K817">
        <f t="shared" si="49"/>
        <v>2024</v>
      </c>
      <c r="L817">
        <f t="shared" si="50"/>
        <v>161.22880000000001</v>
      </c>
      <c r="M817" t="str">
        <f t="shared" si="51"/>
        <v>Weekday</v>
      </c>
    </row>
    <row r="818" spans="1:13" x14ac:dyDescent="0.35">
      <c r="A818" t="s">
        <v>833</v>
      </c>
      <c r="B818" t="s">
        <v>17</v>
      </c>
      <c r="C818" t="s">
        <v>24</v>
      </c>
      <c r="D818" s="1">
        <v>45446</v>
      </c>
      <c r="E818">
        <v>75.38</v>
      </c>
      <c r="F818">
        <v>7.08</v>
      </c>
      <c r="G818">
        <v>112</v>
      </c>
      <c r="H818" t="s">
        <v>18</v>
      </c>
      <c r="I818">
        <v>9.7200000000000006</v>
      </c>
      <c r="J818" t="str">
        <f t="shared" si="48"/>
        <v>Jun</v>
      </c>
      <c r="K818">
        <f t="shared" si="49"/>
        <v>2024</v>
      </c>
      <c r="L818">
        <f t="shared" si="50"/>
        <v>732.69360000000006</v>
      </c>
      <c r="M818" t="str">
        <f t="shared" si="51"/>
        <v>Weekday</v>
      </c>
    </row>
    <row r="819" spans="1:13" x14ac:dyDescent="0.35">
      <c r="A819" t="s">
        <v>834</v>
      </c>
      <c r="B819" t="s">
        <v>17</v>
      </c>
      <c r="C819" t="s">
        <v>24</v>
      </c>
      <c r="D819" s="1">
        <v>45608</v>
      </c>
      <c r="E819">
        <v>75.48</v>
      </c>
      <c r="F819">
        <v>8.4600000000000009</v>
      </c>
      <c r="G819">
        <v>103</v>
      </c>
      <c r="H819" t="s">
        <v>18</v>
      </c>
      <c r="I819">
        <v>3.81</v>
      </c>
      <c r="J819" t="str">
        <f t="shared" si="48"/>
        <v>Nov</v>
      </c>
      <c r="K819">
        <f t="shared" si="49"/>
        <v>2024</v>
      </c>
      <c r="L819">
        <f t="shared" si="50"/>
        <v>287.5788</v>
      </c>
      <c r="M819" t="str">
        <f t="shared" si="51"/>
        <v>Weekday</v>
      </c>
    </row>
    <row r="820" spans="1:13" x14ac:dyDescent="0.35">
      <c r="A820" t="s">
        <v>835</v>
      </c>
      <c r="B820" t="s">
        <v>17</v>
      </c>
      <c r="C820" t="s">
        <v>11</v>
      </c>
      <c r="D820" s="1">
        <v>45549</v>
      </c>
      <c r="E820">
        <v>14.07</v>
      </c>
      <c r="F820">
        <v>1.26</v>
      </c>
      <c r="G820">
        <v>22</v>
      </c>
      <c r="H820" t="s">
        <v>18</v>
      </c>
      <c r="I820">
        <v>7.99</v>
      </c>
      <c r="J820" t="str">
        <f t="shared" si="48"/>
        <v>Sep</v>
      </c>
      <c r="K820">
        <f t="shared" si="49"/>
        <v>2024</v>
      </c>
      <c r="L820">
        <f t="shared" si="50"/>
        <v>112.41930000000001</v>
      </c>
      <c r="M820" t="str">
        <f t="shared" si="51"/>
        <v>Weekend</v>
      </c>
    </row>
    <row r="821" spans="1:13" x14ac:dyDescent="0.35">
      <c r="A821" t="s">
        <v>836</v>
      </c>
      <c r="B821" t="s">
        <v>14</v>
      </c>
      <c r="C821" t="s">
        <v>11</v>
      </c>
      <c r="D821" s="1">
        <v>45413</v>
      </c>
      <c r="E821">
        <v>85.64</v>
      </c>
      <c r="F821">
        <v>3.86</v>
      </c>
      <c r="G821">
        <v>37</v>
      </c>
      <c r="H821" t="s">
        <v>18</v>
      </c>
      <c r="I821">
        <v>6.71</v>
      </c>
      <c r="J821" t="str">
        <f t="shared" si="48"/>
        <v>May</v>
      </c>
      <c r="K821">
        <f t="shared" si="49"/>
        <v>2024</v>
      </c>
      <c r="L821">
        <f t="shared" si="50"/>
        <v>574.64440000000002</v>
      </c>
      <c r="M821" t="str">
        <f t="shared" si="51"/>
        <v>Weekday</v>
      </c>
    </row>
    <row r="822" spans="1:13" x14ac:dyDescent="0.35">
      <c r="A822" t="s">
        <v>837</v>
      </c>
      <c r="B822" t="s">
        <v>17</v>
      </c>
      <c r="C822" t="s">
        <v>11</v>
      </c>
      <c r="D822" s="1">
        <v>45396</v>
      </c>
      <c r="E822">
        <v>59.36</v>
      </c>
      <c r="F822">
        <v>8.42</v>
      </c>
      <c r="G822">
        <v>69</v>
      </c>
      <c r="H822" t="s">
        <v>12</v>
      </c>
      <c r="I822">
        <v>4.4000000000000004</v>
      </c>
      <c r="J822" t="str">
        <f t="shared" si="48"/>
        <v>Apr</v>
      </c>
      <c r="K822">
        <f t="shared" si="49"/>
        <v>2024</v>
      </c>
      <c r="L822">
        <f t="shared" si="50"/>
        <v>261.18400000000003</v>
      </c>
      <c r="M822" t="str">
        <f t="shared" si="51"/>
        <v>Weekend</v>
      </c>
    </row>
    <row r="823" spans="1:13" x14ac:dyDescent="0.35">
      <c r="A823" t="s">
        <v>838</v>
      </c>
      <c r="B823" t="s">
        <v>14</v>
      </c>
      <c r="C823" t="s">
        <v>11</v>
      </c>
      <c r="D823" s="1">
        <v>45371</v>
      </c>
      <c r="E823">
        <v>92.55</v>
      </c>
      <c r="F823">
        <v>5.22</v>
      </c>
      <c r="G823">
        <v>79</v>
      </c>
      <c r="H823" t="s">
        <v>12</v>
      </c>
      <c r="I823">
        <v>8.77</v>
      </c>
      <c r="J823" t="str">
        <f t="shared" si="48"/>
        <v>Mar</v>
      </c>
      <c r="K823">
        <f t="shared" si="49"/>
        <v>2024</v>
      </c>
      <c r="L823">
        <f t="shared" si="50"/>
        <v>811.66349999999989</v>
      </c>
      <c r="M823" t="str">
        <f t="shared" si="51"/>
        <v>Weekday</v>
      </c>
    </row>
    <row r="824" spans="1:13" x14ac:dyDescent="0.35">
      <c r="A824" t="s">
        <v>839</v>
      </c>
      <c r="B824" t="s">
        <v>17</v>
      </c>
      <c r="C824" t="s">
        <v>11</v>
      </c>
      <c r="D824" s="1">
        <v>45515</v>
      </c>
      <c r="E824">
        <v>65.86</v>
      </c>
      <c r="F824">
        <v>6.4</v>
      </c>
      <c r="G824">
        <v>54</v>
      </c>
      <c r="H824" t="s">
        <v>18</v>
      </c>
      <c r="I824">
        <v>3.69</v>
      </c>
      <c r="J824" t="str">
        <f t="shared" si="48"/>
        <v>Aug</v>
      </c>
      <c r="K824">
        <f t="shared" si="49"/>
        <v>2024</v>
      </c>
      <c r="L824">
        <f t="shared" si="50"/>
        <v>243.02339999999998</v>
      </c>
      <c r="M824" t="str">
        <f t="shared" si="51"/>
        <v>Weekend</v>
      </c>
    </row>
    <row r="825" spans="1:13" x14ac:dyDescent="0.35">
      <c r="A825" t="s">
        <v>840</v>
      </c>
      <c r="B825" t="s">
        <v>14</v>
      </c>
      <c r="C825" t="s">
        <v>15</v>
      </c>
      <c r="D825" s="1">
        <v>45318</v>
      </c>
      <c r="E825">
        <v>48.32</v>
      </c>
      <c r="F825">
        <v>8.4</v>
      </c>
      <c r="G825">
        <v>20</v>
      </c>
      <c r="H825" t="s">
        <v>18</v>
      </c>
      <c r="I825">
        <v>4.6399999999999997</v>
      </c>
      <c r="J825" t="str">
        <f t="shared" si="48"/>
        <v>Jan</v>
      </c>
      <c r="K825">
        <f t="shared" si="49"/>
        <v>2024</v>
      </c>
      <c r="L825">
        <f t="shared" si="50"/>
        <v>224.20479999999998</v>
      </c>
      <c r="M825" t="str">
        <f t="shared" si="51"/>
        <v>Weekend</v>
      </c>
    </row>
    <row r="826" spans="1:13" x14ac:dyDescent="0.35">
      <c r="A826" t="s">
        <v>841</v>
      </c>
      <c r="B826" t="s">
        <v>10</v>
      </c>
      <c r="C826" t="s">
        <v>24</v>
      </c>
      <c r="D826" s="1">
        <v>45327</v>
      </c>
      <c r="E826">
        <v>27.66</v>
      </c>
      <c r="F826">
        <v>2.48</v>
      </c>
      <c r="G826">
        <v>63</v>
      </c>
      <c r="H826" t="s">
        <v>12</v>
      </c>
      <c r="I826">
        <v>3.42</v>
      </c>
      <c r="J826" t="str">
        <f t="shared" si="48"/>
        <v>Feb</v>
      </c>
      <c r="K826">
        <f t="shared" si="49"/>
        <v>2024</v>
      </c>
      <c r="L826">
        <f t="shared" si="50"/>
        <v>94.597200000000001</v>
      </c>
      <c r="M826" t="str">
        <f t="shared" si="51"/>
        <v>Weekday</v>
      </c>
    </row>
    <row r="827" spans="1:13" x14ac:dyDescent="0.35">
      <c r="A827" t="s">
        <v>842</v>
      </c>
      <c r="B827" t="s">
        <v>17</v>
      </c>
      <c r="C827" t="s">
        <v>24</v>
      </c>
      <c r="D827" s="1">
        <v>45372</v>
      </c>
      <c r="E827">
        <v>32.64</v>
      </c>
      <c r="F827">
        <v>8.4</v>
      </c>
      <c r="G827">
        <v>54</v>
      </c>
      <c r="H827" t="s">
        <v>12</v>
      </c>
      <c r="I827">
        <v>8.9499999999999993</v>
      </c>
      <c r="J827" t="str">
        <f t="shared" si="48"/>
        <v>Mar</v>
      </c>
      <c r="K827">
        <f t="shared" si="49"/>
        <v>2024</v>
      </c>
      <c r="L827">
        <f t="shared" si="50"/>
        <v>292.12799999999999</v>
      </c>
      <c r="M827" t="str">
        <f t="shared" si="51"/>
        <v>Weekday</v>
      </c>
    </row>
    <row r="828" spans="1:13" x14ac:dyDescent="0.35">
      <c r="A828" t="s">
        <v>843</v>
      </c>
      <c r="B828" t="s">
        <v>14</v>
      </c>
      <c r="C828" t="s">
        <v>15</v>
      </c>
      <c r="D828" s="1">
        <v>45306</v>
      </c>
      <c r="E828">
        <v>5.33</v>
      </c>
      <c r="F828">
        <v>4.38</v>
      </c>
      <c r="G828">
        <v>42</v>
      </c>
      <c r="H828" t="s">
        <v>18</v>
      </c>
      <c r="I828">
        <v>4.6900000000000004</v>
      </c>
      <c r="J828" t="str">
        <f t="shared" si="48"/>
        <v>Jan</v>
      </c>
      <c r="K828">
        <f t="shared" si="49"/>
        <v>2024</v>
      </c>
      <c r="L828">
        <f t="shared" si="50"/>
        <v>24.997700000000002</v>
      </c>
      <c r="M828" t="str">
        <f t="shared" si="51"/>
        <v>Weekday</v>
      </c>
    </row>
    <row r="829" spans="1:13" x14ac:dyDescent="0.35">
      <c r="A829" t="s">
        <v>844</v>
      </c>
      <c r="B829" t="s">
        <v>10</v>
      </c>
      <c r="C829" t="s">
        <v>15</v>
      </c>
      <c r="D829" s="1">
        <v>45517</v>
      </c>
      <c r="E829">
        <v>41.28</v>
      </c>
      <c r="F829">
        <v>9.89</v>
      </c>
      <c r="G829">
        <v>38</v>
      </c>
      <c r="H829" t="s">
        <v>12</v>
      </c>
      <c r="I829">
        <v>8.66</v>
      </c>
      <c r="J829" t="str">
        <f t="shared" si="48"/>
        <v>Aug</v>
      </c>
      <c r="K829">
        <f t="shared" si="49"/>
        <v>2024</v>
      </c>
      <c r="L829">
        <f t="shared" si="50"/>
        <v>357.48480000000001</v>
      </c>
      <c r="M829" t="str">
        <f t="shared" si="51"/>
        <v>Weekday</v>
      </c>
    </row>
    <row r="830" spans="1:13" x14ac:dyDescent="0.35">
      <c r="A830" t="s">
        <v>845</v>
      </c>
      <c r="B830" t="s">
        <v>17</v>
      </c>
      <c r="C830" t="s">
        <v>11</v>
      </c>
      <c r="D830" s="1">
        <v>45439</v>
      </c>
      <c r="E830">
        <v>69.099999999999994</v>
      </c>
      <c r="F830">
        <v>5.15</v>
      </c>
      <c r="G830">
        <v>75</v>
      </c>
      <c r="H830" t="s">
        <v>12</v>
      </c>
      <c r="I830">
        <v>8.68</v>
      </c>
      <c r="J830" t="str">
        <f t="shared" si="48"/>
        <v>May</v>
      </c>
      <c r="K830">
        <f t="shared" si="49"/>
        <v>2024</v>
      </c>
      <c r="L830">
        <f t="shared" si="50"/>
        <v>599.7879999999999</v>
      </c>
      <c r="M830" t="str">
        <f t="shared" si="51"/>
        <v>Weekday</v>
      </c>
    </row>
    <row r="831" spans="1:13" x14ac:dyDescent="0.35">
      <c r="A831" t="s">
        <v>846</v>
      </c>
      <c r="B831" t="s">
        <v>10</v>
      </c>
      <c r="C831" t="s">
        <v>24</v>
      </c>
      <c r="D831" s="1">
        <v>45421</v>
      </c>
      <c r="E831">
        <v>95.64</v>
      </c>
      <c r="F831">
        <v>2.56</v>
      </c>
      <c r="G831">
        <v>70</v>
      </c>
      <c r="H831" t="s">
        <v>18</v>
      </c>
      <c r="I831">
        <v>8.7100000000000009</v>
      </c>
      <c r="J831" t="str">
        <f t="shared" si="48"/>
        <v>May</v>
      </c>
      <c r="K831">
        <f t="shared" si="49"/>
        <v>2024</v>
      </c>
      <c r="L831">
        <f t="shared" si="50"/>
        <v>833.02440000000013</v>
      </c>
      <c r="M831" t="str">
        <f t="shared" si="51"/>
        <v>Weekday</v>
      </c>
    </row>
    <row r="832" spans="1:13" x14ac:dyDescent="0.35">
      <c r="A832" t="s">
        <v>847</v>
      </c>
      <c r="B832" t="s">
        <v>17</v>
      </c>
      <c r="C832" t="s">
        <v>15</v>
      </c>
      <c r="D832" s="1">
        <v>45332</v>
      </c>
      <c r="E832">
        <v>37.04</v>
      </c>
      <c r="F832">
        <v>6.62</v>
      </c>
      <c r="G832">
        <v>113</v>
      </c>
      <c r="H832" t="s">
        <v>12</v>
      </c>
      <c r="I832">
        <v>5.89</v>
      </c>
      <c r="J832" t="str">
        <f t="shared" si="48"/>
        <v>Feb</v>
      </c>
      <c r="K832">
        <f t="shared" si="49"/>
        <v>2024</v>
      </c>
      <c r="L832">
        <f t="shared" si="50"/>
        <v>218.16559999999998</v>
      </c>
      <c r="M832" t="str">
        <f t="shared" si="51"/>
        <v>Weekend</v>
      </c>
    </row>
    <row r="833" spans="1:13" x14ac:dyDescent="0.35">
      <c r="A833" t="s">
        <v>848</v>
      </c>
      <c r="B833" t="s">
        <v>10</v>
      </c>
      <c r="C833" t="s">
        <v>24</v>
      </c>
      <c r="D833" s="1">
        <v>45401</v>
      </c>
      <c r="E833">
        <v>23.34</v>
      </c>
      <c r="F833">
        <v>4.29</v>
      </c>
      <c r="G833">
        <v>119</v>
      </c>
      <c r="H833" t="s">
        <v>12</v>
      </c>
      <c r="I833">
        <v>5.47</v>
      </c>
      <c r="J833" t="str">
        <f t="shared" si="48"/>
        <v>Apr</v>
      </c>
      <c r="K833">
        <f t="shared" si="49"/>
        <v>2024</v>
      </c>
      <c r="L833">
        <f t="shared" si="50"/>
        <v>127.6698</v>
      </c>
      <c r="M833" t="str">
        <f t="shared" si="51"/>
        <v>Weekday</v>
      </c>
    </row>
    <row r="834" spans="1:13" x14ac:dyDescent="0.35">
      <c r="A834" t="s">
        <v>849</v>
      </c>
      <c r="B834" t="s">
        <v>14</v>
      </c>
      <c r="C834" t="s">
        <v>15</v>
      </c>
      <c r="D834" s="1">
        <v>45484</v>
      </c>
      <c r="E834">
        <v>53.33</v>
      </c>
      <c r="F834">
        <v>8.52</v>
      </c>
      <c r="G834">
        <v>22</v>
      </c>
      <c r="H834" t="s">
        <v>12</v>
      </c>
      <c r="I834">
        <v>6.01</v>
      </c>
      <c r="J834" t="str">
        <f t="shared" si="48"/>
        <v>Jul</v>
      </c>
      <c r="K834">
        <f t="shared" si="49"/>
        <v>2024</v>
      </c>
      <c r="L834">
        <f t="shared" si="50"/>
        <v>320.51329999999996</v>
      </c>
      <c r="M834" t="str">
        <f t="shared" si="51"/>
        <v>Weekday</v>
      </c>
    </row>
    <row r="835" spans="1:13" x14ac:dyDescent="0.35">
      <c r="A835" t="s">
        <v>850</v>
      </c>
      <c r="B835" t="s">
        <v>17</v>
      </c>
      <c r="C835" t="s">
        <v>15</v>
      </c>
      <c r="D835" s="1">
        <v>45476</v>
      </c>
      <c r="E835">
        <v>33.94</v>
      </c>
      <c r="F835">
        <v>2.02</v>
      </c>
      <c r="G835">
        <v>18</v>
      </c>
      <c r="H835" t="s">
        <v>18</v>
      </c>
      <c r="I835">
        <v>3.94</v>
      </c>
      <c r="J835" t="str">
        <f t="shared" ref="J835:J898" si="52">TEXT(D835,"mmm")</f>
        <v>Jul</v>
      </c>
      <c r="K835">
        <f t="shared" ref="K835:K898" si="53">YEAR(D835)</f>
        <v>2024</v>
      </c>
      <c r="L835">
        <f t="shared" ref="L835:L898" si="54">E835*I835</f>
        <v>133.72359999999998</v>
      </c>
      <c r="M835" t="str">
        <f t="shared" ref="M835:M898" si="55">IF(OR(WEEKDAY(D835)=1,WEEKDAY(D835)=7),"Weekend","Weekday")</f>
        <v>Weekday</v>
      </c>
    </row>
    <row r="836" spans="1:13" x14ac:dyDescent="0.35">
      <c r="A836" t="s">
        <v>851</v>
      </c>
      <c r="B836" t="s">
        <v>14</v>
      </c>
      <c r="C836" t="s">
        <v>15</v>
      </c>
      <c r="D836" s="1">
        <v>45449</v>
      </c>
      <c r="E836">
        <v>93.39</v>
      </c>
      <c r="F836">
        <v>5</v>
      </c>
      <c r="G836">
        <v>64</v>
      </c>
      <c r="H836" t="s">
        <v>12</v>
      </c>
      <c r="I836">
        <v>6.07</v>
      </c>
      <c r="J836" t="str">
        <f t="shared" si="52"/>
        <v>Jun</v>
      </c>
      <c r="K836">
        <f t="shared" si="53"/>
        <v>2024</v>
      </c>
      <c r="L836">
        <f t="shared" si="54"/>
        <v>566.87729999999999</v>
      </c>
      <c r="M836" t="str">
        <f t="shared" si="55"/>
        <v>Weekday</v>
      </c>
    </row>
    <row r="837" spans="1:13" x14ac:dyDescent="0.35">
      <c r="A837" t="s">
        <v>852</v>
      </c>
      <c r="B837" t="s">
        <v>17</v>
      </c>
      <c r="C837" t="s">
        <v>11</v>
      </c>
      <c r="D837" s="1">
        <v>45394</v>
      </c>
      <c r="E837">
        <v>71.900000000000006</v>
      </c>
      <c r="F837">
        <v>8.39</v>
      </c>
      <c r="G837">
        <v>101</v>
      </c>
      <c r="H837" t="s">
        <v>18</v>
      </c>
      <c r="I837">
        <v>8.7899999999999991</v>
      </c>
      <c r="J837" t="str">
        <f t="shared" si="52"/>
        <v>Apr</v>
      </c>
      <c r="K837">
        <f t="shared" si="53"/>
        <v>2024</v>
      </c>
      <c r="L837">
        <f t="shared" si="54"/>
        <v>632.00099999999998</v>
      </c>
      <c r="M837" t="str">
        <f t="shared" si="55"/>
        <v>Weekday</v>
      </c>
    </row>
    <row r="838" spans="1:13" x14ac:dyDescent="0.35">
      <c r="A838" t="s">
        <v>853</v>
      </c>
      <c r="B838" t="s">
        <v>14</v>
      </c>
      <c r="C838" t="s">
        <v>11</v>
      </c>
      <c r="D838" s="1">
        <v>45533</v>
      </c>
      <c r="E838">
        <v>82.17</v>
      </c>
      <c r="F838">
        <v>5.14</v>
      </c>
      <c r="G838">
        <v>91</v>
      </c>
      <c r="H838" t="s">
        <v>12</v>
      </c>
      <c r="I838">
        <v>5.74</v>
      </c>
      <c r="J838" t="str">
        <f t="shared" si="52"/>
        <v>Aug</v>
      </c>
      <c r="K838">
        <f t="shared" si="53"/>
        <v>2024</v>
      </c>
      <c r="L838">
        <f t="shared" si="54"/>
        <v>471.6558</v>
      </c>
      <c r="M838" t="str">
        <f t="shared" si="55"/>
        <v>Weekday</v>
      </c>
    </row>
    <row r="839" spans="1:13" x14ac:dyDescent="0.35">
      <c r="A839" t="s">
        <v>854</v>
      </c>
      <c r="B839" t="s">
        <v>10</v>
      </c>
      <c r="C839" t="s">
        <v>15</v>
      </c>
      <c r="D839" s="1">
        <v>45585</v>
      </c>
      <c r="E839">
        <v>82.26</v>
      </c>
      <c r="F839">
        <v>8.51</v>
      </c>
      <c r="G839">
        <v>82</v>
      </c>
      <c r="H839" t="s">
        <v>12</v>
      </c>
      <c r="I839">
        <v>5.42</v>
      </c>
      <c r="J839" t="str">
        <f t="shared" si="52"/>
        <v>Oct</v>
      </c>
      <c r="K839">
        <f t="shared" si="53"/>
        <v>2024</v>
      </c>
      <c r="L839">
        <f t="shared" si="54"/>
        <v>445.8492</v>
      </c>
      <c r="M839" t="str">
        <f t="shared" si="55"/>
        <v>Weekend</v>
      </c>
    </row>
    <row r="840" spans="1:13" x14ac:dyDescent="0.35">
      <c r="A840" t="s">
        <v>855</v>
      </c>
      <c r="B840" t="s">
        <v>14</v>
      </c>
      <c r="C840" t="s">
        <v>24</v>
      </c>
      <c r="D840" s="1">
        <v>45538</v>
      </c>
      <c r="E840">
        <v>28.35</v>
      </c>
      <c r="F840">
        <v>1.68</v>
      </c>
      <c r="G840">
        <v>74</v>
      </c>
      <c r="H840" t="s">
        <v>12</v>
      </c>
      <c r="I840">
        <v>3.63</v>
      </c>
      <c r="J840" t="str">
        <f t="shared" si="52"/>
        <v>Sep</v>
      </c>
      <c r="K840">
        <f t="shared" si="53"/>
        <v>2024</v>
      </c>
      <c r="L840">
        <f t="shared" si="54"/>
        <v>102.9105</v>
      </c>
      <c r="M840" t="str">
        <f t="shared" si="55"/>
        <v>Weekday</v>
      </c>
    </row>
    <row r="841" spans="1:13" x14ac:dyDescent="0.35">
      <c r="A841" t="s">
        <v>856</v>
      </c>
      <c r="B841" t="s">
        <v>17</v>
      </c>
      <c r="C841" t="s">
        <v>15</v>
      </c>
      <c r="D841" s="1">
        <v>45638</v>
      </c>
      <c r="E841">
        <v>89.56</v>
      </c>
      <c r="F841">
        <v>4.6900000000000004</v>
      </c>
      <c r="G841">
        <v>85</v>
      </c>
      <c r="H841" t="s">
        <v>18</v>
      </c>
      <c r="I841">
        <v>3.87</v>
      </c>
      <c r="J841" t="str">
        <f t="shared" si="52"/>
        <v>Dec</v>
      </c>
      <c r="K841">
        <f t="shared" si="53"/>
        <v>2024</v>
      </c>
      <c r="L841">
        <f t="shared" si="54"/>
        <v>346.59720000000004</v>
      </c>
      <c r="M841" t="str">
        <f t="shared" si="55"/>
        <v>Weekday</v>
      </c>
    </row>
    <row r="842" spans="1:13" x14ac:dyDescent="0.35">
      <c r="A842" t="s">
        <v>857</v>
      </c>
      <c r="B842" t="s">
        <v>10</v>
      </c>
      <c r="C842" t="s">
        <v>24</v>
      </c>
      <c r="D842" s="1">
        <v>45565</v>
      </c>
      <c r="E842">
        <v>25.31</v>
      </c>
      <c r="F842">
        <v>8.2200000000000006</v>
      </c>
      <c r="G842">
        <v>73</v>
      </c>
      <c r="H842" t="s">
        <v>12</v>
      </c>
      <c r="I842">
        <v>7.23</v>
      </c>
      <c r="J842" t="str">
        <f t="shared" si="52"/>
        <v>Sep</v>
      </c>
      <c r="K842">
        <f t="shared" si="53"/>
        <v>2024</v>
      </c>
      <c r="L842">
        <f t="shared" si="54"/>
        <v>182.9913</v>
      </c>
      <c r="M842" t="str">
        <f t="shared" si="55"/>
        <v>Weekday</v>
      </c>
    </row>
    <row r="843" spans="1:13" x14ac:dyDescent="0.35">
      <c r="A843" t="s">
        <v>858</v>
      </c>
      <c r="B843" t="s">
        <v>17</v>
      </c>
      <c r="C843" t="s">
        <v>11</v>
      </c>
      <c r="D843" s="1">
        <v>45420</v>
      </c>
      <c r="E843">
        <v>92.52</v>
      </c>
      <c r="F843">
        <v>8.01</v>
      </c>
      <c r="G843">
        <v>53</v>
      </c>
      <c r="H843" t="s">
        <v>12</v>
      </c>
      <c r="I843">
        <v>6.79</v>
      </c>
      <c r="J843" t="str">
        <f t="shared" si="52"/>
        <v>May</v>
      </c>
      <c r="K843">
        <f t="shared" si="53"/>
        <v>2024</v>
      </c>
      <c r="L843">
        <f t="shared" si="54"/>
        <v>628.21079999999995</v>
      </c>
      <c r="M843" t="str">
        <f t="shared" si="55"/>
        <v>Weekday</v>
      </c>
    </row>
    <row r="844" spans="1:13" x14ac:dyDescent="0.35">
      <c r="A844" t="s">
        <v>859</v>
      </c>
      <c r="B844" t="s">
        <v>10</v>
      </c>
      <c r="C844" t="s">
        <v>24</v>
      </c>
      <c r="D844" s="1">
        <v>45607</v>
      </c>
      <c r="E844">
        <v>78.48</v>
      </c>
      <c r="F844">
        <v>5.63</v>
      </c>
      <c r="G844">
        <v>40</v>
      </c>
      <c r="H844" t="s">
        <v>18</v>
      </c>
      <c r="I844">
        <v>4.8499999999999996</v>
      </c>
      <c r="J844" t="str">
        <f t="shared" si="52"/>
        <v>Nov</v>
      </c>
      <c r="K844">
        <f t="shared" si="53"/>
        <v>2024</v>
      </c>
      <c r="L844">
        <f t="shared" si="54"/>
        <v>380.62799999999999</v>
      </c>
      <c r="M844" t="str">
        <f t="shared" si="55"/>
        <v>Weekday</v>
      </c>
    </row>
    <row r="845" spans="1:13" x14ac:dyDescent="0.35">
      <c r="A845" t="s">
        <v>860</v>
      </c>
      <c r="B845" t="s">
        <v>10</v>
      </c>
      <c r="C845" t="s">
        <v>11</v>
      </c>
      <c r="D845" s="1">
        <v>45505</v>
      </c>
      <c r="E845">
        <v>60.05</v>
      </c>
      <c r="F845">
        <v>9.8800000000000008</v>
      </c>
      <c r="G845">
        <v>25</v>
      </c>
      <c r="H845" t="s">
        <v>12</v>
      </c>
      <c r="I845">
        <v>4.63</v>
      </c>
      <c r="J845" t="str">
        <f t="shared" si="52"/>
        <v>Aug</v>
      </c>
      <c r="K845">
        <f t="shared" si="53"/>
        <v>2024</v>
      </c>
      <c r="L845">
        <f t="shared" si="54"/>
        <v>278.03149999999999</v>
      </c>
      <c r="M845" t="str">
        <f t="shared" si="55"/>
        <v>Weekday</v>
      </c>
    </row>
    <row r="846" spans="1:13" x14ac:dyDescent="0.35">
      <c r="A846" t="s">
        <v>861</v>
      </c>
      <c r="B846" t="s">
        <v>10</v>
      </c>
      <c r="C846" t="s">
        <v>15</v>
      </c>
      <c r="D846" s="1">
        <v>45388</v>
      </c>
      <c r="E846">
        <v>83.48</v>
      </c>
      <c r="F846">
        <v>5.14</v>
      </c>
      <c r="G846">
        <v>67</v>
      </c>
      <c r="H846" t="s">
        <v>12</v>
      </c>
      <c r="I846">
        <v>6.02</v>
      </c>
      <c r="J846" t="str">
        <f t="shared" si="52"/>
        <v>Apr</v>
      </c>
      <c r="K846">
        <f t="shared" si="53"/>
        <v>2024</v>
      </c>
      <c r="L846">
        <f t="shared" si="54"/>
        <v>502.5496</v>
      </c>
      <c r="M846" t="str">
        <f t="shared" si="55"/>
        <v>Weekend</v>
      </c>
    </row>
    <row r="847" spans="1:13" x14ac:dyDescent="0.35">
      <c r="A847" t="s">
        <v>862</v>
      </c>
      <c r="B847" t="s">
        <v>10</v>
      </c>
      <c r="C847" t="s">
        <v>11</v>
      </c>
      <c r="D847" s="1">
        <v>45551</v>
      </c>
      <c r="E847">
        <v>41.66</v>
      </c>
      <c r="F847">
        <v>9.06</v>
      </c>
      <c r="G847">
        <v>69</v>
      </c>
      <c r="H847" t="s">
        <v>18</v>
      </c>
      <c r="I847">
        <v>6.96</v>
      </c>
      <c r="J847" t="str">
        <f t="shared" si="52"/>
        <v>Sep</v>
      </c>
      <c r="K847">
        <f t="shared" si="53"/>
        <v>2024</v>
      </c>
      <c r="L847">
        <f t="shared" si="54"/>
        <v>289.95359999999999</v>
      </c>
      <c r="M847" t="str">
        <f t="shared" si="55"/>
        <v>Weekday</v>
      </c>
    </row>
    <row r="848" spans="1:13" x14ac:dyDescent="0.35">
      <c r="A848" t="s">
        <v>863</v>
      </c>
      <c r="B848" t="s">
        <v>17</v>
      </c>
      <c r="C848" t="s">
        <v>11</v>
      </c>
      <c r="D848" s="1">
        <v>45363</v>
      </c>
      <c r="E848">
        <v>66.510000000000005</v>
      </c>
      <c r="F848">
        <v>4.88</v>
      </c>
      <c r="G848">
        <v>1</v>
      </c>
      <c r="H848" t="s">
        <v>12</v>
      </c>
      <c r="I848">
        <v>8.9700000000000006</v>
      </c>
      <c r="J848" t="str">
        <f t="shared" si="52"/>
        <v>Mar</v>
      </c>
      <c r="K848">
        <f t="shared" si="53"/>
        <v>2024</v>
      </c>
      <c r="L848">
        <f t="shared" si="54"/>
        <v>596.5947000000001</v>
      </c>
      <c r="M848" t="str">
        <f t="shared" si="55"/>
        <v>Weekday</v>
      </c>
    </row>
    <row r="849" spans="1:13" x14ac:dyDescent="0.35">
      <c r="A849" t="s">
        <v>864</v>
      </c>
      <c r="B849" t="s">
        <v>10</v>
      </c>
      <c r="C849" t="s">
        <v>24</v>
      </c>
      <c r="D849" s="1">
        <v>45393</v>
      </c>
      <c r="E849">
        <v>59.63</v>
      </c>
      <c r="F849">
        <v>1.04</v>
      </c>
      <c r="G849">
        <v>55</v>
      </c>
      <c r="H849" t="s">
        <v>12</v>
      </c>
      <c r="I849">
        <v>6.48</v>
      </c>
      <c r="J849" t="str">
        <f t="shared" si="52"/>
        <v>Apr</v>
      </c>
      <c r="K849">
        <f t="shared" si="53"/>
        <v>2024</v>
      </c>
      <c r="L849">
        <f t="shared" si="54"/>
        <v>386.40240000000006</v>
      </c>
      <c r="M849" t="str">
        <f t="shared" si="55"/>
        <v>Weekday</v>
      </c>
    </row>
    <row r="850" spans="1:13" x14ac:dyDescent="0.35">
      <c r="A850" t="s">
        <v>865</v>
      </c>
      <c r="B850" t="s">
        <v>10</v>
      </c>
      <c r="C850" t="s">
        <v>24</v>
      </c>
      <c r="D850" s="1">
        <v>45399</v>
      </c>
      <c r="E850">
        <v>52.95</v>
      </c>
      <c r="F850">
        <v>9.89</v>
      </c>
      <c r="G850">
        <v>83</v>
      </c>
      <c r="H850" t="s">
        <v>18</v>
      </c>
      <c r="I850">
        <v>9.2100000000000009</v>
      </c>
      <c r="J850" t="str">
        <f t="shared" si="52"/>
        <v>Apr</v>
      </c>
      <c r="K850">
        <f t="shared" si="53"/>
        <v>2024</v>
      </c>
      <c r="L850">
        <f t="shared" si="54"/>
        <v>487.66950000000008</v>
      </c>
      <c r="M850" t="str">
        <f t="shared" si="55"/>
        <v>Weekday</v>
      </c>
    </row>
    <row r="851" spans="1:13" x14ac:dyDescent="0.35">
      <c r="A851" t="s">
        <v>866</v>
      </c>
      <c r="B851" t="s">
        <v>14</v>
      </c>
      <c r="C851" t="s">
        <v>15</v>
      </c>
      <c r="D851" s="1">
        <v>45394</v>
      </c>
      <c r="E851">
        <v>25.43</v>
      </c>
      <c r="F851">
        <v>9.11</v>
      </c>
      <c r="G851">
        <v>61</v>
      </c>
      <c r="H851" t="s">
        <v>18</v>
      </c>
      <c r="I851">
        <v>7.41</v>
      </c>
      <c r="J851" t="str">
        <f t="shared" si="52"/>
        <v>Apr</v>
      </c>
      <c r="K851">
        <f t="shared" si="53"/>
        <v>2024</v>
      </c>
      <c r="L851">
        <f t="shared" si="54"/>
        <v>188.43629999999999</v>
      </c>
      <c r="M851" t="str">
        <f t="shared" si="55"/>
        <v>Weekday</v>
      </c>
    </row>
    <row r="852" spans="1:13" x14ac:dyDescent="0.35">
      <c r="A852" t="s">
        <v>867</v>
      </c>
      <c r="B852" t="s">
        <v>17</v>
      </c>
      <c r="C852" t="s">
        <v>11</v>
      </c>
      <c r="D852" s="1">
        <v>45496</v>
      </c>
      <c r="E852">
        <v>81.25</v>
      </c>
      <c r="F852">
        <v>7.91</v>
      </c>
      <c r="G852">
        <v>49</v>
      </c>
      <c r="H852" t="s">
        <v>12</v>
      </c>
      <c r="I852">
        <v>4.07</v>
      </c>
      <c r="J852" t="str">
        <f t="shared" si="52"/>
        <v>Jul</v>
      </c>
      <c r="K852">
        <f t="shared" si="53"/>
        <v>2024</v>
      </c>
      <c r="L852">
        <f t="shared" si="54"/>
        <v>330.6875</v>
      </c>
      <c r="M852" t="str">
        <f t="shared" si="55"/>
        <v>Weekday</v>
      </c>
    </row>
    <row r="853" spans="1:13" x14ac:dyDescent="0.35">
      <c r="A853" t="s">
        <v>868</v>
      </c>
      <c r="B853" t="s">
        <v>10</v>
      </c>
      <c r="C853" t="s">
        <v>15</v>
      </c>
      <c r="D853" s="1">
        <v>45461</v>
      </c>
      <c r="E853">
        <v>94.96</v>
      </c>
      <c r="F853">
        <v>1.95</v>
      </c>
      <c r="G853">
        <v>4</v>
      </c>
      <c r="H853" t="s">
        <v>18</v>
      </c>
      <c r="I853">
        <v>5.61</v>
      </c>
      <c r="J853" t="str">
        <f t="shared" si="52"/>
        <v>Jun</v>
      </c>
      <c r="K853">
        <f t="shared" si="53"/>
        <v>2024</v>
      </c>
      <c r="L853">
        <f t="shared" si="54"/>
        <v>532.72559999999999</v>
      </c>
      <c r="M853" t="str">
        <f t="shared" si="55"/>
        <v>Weekday</v>
      </c>
    </row>
    <row r="854" spans="1:13" x14ac:dyDescent="0.35">
      <c r="A854" t="s">
        <v>869</v>
      </c>
      <c r="B854" t="s">
        <v>10</v>
      </c>
      <c r="C854" t="s">
        <v>24</v>
      </c>
      <c r="D854" s="1">
        <v>45338</v>
      </c>
      <c r="E854">
        <v>30.1</v>
      </c>
      <c r="F854">
        <v>4.4400000000000004</v>
      </c>
      <c r="G854">
        <v>64</v>
      </c>
      <c r="H854" t="s">
        <v>12</v>
      </c>
      <c r="I854">
        <v>4.47</v>
      </c>
      <c r="J854" t="str">
        <f t="shared" si="52"/>
        <v>Feb</v>
      </c>
      <c r="K854">
        <f t="shared" si="53"/>
        <v>2024</v>
      </c>
      <c r="L854">
        <f t="shared" si="54"/>
        <v>134.547</v>
      </c>
      <c r="M854" t="str">
        <f t="shared" si="55"/>
        <v>Weekday</v>
      </c>
    </row>
    <row r="855" spans="1:13" x14ac:dyDescent="0.35">
      <c r="A855" t="s">
        <v>870</v>
      </c>
      <c r="B855" t="s">
        <v>14</v>
      </c>
      <c r="C855" t="s">
        <v>24</v>
      </c>
      <c r="D855" s="1">
        <v>45297</v>
      </c>
      <c r="E855">
        <v>82.7</v>
      </c>
      <c r="F855">
        <v>2.16</v>
      </c>
      <c r="G855">
        <v>41</v>
      </c>
      <c r="H855" t="s">
        <v>12</v>
      </c>
      <c r="I855">
        <v>5.24</v>
      </c>
      <c r="J855" t="str">
        <f t="shared" si="52"/>
        <v>Jan</v>
      </c>
      <c r="K855">
        <f t="shared" si="53"/>
        <v>2024</v>
      </c>
      <c r="L855">
        <f t="shared" si="54"/>
        <v>433.34800000000001</v>
      </c>
      <c r="M855" t="str">
        <f t="shared" si="55"/>
        <v>Weekend</v>
      </c>
    </row>
    <row r="856" spans="1:13" x14ac:dyDescent="0.35">
      <c r="A856" t="s">
        <v>871</v>
      </c>
      <c r="B856" t="s">
        <v>17</v>
      </c>
      <c r="C856" t="s">
        <v>11</v>
      </c>
      <c r="D856" s="1">
        <v>45432</v>
      </c>
      <c r="E856">
        <v>62.66</v>
      </c>
      <c r="F856">
        <v>1.53</v>
      </c>
      <c r="G856">
        <v>35</v>
      </c>
      <c r="H856" t="s">
        <v>18</v>
      </c>
      <c r="I856">
        <v>9.81</v>
      </c>
      <c r="J856" t="str">
        <f t="shared" si="52"/>
        <v>May</v>
      </c>
      <c r="K856">
        <f t="shared" si="53"/>
        <v>2024</v>
      </c>
      <c r="L856">
        <f t="shared" si="54"/>
        <v>614.69460000000004</v>
      </c>
      <c r="M856" t="str">
        <f t="shared" si="55"/>
        <v>Weekday</v>
      </c>
    </row>
    <row r="857" spans="1:13" x14ac:dyDescent="0.35">
      <c r="A857" t="s">
        <v>872</v>
      </c>
      <c r="B857" t="s">
        <v>14</v>
      </c>
      <c r="C857" t="s">
        <v>15</v>
      </c>
      <c r="D857" s="1">
        <v>45372</v>
      </c>
      <c r="E857">
        <v>46.24</v>
      </c>
      <c r="F857">
        <v>5.79</v>
      </c>
      <c r="G857">
        <v>96</v>
      </c>
      <c r="H857" t="s">
        <v>12</v>
      </c>
      <c r="I857">
        <v>4.21</v>
      </c>
      <c r="J857" t="str">
        <f t="shared" si="52"/>
        <v>Mar</v>
      </c>
      <c r="K857">
        <f t="shared" si="53"/>
        <v>2024</v>
      </c>
      <c r="L857">
        <f t="shared" si="54"/>
        <v>194.6704</v>
      </c>
      <c r="M857" t="str">
        <f t="shared" si="55"/>
        <v>Weekday</v>
      </c>
    </row>
    <row r="858" spans="1:13" x14ac:dyDescent="0.35">
      <c r="A858" t="s">
        <v>873</v>
      </c>
      <c r="B858" t="s">
        <v>10</v>
      </c>
      <c r="C858" t="s">
        <v>15</v>
      </c>
      <c r="D858" s="1">
        <v>45333</v>
      </c>
      <c r="E858">
        <v>48.28</v>
      </c>
      <c r="F858">
        <v>5.64</v>
      </c>
      <c r="G858">
        <v>93</v>
      </c>
      <c r="H858" t="s">
        <v>18</v>
      </c>
      <c r="I858">
        <v>9.1999999999999993</v>
      </c>
      <c r="J858" t="str">
        <f t="shared" si="52"/>
        <v>Feb</v>
      </c>
      <c r="K858">
        <f t="shared" si="53"/>
        <v>2024</v>
      </c>
      <c r="L858">
        <f t="shared" si="54"/>
        <v>444.17599999999999</v>
      </c>
      <c r="M858" t="str">
        <f t="shared" si="55"/>
        <v>Weekend</v>
      </c>
    </row>
    <row r="859" spans="1:13" x14ac:dyDescent="0.35">
      <c r="A859" t="s">
        <v>874</v>
      </c>
      <c r="B859" t="s">
        <v>17</v>
      </c>
      <c r="C859" t="s">
        <v>24</v>
      </c>
      <c r="D859" s="1">
        <v>45549</v>
      </c>
      <c r="E859">
        <v>54.1</v>
      </c>
      <c r="F859">
        <v>5.07</v>
      </c>
      <c r="G859">
        <v>102</v>
      </c>
      <c r="H859" t="s">
        <v>18</v>
      </c>
      <c r="I859">
        <v>9.0299999999999994</v>
      </c>
      <c r="J859" t="str">
        <f t="shared" si="52"/>
        <v>Sep</v>
      </c>
      <c r="K859">
        <f t="shared" si="53"/>
        <v>2024</v>
      </c>
      <c r="L859">
        <f t="shared" si="54"/>
        <v>488.52299999999997</v>
      </c>
      <c r="M859" t="str">
        <f t="shared" si="55"/>
        <v>Weekend</v>
      </c>
    </row>
    <row r="860" spans="1:13" x14ac:dyDescent="0.35">
      <c r="A860" t="s">
        <v>875</v>
      </c>
      <c r="B860" t="s">
        <v>10</v>
      </c>
      <c r="C860" t="s">
        <v>15</v>
      </c>
      <c r="D860" s="1">
        <v>45524</v>
      </c>
      <c r="E860">
        <v>41.02</v>
      </c>
      <c r="F860">
        <v>4.63</v>
      </c>
      <c r="G860">
        <v>108</v>
      </c>
      <c r="H860" t="s">
        <v>18</v>
      </c>
      <c r="I860">
        <v>4.5199999999999996</v>
      </c>
      <c r="J860" t="str">
        <f t="shared" si="52"/>
        <v>Aug</v>
      </c>
      <c r="K860">
        <f t="shared" si="53"/>
        <v>2024</v>
      </c>
      <c r="L860">
        <f t="shared" si="54"/>
        <v>185.41040000000001</v>
      </c>
      <c r="M860" t="str">
        <f t="shared" si="55"/>
        <v>Weekday</v>
      </c>
    </row>
    <row r="861" spans="1:13" x14ac:dyDescent="0.35">
      <c r="A861" t="s">
        <v>876</v>
      </c>
      <c r="B861" t="s">
        <v>14</v>
      </c>
      <c r="C861" t="s">
        <v>15</v>
      </c>
      <c r="D861" s="1">
        <v>45513</v>
      </c>
      <c r="E861">
        <v>75.12</v>
      </c>
      <c r="F861">
        <v>8.56</v>
      </c>
      <c r="G861">
        <v>57</v>
      </c>
      <c r="H861" t="s">
        <v>12</v>
      </c>
      <c r="I861">
        <v>5.7</v>
      </c>
      <c r="J861" t="str">
        <f t="shared" si="52"/>
        <v>Aug</v>
      </c>
      <c r="K861">
        <f t="shared" si="53"/>
        <v>2024</v>
      </c>
      <c r="L861">
        <f t="shared" si="54"/>
        <v>428.18400000000003</v>
      </c>
      <c r="M861" t="str">
        <f t="shared" si="55"/>
        <v>Weekday</v>
      </c>
    </row>
    <row r="862" spans="1:13" x14ac:dyDescent="0.35">
      <c r="A862" t="s">
        <v>877</v>
      </c>
      <c r="B862" t="s">
        <v>10</v>
      </c>
      <c r="C862" t="s">
        <v>15</v>
      </c>
      <c r="D862" s="1">
        <v>45393</v>
      </c>
      <c r="E862">
        <v>36.6</v>
      </c>
      <c r="F862">
        <v>3.83</v>
      </c>
      <c r="G862">
        <v>104</v>
      </c>
      <c r="H862" t="s">
        <v>12</v>
      </c>
      <c r="I862">
        <v>7.74</v>
      </c>
      <c r="J862" t="str">
        <f t="shared" si="52"/>
        <v>Apr</v>
      </c>
      <c r="K862">
        <f t="shared" si="53"/>
        <v>2024</v>
      </c>
      <c r="L862">
        <f t="shared" si="54"/>
        <v>283.28399999999999</v>
      </c>
      <c r="M862" t="str">
        <f t="shared" si="55"/>
        <v>Weekday</v>
      </c>
    </row>
    <row r="863" spans="1:13" x14ac:dyDescent="0.35">
      <c r="A863" t="s">
        <v>878</v>
      </c>
      <c r="B863" t="s">
        <v>17</v>
      </c>
      <c r="C863" t="s">
        <v>24</v>
      </c>
      <c r="D863" s="1">
        <v>45617</v>
      </c>
      <c r="E863">
        <v>10.58</v>
      </c>
      <c r="F863">
        <v>9.41</v>
      </c>
      <c r="G863">
        <v>37</v>
      </c>
      <c r="H863" t="s">
        <v>18</v>
      </c>
      <c r="I863">
        <v>7.48</v>
      </c>
      <c r="J863" t="str">
        <f t="shared" si="52"/>
        <v>Nov</v>
      </c>
      <c r="K863">
        <f t="shared" si="53"/>
        <v>2024</v>
      </c>
      <c r="L863">
        <f t="shared" si="54"/>
        <v>79.138400000000004</v>
      </c>
      <c r="M863" t="str">
        <f t="shared" si="55"/>
        <v>Weekday</v>
      </c>
    </row>
    <row r="864" spans="1:13" x14ac:dyDescent="0.35">
      <c r="A864" t="s">
        <v>879</v>
      </c>
      <c r="B864" t="s">
        <v>10</v>
      </c>
      <c r="C864" t="s">
        <v>11</v>
      </c>
      <c r="D864" s="1">
        <v>45437</v>
      </c>
      <c r="E864">
        <v>96.55</v>
      </c>
      <c r="F864">
        <v>2.0299999999999998</v>
      </c>
      <c r="G864">
        <v>97</v>
      </c>
      <c r="H864" t="s">
        <v>12</v>
      </c>
      <c r="I864">
        <v>6.9</v>
      </c>
      <c r="J864" t="str">
        <f t="shared" si="52"/>
        <v>May</v>
      </c>
      <c r="K864">
        <f t="shared" si="53"/>
        <v>2024</v>
      </c>
      <c r="L864">
        <f t="shared" si="54"/>
        <v>666.19500000000005</v>
      </c>
      <c r="M864" t="str">
        <f t="shared" si="55"/>
        <v>Weekend</v>
      </c>
    </row>
    <row r="865" spans="1:13" x14ac:dyDescent="0.35">
      <c r="A865" t="s">
        <v>880</v>
      </c>
      <c r="B865" t="s">
        <v>14</v>
      </c>
      <c r="C865" t="s">
        <v>24</v>
      </c>
      <c r="D865" s="1">
        <v>45627</v>
      </c>
      <c r="E865">
        <v>80.06</v>
      </c>
      <c r="F865">
        <v>4.75</v>
      </c>
      <c r="G865">
        <v>30</v>
      </c>
      <c r="H865" t="s">
        <v>12</v>
      </c>
      <c r="I865">
        <v>4.0199999999999996</v>
      </c>
      <c r="J865" t="str">
        <f t="shared" si="52"/>
        <v>Dec</v>
      </c>
      <c r="K865">
        <f t="shared" si="53"/>
        <v>2024</v>
      </c>
      <c r="L865">
        <f t="shared" si="54"/>
        <v>321.84119999999996</v>
      </c>
      <c r="M865" t="str">
        <f t="shared" si="55"/>
        <v>Weekend</v>
      </c>
    </row>
    <row r="866" spans="1:13" x14ac:dyDescent="0.35">
      <c r="A866" t="s">
        <v>881</v>
      </c>
      <c r="B866" t="s">
        <v>17</v>
      </c>
      <c r="C866" t="s">
        <v>15</v>
      </c>
      <c r="D866" s="1">
        <v>45609</v>
      </c>
      <c r="E866">
        <v>78.88</v>
      </c>
      <c r="F866">
        <v>4.8499999999999996</v>
      </c>
      <c r="G866">
        <v>107</v>
      </c>
      <c r="H866" t="s">
        <v>18</v>
      </c>
      <c r="I866">
        <v>6.26</v>
      </c>
      <c r="J866" t="str">
        <f t="shared" si="52"/>
        <v>Nov</v>
      </c>
      <c r="K866">
        <f t="shared" si="53"/>
        <v>2024</v>
      </c>
      <c r="L866">
        <f t="shared" si="54"/>
        <v>493.78879999999998</v>
      </c>
      <c r="M866" t="str">
        <f t="shared" si="55"/>
        <v>Weekday</v>
      </c>
    </row>
    <row r="867" spans="1:13" x14ac:dyDescent="0.35">
      <c r="A867" t="s">
        <v>882</v>
      </c>
      <c r="B867" t="s">
        <v>17</v>
      </c>
      <c r="C867" t="s">
        <v>24</v>
      </c>
      <c r="D867" s="1">
        <v>45520</v>
      </c>
      <c r="E867">
        <v>85.57</v>
      </c>
      <c r="F867">
        <v>9.3800000000000008</v>
      </c>
      <c r="G867">
        <v>88</v>
      </c>
      <c r="H867" t="s">
        <v>18</v>
      </c>
      <c r="I867">
        <v>6.75</v>
      </c>
      <c r="J867" t="str">
        <f t="shared" si="52"/>
        <v>Aug</v>
      </c>
      <c r="K867">
        <f t="shared" si="53"/>
        <v>2024</v>
      </c>
      <c r="L867">
        <f t="shared" si="54"/>
        <v>577.59749999999997</v>
      </c>
      <c r="M867" t="str">
        <f t="shared" si="55"/>
        <v>Weekday</v>
      </c>
    </row>
    <row r="868" spans="1:13" x14ac:dyDescent="0.35">
      <c r="A868" t="s">
        <v>883</v>
      </c>
      <c r="B868" t="s">
        <v>17</v>
      </c>
      <c r="C868" t="s">
        <v>15</v>
      </c>
      <c r="D868" s="1">
        <v>45646</v>
      </c>
      <c r="E868">
        <v>35.42</v>
      </c>
      <c r="F868">
        <v>7.75</v>
      </c>
      <c r="G868">
        <v>78</v>
      </c>
      <c r="H868" t="s">
        <v>12</v>
      </c>
      <c r="I868">
        <v>6.17</v>
      </c>
      <c r="J868" t="str">
        <f t="shared" si="52"/>
        <v>Dec</v>
      </c>
      <c r="K868">
        <f t="shared" si="53"/>
        <v>2024</v>
      </c>
      <c r="L868">
        <f t="shared" si="54"/>
        <v>218.54140000000001</v>
      </c>
      <c r="M868" t="str">
        <f t="shared" si="55"/>
        <v>Weekday</v>
      </c>
    </row>
    <row r="869" spans="1:13" x14ac:dyDescent="0.35">
      <c r="A869" t="s">
        <v>884</v>
      </c>
      <c r="B869" t="s">
        <v>17</v>
      </c>
      <c r="C869" t="s">
        <v>24</v>
      </c>
      <c r="D869" s="1">
        <v>45636</v>
      </c>
      <c r="E869">
        <v>12.57</v>
      </c>
      <c r="F869">
        <v>9.69</v>
      </c>
      <c r="G869">
        <v>10</v>
      </c>
      <c r="H869" t="s">
        <v>18</v>
      </c>
      <c r="I869">
        <v>5.91</v>
      </c>
      <c r="J869" t="str">
        <f t="shared" si="52"/>
        <v>Dec</v>
      </c>
      <c r="K869">
        <f t="shared" si="53"/>
        <v>2024</v>
      </c>
      <c r="L869">
        <f t="shared" si="54"/>
        <v>74.288700000000006</v>
      </c>
      <c r="M869" t="str">
        <f t="shared" si="55"/>
        <v>Weekday</v>
      </c>
    </row>
    <row r="870" spans="1:13" x14ac:dyDescent="0.35">
      <c r="A870" t="s">
        <v>885</v>
      </c>
      <c r="B870" t="s">
        <v>10</v>
      </c>
      <c r="C870" t="s">
        <v>24</v>
      </c>
      <c r="D870" s="1">
        <v>45305</v>
      </c>
      <c r="E870">
        <v>91.84</v>
      </c>
      <c r="F870">
        <v>3.41</v>
      </c>
      <c r="G870">
        <v>92</v>
      </c>
      <c r="H870" t="s">
        <v>18</v>
      </c>
      <c r="I870">
        <v>6.25</v>
      </c>
      <c r="J870" t="str">
        <f t="shared" si="52"/>
        <v>Jan</v>
      </c>
      <c r="K870">
        <f t="shared" si="53"/>
        <v>2024</v>
      </c>
      <c r="L870">
        <f t="shared" si="54"/>
        <v>574</v>
      </c>
      <c r="M870" t="str">
        <f t="shared" si="55"/>
        <v>Weekend</v>
      </c>
    </row>
    <row r="871" spans="1:13" x14ac:dyDescent="0.35">
      <c r="A871" t="s">
        <v>886</v>
      </c>
      <c r="B871" t="s">
        <v>14</v>
      </c>
      <c r="C871" t="s">
        <v>24</v>
      </c>
      <c r="D871" s="1">
        <v>45454</v>
      </c>
      <c r="E871">
        <v>12.6</v>
      </c>
      <c r="F871">
        <v>3.81</v>
      </c>
      <c r="G871">
        <v>106</v>
      </c>
      <c r="H871" t="s">
        <v>18</v>
      </c>
      <c r="I871">
        <v>8.2200000000000006</v>
      </c>
      <c r="J871" t="str">
        <f t="shared" si="52"/>
        <v>Jun</v>
      </c>
      <c r="K871">
        <f t="shared" si="53"/>
        <v>2024</v>
      </c>
      <c r="L871">
        <f t="shared" si="54"/>
        <v>103.572</v>
      </c>
      <c r="M871" t="str">
        <f t="shared" si="55"/>
        <v>Weekday</v>
      </c>
    </row>
    <row r="872" spans="1:13" x14ac:dyDescent="0.35">
      <c r="A872" t="s">
        <v>887</v>
      </c>
      <c r="B872" t="s">
        <v>17</v>
      </c>
      <c r="C872" t="s">
        <v>15</v>
      </c>
      <c r="D872" s="1">
        <v>45466</v>
      </c>
      <c r="E872">
        <v>93.94</v>
      </c>
      <c r="F872">
        <v>4.21</v>
      </c>
      <c r="G872">
        <v>2</v>
      </c>
      <c r="H872" t="s">
        <v>18</v>
      </c>
      <c r="I872">
        <v>8.43</v>
      </c>
      <c r="J872" t="str">
        <f t="shared" si="52"/>
        <v>Jun</v>
      </c>
      <c r="K872">
        <f t="shared" si="53"/>
        <v>2024</v>
      </c>
      <c r="L872">
        <f t="shared" si="54"/>
        <v>791.91419999999994</v>
      </c>
      <c r="M872" t="str">
        <f t="shared" si="55"/>
        <v>Weekend</v>
      </c>
    </row>
    <row r="873" spans="1:13" x14ac:dyDescent="0.35">
      <c r="A873" t="s">
        <v>888</v>
      </c>
      <c r="B873" t="s">
        <v>10</v>
      </c>
      <c r="C873" t="s">
        <v>15</v>
      </c>
      <c r="D873" s="1">
        <v>45460</v>
      </c>
      <c r="E873">
        <v>56.73</v>
      </c>
      <c r="F873">
        <v>7.15</v>
      </c>
      <c r="G873">
        <v>72</v>
      </c>
      <c r="H873" t="s">
        <v>12</v>
      </c>
      <c r="I873">
        <v>4.71</v>
      </c>
      <c r="J873" t="str">
        <f t="shared" si="52"/>
        <v>Jun</v>
      </c>
      <c r="K873">
        <f t="shared" si="53"/>
        <v>2024</v>
      </c>
      <c r="L873">
        <f t="shared" si="54"/>
        <v>267.19829999999996</v>
      </c>
      <c r="M873" t="str">
        <f t="shared" si="55"/>
        <v>Weekday</v>
      </c>
    </row>
    <row r="874" spans="1:13" x14ac:dyDescent="0.35">
      <c r="A874" t="s">
        <v>889</v>
      </c>
      <c r="B874" t="s">
        <v>17</v>
      </c>
      <c r="C874" t="s">
        <v>11</v>
      </c>
      <c r="D874" s="1">
        <v>45475</v>
      </c>
      <c r="E874">
        <v>45.35</v>
      </c>
      <c r="F874">
        <v>9.92</v>
      </c>
      <c r="G874">
        <v>96</v>
      </c>
      <c r="H874" t="s">
        <v>12</v>
      </c>
      <c r="I874">
        <v>5.58</v>
      </c>
      <c r="J874" t="str">
        <f t="shared" si="52"/>
        <v>Jul</v>
      </c>
      <c r="K874">
        <f t="shared" si="53"/>
        <v>2024</v>
      </c>
      <c r="L874">
        <f t="shared" si="54"/>
        <v>253.053</v>
      </c>
      <c r="M874" t="str">
        <f t="shared" si="55"/>
        <v>Weekday</v>
      </c>
    </row>
    <row r="875" spans="1:13" x14ac:dyDescent="0.35">
      <c r="A875" t="s">
        <v>890</v>
      </c>
      <c r="B875" t="s">
        <v>14</v>
      </c>
      <c r="C875" t="s">
        <v>11</v>
      </c>
      <c r="D875" s="1">
        <v>45355</v>
      </c>
      <c r="E875">
        <v>99.38</v>
      </c>
      <c r="F875">
        <v>1.39</v>
      </c>
      <c r="G875">
        <v>87</v>
      </c>
      <c r="H875" t="s">
        <v>12</v>
      </c>
      <c r="I875">
        <v>6.78</v>
      </c>
      <c r="J875" t="str">
        <f t="shared" si="52"/>
        <v>Mar</v>
      </c>
      <c r="K875">
        <f t="shared" si="53"/>
        <v>2024</v>
      </c>
      <c r="L875">
        <f t="shared" si="54"/>
        <v>673.79639999999995</v>
      </c>
      <c r="M875" t="str">
        <f t="shared" si="55"/>
        <v>Weekday</v>
      </c>
    </row>
    <row r="876" spans="1:13" x14ac:dyDescent="0.35">
      <c r="A876" t="s">
        <v>891</v>
      </c>
      <c r="B876" t="s">
        <v>14</v>
      </c>
      <c r="C876" t="s">
        <v>24</v>
      </c>
      <c r="D876" s="1">
        <v>45515</v>
      </c>
      <c r="E876">
        <v>95.38</v>
      </c>
      <c r="F876">
        <v>3.48</v>
      </c>
      <c r="G876">
        <v>120</v>
      </c>
      <c r="H876" t="s">
        <v>12</v>
      </c>
      <c r="I876">
        <v>3.31</v>
      </c>
      <c r="J876" t="str">
        <f t="shared" si="52"/>
        <v>Aug</v>
      </c>
      <c r="K876">
        <f t="shared" si="53"/>
        <v>2024</v>
      </c>
      <c r="L876">
        <f t="shared" si="54"/>
        <v>315.70779999999996</v>
      </c>
      <c r="M876" t="str">
        <f t="shared" si="55"/>
        <v>Weekend</v>
      </c>
    </row>
    <row r="877" spans="1:13" x14ac:dyDescent="0.35">
      <c r="A877" t="s">
        <v>892</v>
      </c>
      <c r="B877" t="s">
        <v>17</v>
      </c>
      <c r="C877" t="s">
        <v>15</v>
      </c>
      <c r="D877" s="1">
        <v>45307</v>
      </c>
      <c r="E877">
        <v>68.77</v>
      </c>
      <c r="F877">
        <v>9.39</v>
      </c>
      <c r="G877">
        <v>43</v>
      </c>
      <c r="H877" t="s">
        <v>12</v>
      </c>
      <c r="I877">
        <v>8.1300000000000008</v>
      </c>
      <c r="J877" t="str">
        <f t="shared" si="52"/>
        <v>Jan</v>
      </c>
      <c r="K877">
        <f t="shared" si="53"/>
        <v>2024</v>
      </c>
      <c r="L877">
        <f t="shared" si="54"/>
        <v>559.1001</v>
      </c>
      <c r="M877" t="str">
        <f t="shared" si="55"/>
        <v>Weekday</v>
      </c>
    </row>
    <row r="878" spans="1:13" x14ac:dyDescent="0.35">
      <c r="A878" t="s">
        <v>893</v>
      </c>
      <c r="B878" t="s">
        <v>10</v>
      </c>
      <c r="C878" t="s">
        <v>15</v>
      </c>
      <c r="D878" s="1">
        <v>45593</v>
      </c>
      <c r="E878">
        <v>61.73</v>
      </c>
      <c r="F878">
        <v>3.41</v>
      </c>
      <c r="G878">
        <v>66</v>
      </c>
      <c r="H878" t="s">
        <v>18</v>
      </c>
      <c r="I878">
        <v>8.7200000000000006</v>
      </c>
      <c r="J878" t="str">
        <f t="shared" si="52"/>
        <v>Oct</v>
      </c>
      <c r="K878">
        <f t="shared" si="53"/>
        <v>2024</v>
      </c>
      <c r="L878">
        <f t="shared" si="54"/>
        <v>538.28560000000004</v>
      </c>
      <c r="M878" t="str">
        <f t="shared" si="55"/>
        <v>Weekday</v>
      </c>
    </row>
    <row r="879" spans="1:13" x14ac:dyDescent="0.35">
      <c r="A879" t="s">
        <v>894</v>
      </c>
      <c r="B879" t="s">
        <v>14</v>
      </c>
      <c r="C879" t="s">
        <v>24</v>
      </c>
      <c r="D879" s="1">
        <v>45566</v>
      </c>
      <c r="E879">
        <v>38.090000000000003</v>
      </c>
      <c r="F879">
        <v>2.6</v>
      </c>
      <c r="G879">
        <v>10</v>
      </c>
      <c r="H879" t="s">
        <v>12</v>
      </c>
      <c r="I879">
        <v>6.56</v>
      </c>
      <c r="J879" t="str">
        <f t="shared" si="52"/>
        <v>Oct</v>
      </c>
      <c r="K879">
        <f t="shared" si="53"/>
        <v>2024</v>
      </c>
      <c r="L879">
        <f t="shared" si="54"/>
        <v>249.87040000000002</v>
      </c>
      <c r="M879" t="str">
        <f t="shared" si="55"/>
        <v>Weekday</v>
      </c>
    </row>
    <row r="880" spans="1:13" x14ac:dyDescent="0.35">
      <c r="A880" t="s">
        <v>895</v>
      </c>
      <c r="B880" t="s">
        <v>17</v>
      </c>
      <c r="C880" t="s">
        <v>24</v>
      </c>
      <c r="D880" s="1">
        <v>45489</v>
      </c>
      <c r="E880">
        <v>99.63</v>
      </c>
      <c r="F880">
        <v>4.8099999999999996</v>
      </c>
      <c r="G880">
        <v>0</v>
      </c>
      <c r="H880" t="s">
        <v>18</v>
      </c>
      <c r="I880">
        <v>4.3</v>
      </c>
      <c r="J880" t="str">
        <f t="shared" si="52"/>
        <v>Jul</v>
      </c>
      <c r="K880">
        <f t="shared" si="53"/>
        <v>2024</v>
      </c>
      <c r="L880">
        <f t="shared" si="54"/>
        <v>428.40899999999993</v>
      </c>
      <c r="M880" t="str">
        <f t="shared" si="55"/>
        <v>Weekday</v>
      </c>
    </row>
    <row r="881" spans="1:13" x14ac:dyDescent="0.35">
      <c r="A881" t="s">
        <v>896</v>
      </c>
      <c r="B881" t="s">
        <v>14</v>
      </c>
      <c r="C881" t="s">
        <v>24</v>
      </c>
      <c r="D881" s="1">
        <v>45612</v>
      </c>
      <c r="E881">
        <v>54.45</v>
      </c>
      <c r="F881">
        <v>3.87</v>
      </c>
      <c r="G881">
        <v>66</v>
      </c>
      <c r="H881" t="s">
        <v>18</v>
      </c>
      <c r="I881">
        <v>4.42</v>
      </c>
      <c r="J881" t="str">
        <f t="shared" si="52"/>
        <v>Nov</v>
      </c>
      <c r="K881">
        <f t="shared" si="53"/>
        <v>2024</v>
      </c>
      <c r="L881">
        <f t="shared" si="54"/>
        <v>240.66900000000001</v>
      </c>
      <c r="M881" t="str">
        <f t="shared" si="55"/>
        <v>Weekend</v>
      </c>
    </row>
    <row r="882" spans="1:13" x14ac:dyDescent="0.35">
      <c r="A882" t="s">
        <v>897</v>
      </c>
      <c r="B882" t="s">
        <v>14</v>
      </c>
      <c r="C882" t="s">
        <v>15</v>
      </c>
      <c r="D882" s="1">
        <v>45506</v>
      </c>
      <c r="E882">
        <v>17.93</v>
      </c>
      <c r="F882">
        <v>4.7300000000000004</v>
      </c>
      <c r="G882">
        <v>48</v>
      </c>
      <c r="H882" t="s">
        <v>18</v>
      </c>
      <c r="I882">
        <v>9.64</v>
      </c>
      <c r="J882" t="str">
        <f t="shared" si="52"/>
        <v>Aug</v>
      </c>
      <c r="K882">
        <f t="shared" si="53"/>
        <v>2024</v>
      </c>
      <c r="L882">
        <f t="shared" si="54"/>
        <v>172.84520000000001</v>
      </c>
      <c r="M882" t="str">
        <f t="shared" si="55"/>
        <v>Weekday</v>
      </c>
    </row>
    <row r="883" spans="1:13" x14ac:dyDescent="0.35">
      <c r="A883" t="s">
        <v>898</v>
      </c>
      <c r="B883" t="s">
        <v>14</v>
      </c>
      <c r="C883" t="s">
        <v>15</v>
      </c>
      <c r="D883" s="1">
        <v>45359</v>
      </c>
      <c r="E883">
        <v>81.16</v>
      </c>
      <c r="F883">
        <v>9.77</v>
      </c>
      <c r="G883">
        <v>30</v>
      </c>
      <c r="H883" t="s">
        <v>12</v>
      </c>
      <c r="I883">
        <v>7.68</v>
      </c>
      <c r="J883" t="str">
        <f t="shared" si="52"/>
        <v>Mar</v>
      </c>
      <c r="K883">
        <f t="shared" si="53"/>
        <v>2024</v>
      </c>
      <c r="L883">
        <f t="shared" si="54"/>
        <v>623.30879999999991</v>
      </c>
      <c r="M883" t="str">
        <f t="shared" si="55"/>
        <v>Weekday</v>
      </c>
    </row>
    <row r="884" spans="1:13" x14ac:dyDescent="0.35">
      <c r="A884" t="s">
        <v>899</v>
      </c>
      <c r="B884" t="s">
        <v>17</v>
      </c>
      <c r="C884" t="s">
        <v>24</v>
      </c>
      <c r="D884" s="1">
        <v>45360</v>
      </c>
      <c r="E884">
        <v>6.81</v>
      </c>
      <c r="F884">
        <v>9.75</v>
      </c>
      <c r="G884">
        <v>39</v>
      </c>
      <c r="H884" t="s">
        <v>12</v>
      </c>
      <c r="I884">
        <v>6.54</v>
      </c>
      <c r="J884" t="str">
        <f t="shared" si="52"/>
        <v>Mar</v>
      </c>
      <c r="K884">
        <f t="shared" si="53"/>
        <v>2024</v>
      </c>
      <c r="L884">
        <f t="shared" si="54"/>
        <v>44.537399999999998</v>
      </c>
      <c r="M884" t="str">
        <f t="shared" si="55"/>
        <v>Weekend</v>
      </c>
    </row>
    <row r="885" spans="1:13" x14ac:dyDescent="0.35">
      <c r="A885" t="s">
        <v>900</v>
      </c>
      <c r="B885" t="s">
        <v>10</v>
      </c>
      <c r="C885" t="s">
        <v>24</v>
      </c>
      <c r="D885" s="1">
        <v>45295</v>
      </c>
      <c r="E885">
        <v>30.78</v>
      </c>
      <c r="F885">
        <v>2.1</v>
      </c>
      <c r="G885">
        <v>117</v>
      </c>
      <c r="H885" t="s">
        <v>18</v>
      </c>
      <c r="I885">
        <v>5.53</v>
      </c>
      <c r="J885" t="str">
        <f t="shared" si="52"/>
        <v>Jan</v>
      </c>
      <c r="K885">
        <f t="shared" si="53"/>
        <v>2024</v>
      </c>
      <c r="L885">
        <f t="shared" si="54"/>
        <v>170.21340000000001</v>
      </c>
      <c r="M885" t="str">
        <f t="shared" si="55"/>
        <v>Weekday</v>
      </c>
    </row>
    <row r="886" spans="1:13" x14ac:dyDescent="0.35">
      <c r="A886" t="s">
        <v>901</v>
      </c>
      <c r="B886" t="s">
        <v>17</v>
      </c>
      <c r="C886" t="s">
        <v>15</v>
      </c>
      <c r="D886" s="1">
        <v>45377</v>
      </c>
      <c r="E886">
        <v>28.91</v>
      </c>
      <c r="F886">
        <v>5.19</v>
      </c>
      <c r="G886">
        <v>113</v>
      </c>
      <c r="H886" t="s">
        <v>12</v>
      </c>
      <c r="I886">
        <v>9.86</v>
      </c>
      <c r="J886" t="str">
        <f t="shared" si="52"/>
        <v>Mar</v>
      </c>
      <c r="K886">
        <f t="shared" si="53"/>
        <v>2024</v>
      </c>
      <c r="L886">
        <f t="shared" si="54"/>
        <v>285.05259999999998</v>
      </c>
      <c r="M886" t="str">
        <f t="shared" si="55"/>
        <v>Weekday</v>
      </c>
    </row>
    <row r="887" spans="1:13" x14ac:dyDescent="0.35">
      <c r="A887" t="s">
        <v>902</v>
      </c>
      <c r="B887" t="s">
        <v>14</v>
      </c>
      <c r="C887" t="s">
        <v>15</v>
      </c>
      <c r="D887" s="1">
        <v>45334</v>
      </c>
      <c r="E887">
        <v>51.61</v>
      </c>
      <c r="F887">
        <v>9.25</v>
      </c>
      <c r="G887">
        <v>28</v>
      </c>
      <c r="H887" t="s">
        <v>12</v>
      </c>
      <c r="I887">
        <v>3.57</v>
      </c>
      <c r="J887" t="str">
        <f t="shared" si="52"/>
        <v>Feb</v>
      </c>
      <c r="K887">
        <f t="shared" si="53"/>
        <v>2024</v>
      </c>
      <c r="L887">
        <f t="shared" si="54"/>
        <v>184.24769999999998</v>
      </c>
      <c r="M887" t="str">
        <f t="shared" si="55"/>
        <v>Weekday</v>
      </c>
    </row>
    <row r="888" spans="1:13" x14ac:dyDescent="0.35">
      <c r="A888" t="s">
        <v>903</v>
      </c>
      <c r="B888" t="s">
        <v>17</v>
      </c>
      <c r="C888" t="s">
        <v>15</v>
      </c>
      <c r="D888" s="1">
        <v>45416</v>
      </c>
      <c r="E888">
        <v>19.98</v>
      </c>
      <c r="F888">
        <v>5.23</v>
      </c>
      <c r="G888">
        <v>63</v>
      </c>
      <c r="H888" t="s">
        <v>18</v>
      </c>
      <c r="I888">
        <v>6.93</v>
      </c>
      <c r="J888" t="str">
        <f t="shared" si="52"/>
        <v>May</v>
      </c>
      <c r="K888">
        <f t="shared" si="53"/>
        <v>2024</v>
      </c>
      <c r="L888">
        <f t="shared" si="54"/>
        <v>138.4614</v>
      </c>
      <c r="M888" t="str">
        <f t="shared" si="55"/>
        <v>Weekend</v>
      </c>
    </row>
    <row r="889" spans="1:13" x14ac:dyDescent="0.35">
      <c r="A889" t="s">
        <v>904</v>
      </c>
      <c r="B889" t="s">
        <v>14</v>
      </c>
      <c r="C889" t="s">
        <v>11</v>
      </c>
      <c r="D889" s="1">
        <v>45419</v>
      </c>
      <c r="E889">
        <v>16.059999999999999</v>
      </c>
      <c r="F889">
        <v>6.15</v>
      </c>
      <c r="G889">
        <v>38</v>
      </c>
      <c r="H889" t="s">
        <v>12</v>
      </c>
      <c r="I889">
        <v>9.18</v>
      </c>
      <c r="J889" t="str">
        <f t="shared" si="52"/>
        <v>May</v>
      </c>
      <c r="K889">
        <f t="shared" si="53"/>
        <v>2024</v>
      </c>
      <c r="L889">
        <f t="shared" si="54"/>
        <v>147.43079999999998</v>
      </c>
      <c r="M889" t="str">
        <f t="shared" si="55"/>
        <v>Weekday</v>
      </c>
    </row>
    <row r="890" spans="1:13" x14ac:dyDescent="0.35">
      <c r="A890" t="s">
        <v>905</v>
      </c>
      <c r="B890" t="s">
        <v>17</v>
      </c>
      <c r="C890" t="s">
        <v>15</v>
      </c>
      <c r="D890" s="1">
        <v>45609</v>
      </c>
      <c r="E890">
        <v>62.2</v>
      </c>
      <c r="F890">
        <v>4.8600000000000003</v>
      </c>
      <c r="G890">
        <v>46</v>
      </c>
      <c r="H890" t="s">
        <v>18</v>
      </c>
      <c r="I890">
        <v>3</v>
      </c>
      <c r="J890" t="str">
        <f t="shared" si="52"/>
        <v>Nov</v>
      </c>
      <c r="K890">
        <f t="shared" si="53"/>
        <v>2024</v>
      </c>
      <c r="L890">
        <f t="shared" si="54"/>
        <v>186.60000000000002</v>
      </c>
      <c r="M890" t="str">
        <f t="shared" si="55"/>
        <v>Weekday</v>
      </c>
    </row>
    <row r="891" spans="1:13" x14ac:dyDescent="0.35">
      <c r="A891" t="s">
        <v>906</v>
      </c>
      <c r="B891" t="s">
        <v>14</v>
      </c>
      <c r="C891" t="s">
        <v>24</v>
      </c>
      <c r="D891" s="1">
        <v>45430</v>
      </c>
      <c r="E891">
        <v>46.56</v>
      </c>
      <c r="F891">
        <v>2.58</v>
      </c>
      <c r="G891">
        <v>43</v>
      </c>
      <c r="H891" t="s">
        <v>18</v>
      </c>
      <c r="I891">
        <v>5.96</v>
      </c>
      <c r="J891" t="str">
        <f t="shared" si="52"/>
        <v>May</v>
      </c>
      <c r="K891">
        <f t="shared" si="53"/>
        <v>2024</v>
      </c>
      <c r="L891">
        <f t="shared" si="54"/>
        <v>277.49760000000003</v>
      </c>
      <c r="M891" t="str">
        <f t="shared" si="55"/>
        <v>Weekend</v>
      </c>
    </row>
    <row r="892" spans="1:13" x14ac:dyDescent="0.35">
      <c r="A892" t="s">
        <v>907</v>
      </c>
      <c r="B892" t="s">
        <v>10</v>
      </c>
      <c r="C892" t="s">
        <v>15</v>
      </c>
      <c r="D892" s="1">
        <v>45601</v>
      </c>
      <c r="E892">
        <v>56.51</v>
      </c>
      <c r="F892">
        <v>6.84</v>
      </c>
      <c r="G892">
        <v>4</v>
      </c>
      <c r="H892" t="s">
        <v>18</v>
      </c>
      <c r="I892">
        <v>7.18</v>
      </c>
      <c r="J892" t="str">
        <f t="shared" si="52"/>
        <v>Nov</v>
      </c>
      <c r="K892">
        <f t="shared" si="53"/>
        <v>2024</v>
      </c>
      <c r="L892">
        <f t="shared" si="54"/>
        <v>405.74179999999996</v>
      </c>
      <c r="M892" t="str">
        <f t="shared" si="55"/>
        <v>Weekday</v>
      </c>
    </row>
    <row r="893" spans="1:13" x14ac:dyDescent="0.35">
      <c r="A893" t="s">
        <v>908</v>
      </c>
      <c r="B893" t="s">
        <v>10</v>
      </c>
      <c r="C893" t="s">
        <v>15</v>
      </c>
      <c r="D893" s="1">
        <v>45440</v>
      </c>
      <c r="E893">
        <v>13.31</v>
      </c>
      <c r="F893">
        <v>3.43</v>
      </c>
      <c r="G893">
        <v>9</v>
      </c>
      <c r="H893" t="s">
        <v>18</v>
      </c>
      <c r="I893">
        <v>9.57</v>
      </c>
      <c r="J893" t="str">
        <f t="shared" si="52"/>
        <v>May</v>
      </c>
      <c r="K893">
        <f t="shared" si="53"/>
        <v>2024</v>
      </c>
      <c r="L893">
        <f t="shared" si="54"/>
        <v>127.37670000000001</v>
      </c>
      <c r="M893" t="str">
        <f t="shared" si="55"/>
        <v>Weekday</v>
      </c>
    </row>
    <row r="894" spans="1:13" x14ac:dyDescent="0.35">
      <c r="A894" t="s">
        <v>909</v>
      </c>
      <c r="B894" t="s">
        <v>17</v>
      </c>
      <c r="C894" t="s">
        <v>15</v>
      </c>
      <c r="D894" s="1">
        <v>45492</v>
      </c>
      <c r="E894">
        <v>22.01</v>
      </c>
      <c r="F894">
        <v>2.29</v>
      </c>
      <c r="G894">
        <v>34</v>
      </c>
      <c r="H894" t="s">
        <v>12</v>
      </c>
      <c r="I894">
        <v>7.56</v>
      </c>
      <c r="J894" t="str">
        <f t="shared" si="52"/>
        <v>Jul</v>
      </c>
      <c r="K894">
        <f t="shared" si="53"/>
        <v>2024</v>
      </c>
      <c r="L894">
        <f t="shared" si="54"/>
        <v>166.3956</v>
      </c>
      <c r="M894" t="str">
        <f t="shared" si="55"/>
        <v>Weekday</v>
      </c>
    </row>
    <row r="895" spans="1:13" x14ac:dyDescent="0.35">
      <c r="A895" t="s">
        <v>910</v>
      </c>
      <c r="B895" t="s">
        <v>14</v>
      </c>
      <c r="C895" t="s">
        <v>24</v>
      </c>
      <c r="D895" s="1">
        <v>45497</v>
      </c>
      <c r="E895">
        <v>54.3</v>
      </c>
      <c r="F895">
        <v>3.31</v>
      </c>
      <c r="G895">
        <v>92</v>
      </c>
      <c r="H895" t="s">
        <v>18</v>
      </c>
      <c r="I895">
        <v>6.89</v>
      </c>
      <c r="J895" t="str">
        <f t="shared" si="52"/>
        <v>Jul</v>
      </c>
      <c r="K895">
        <f t="shared" si="53"/>
        <v>2024</v>
      </c>
      <c r="L895">
        <f t="shared" si="54"/>
        <v>374.12699999999995</v>
      </c>
      <c r="M895" t="str">
        <f t="shared" si="55"/>
        <v>Weekday</v>
      </c>
    </row>
    <row r="896" spans="1:13" x14ac:dyDescent="0.35">
      <c r="A896" t="s">
        <v>911</v>
      </c>
      <c r="B896" t="s">
        <v>14</v>
      </c>
      <c r="C896" t="s">
        <v>24</v>
      </c>
      <c r="D896" s="1">
        <v>45455</v>
      </c>
      <c r="E896">
        <v>31.17</v>
      </c>
      <c r="F896">
        <v>3.64</v>
      </c>
      <c r="G896">
        <v>37</v>
      </c>
      <c r="H896" t="s">
        <v>12</v>
      </c>
      <c r="I896">
        <v>7.22</v>
      </c>
      <c r="J896" t="str">
        <f t="shared" si="52"/>
        <v>Jun</v>
      </c>
      <c r="K896">
        <f t="shared" si="53"/>
        <v>2024</v>
      </c>
      <c r="L896">
        <f t="shared" si="54"/>
        <v>225.04740000000001</v>
      </c>
      <c r="M896" t="str">
        <f t="shared" si="55"/>
        <v>Weekday</v>
      </c>
    </row>
    <row r="897" spans="1:13" x14ac:dyDescent="0.35">
      <c r="A897" t="s">
        <v>912</v>
      </c>
      <c r="B897" t="s">
        <v>17</v>
      </c>
      <c r="C897" t="s">
        <v>11</v>
      </c>
      <c r="D897" s="1">
        <v>45364</v>
      </c>
      <c r="E897">
        <v>38.19</v>
      </c>
      <c r="F897">
        <v>9.7100000000000009</v>
      </c>
      <c r="G897">
        <v>44</v>
      </c>
      <c r="H897" t="s">
        <v>12</v>
      </c>
      <c r="I897">
        <v>6.14</v>
      </c>
      <c r="J897" t="str">
        <f t="shared" si="52"/>
        <v>Mar</v>
      </c>
      <c r="K897">
        <f t="shared" si="53"/>
        <v>2024</v>
      </c>
      <c r="L897">
        <f t="shared" si="54"/>
        <v>234.48659999999998</v>
      </c>
      <c r="M897" t="str">
        <f t="shared" si="55"/>
        <v>Weekday</v>
      </c>
    </row>
    <row r="898" spans="1:13" x14ac:dyDescent="0.35">
      <c r="A898" t="s">
        <v>913</v>
      </c>
      <c r="B898" t="s">
        <v>17</v>
      </c>
      <c r="C898" t="s">
        <v>15</v>
      </c>
      <c r="D898" s="1">
        <v>45652</v>
      </c>
      <c r="E898">
        <v>94.55</v>
      </c>
      <c r="F898">
        <v>5.48</v>
      </c>
      <c r="G898">
        <v>8</v>
      </c>
      <c r="H898" t="s">
        <v>12</v>
      </c>
      <c r="I898">
        <v>6.79</v>
      </c>
      <c r="J898" t="str">
        <f t="shared" si="52"/>
        <v>Dec</v>
      </c>
      <c r="K898">
        <f t="shared" si="53"/>
        <v>2024</v>
      </c>
      <c r="L898">
        <f t="shared" si="54"/>
        <v>641.99450000000002</v>
      </c>
      <c r="M898" t="str">
        <f t="shared" si="55"/>
        <v>Weekday</v>
      </c>
    </row>
    <row r="899" spans="1:13" x14ac:dyDescent="0.35">
      <c r="A899" t="s">
        <v>914</v>
      </c>
      <c r="B899" t="s">
        <v>10</v>
      </c>
      <c r="C899" t="s">
        <v>24</v>
      </c>
      <c r="D899" s="1">
        <v>45449</v>
      </c>
      <c r="E899">
        <v>53.68</v>
      </c>
      <c r="F899">
        <v>5.36</v>
      </c>
      <c r="G899">
        <v>24</v>
      </c>
      <c r="H899" t="s">
        <v>12</v>
      </c>
      <c r="I899">
        <v>6.88</v>
      </c>
      <c r="J899" t="str">
        <f t="shared" ref="J899:J901" si="56">TEXT(D899,"mmm")</f>
        <v>Jun</v>
      </c>
      <c r="K899">
        <f t="shared" ref="K899:K901" si="57">YEAR(D899)</f>
        <v>2024</v>
      </c>
      <c r="L899">
        <f t="shared" ref="L899:L901" si="58">E899*I899</f>
        <v>369.3184</v>
      </c>
      <c r="M899" t="str">
        <f t="shared" ref="M899:M901" si="59">IF(OR(WEEKDAY(D899)=1,WEEKDAY(D899)=7),"Weekend","Weekday")</f>
        <v>Weekday</v>
      </c>
    </row>
    <row r="900" spans="1:13" x14ac:dyDescent="0.35">
      <c r="A900" t="s">
        <v>915</v>
      </c>
      <c r="B900" t="s">
        <v>14</v>
      </c>
      <c r="C900" t="s">
        <v>15</v>
      </c>
      <c r="D900" s="1">
        <v>45313</v>
      </c>
      <c r="E900">
        <v>21.15</v>
      </c>
      <c r="F900">
        <v>3.78</v>
      </c>
      <c r="G900">
        <v>51</v>
      </c>
      <c r="H900" t="s">
        <v>18</v>
      </c>
      <c r="I900">
        <v>6.8</v>
      </c>
      <c r="J900" t="str">
        <f t="shared" si="56"/>
        <v>Jan</v>
      </c>
      <c r="K900">
        <f t="shared" si="57"/>
        <v>2024</v>
      </c>
      <c r="L900">
        <f t="shared" si="58"/>
        <v>143.82</v>
      </c>
      <c r="M900" t="str">
        <f t="shared" si="59"/>
        <v>Weekday</v>
      </c>
    </row>
    <row r="901" spans="1:13" x14ac:dyDescent="0.35">
      <c r="A901" t="s">
        <v>916</v>
      </c>
      <c r="B901" t="s">
        <v>10</v>
      </c>
      <c r="C901" t="s">
        <v>15</v>
      </c>
      <c r="D901" s="1">
        <v>45652</v>
      </c>
      <c r="E901">
        <v>21.44</v>
      </c>
      <c r="F901">
        <v>2.25</v>
      </c>
      <c r="G901">
        <v>93</v>
      </c>
      <c r="H901" t="s">
        <v>12</v>
      </c>
      <c r="I901">
        <v>3.72</v>
      </c>
      <c r="J901" t="str">
        <f t="shared" si="56"/>
        <v>Dec</v>
      </c>
      <c r="K901">
        <f t="shared" si="57"/>
        <v>2024</v>
      </c>
      <c r="L901">
        <f t="shared" si="58"/>
        <v>79.756800000000013</v>
      </c>
      <c r="M901" t="str">
        <f t="shared" si="59"/>
        <v>Weekday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F2E4-2674-4674-8FF8-892FCB0D7292}">
  <dimension ref="A1:J72"/>
  <sheetViews>
    <sheetView zoomScale="76" workbookViewId="0">
      <selection activeCell="R63" sqref="R63"/>
    </sheetView>
  </sheetViews>
  <sheetFormatPr defaultRowHeight="14.5" x14ac:dyDescent="0.35"/>
  <cols>
    <col min="1" max="1" width="17.7265625" customWidth="1"/>
    <col min="4" max="4" width="27.7265625" style="5" customWidth="1"/>
    <col min="6" max="6" width="19.54296875" bestFit="1" customWidth="1"/>
    <col min="7" max="7" width="16.26953125" bestFit="1" customWidth="1"/>
    <col min="8" max="9" width="5.90625" bestFit="1" customWidth="1"/>
    <col min="10" max="10" width="10.81640625" bestFit="1" customWidth="1"/>
  </cols>
  <sheetData>
    <row r="1" spans="1:7" x14ac:dyDescent="0.35">
      <c r="A1" t="s">
        <v>921</v>
      </c>
      <c r="B1">
        <f>SUM(smart_meter_dataset!E2:E901)</f>
        <v>48589.760000000002</v>
      </c>
      <c r="D1" s="5" t="s">
        <v>925</v>
      </c>
      <c r="F1" s="2" t="s">
        <v>926</v>
      </c>
      <c r="G1" t="s">
        <v>928</v>
      </c>
    </row>
    <row r="2" spans="1:7" x14ac:dyDescent="0.35">
      <c r="A2" t="s">
        <v>922</v>
      </c>
      <c r="B2">
        <f>AVERAGE(smart_meter_dataset!E2:E901)</f>
        <v>53.988622222222226</v>
      </c>
      <c r="F2" s="3" t="s">
        <v>10</v>
      </c>
      <c r="G2" s="4">
        <v>14146.320000000003</v>
      </c>
    </row>
    <row r="3" spans="1:7" x14ac:dyDescent="0.35">
      <c r="A3" t="s">
        <v>924</v>
      </c>
      <c r="B3">
        <f>SUM(smart_meter_dataset!G2:G901)</f>
        <v>53688</v>
      </c>
      <c r="F3" s="3" t="s">
        <v>14</v>
      </c>
      <c r="G3" s="4">
        <v>17878.289999999997</v>
      </c>
    </row>
    <row r="4" spans="1:7" x14ac:dyDescent="0.35">
      <c r="A4" t="s">
        <v>923</v>
      </c>
      <c r="B4">
        <f>SUM(smart_meter_dataset!L2:L901)</f>
        <v>320570.75379999971</v>
      </c>
      <c r="F4" s="3" t="s">
        <v>17</v>
      </c>
      <c r="G4" s="4">
        <v>16565.150000000001</v>
      </c>
    </row>
    <row r="5" spans="1:7" x14ac:dyDescent="0.35">
      <c r="F5" s="3" t="s">
        <v>927</v>
      </c>
      <c r="G5" s="4">
        <v>48589.760000000002</v>
      </c>
    </row>
    <row r="6" spans="1:7" x14ac:dyDescent="0.35">
      <c r="A6" t="s">
        <v>18</v>
      </c>
      <c r="B6">
        <f>COUNTIF(smart_meter_dataset!H2:H901,"Active")</f>
        <v>442</v>
      </c>
    </row>
    <row r="7" spans="1:7" x14ac:dyDescent="0.35">
      <c r="A7" t="s">
        <v>12</v>
      </c>
      <c r="B7">
        <f>COUNTIF(smart_meter_dataset!H3:H902,"Faulty")</f>
        <v>457</v>
      </c>
    </row>
    <row r="19" spans="4:7" x14ac:dyDescent="0.35">
      <c r="D19" s="5" t="s">
        <v>929</v>
      </c>
      <c r="F19" s="2" t="s">
        <v>926</v>
      </c>
      <c r="G19" t="s">
        <v>928</v>
      </c>
    </row>
    <row r="20" spans="4:7" x14ac:dyDescent="0.35">
      <c r="F20" s="3" t="s">
        <v>930</v>
      </c>
      <c r="G20" s="4">
        <v>3673.2499999999995</v>
      </c>
    </row>
    <row r="21" spans="4:7" x14ac:dyDescent="0.35">
      <c r="F21" s="3" t="s">
        <v>931</v>
      </c>
      <c r="G21" s="4">
        <v>3357.5800000000004</v>
      </c>
    </row>
    <row r="22" spans="4:7" x14ac:dyDescent="0.35">
      <c r="F22" s="3" t="s">
        <v>932</v>
      </c>
      <c r="G22" s="4">
        <v>4517.3600000000006</v>
      </c>
    </row>
    <row r="23" spans="4:7" x14ac:dyDescent="0.35">
      <c r="F23" s="3" t="s">
        <v>933</v>
      </c>
      <c r="G23" s="4">
        <v>3816.4199999999996</v>
      </c>
    </row>
    <row r="24" spans="4:7" x14ac:dyDescent="0.35">
      <c r="F24" s="3" t="s">
        <v>934</v>
      </c>
      <c r="G24" s="4">
        <v>4819.6399999999985</v>
      </c>
    </row>
    <row r="25" spans="4:7" x14ac:dyDescent="0.35">
      <c r="F25" s="3" t="s">
        <v>927</v>
      </c>
      <c r="G25" s="4">
        <v>20184.25</v>
      </c>
    </row>
    <row r="35" spans="4:10" ht="29" x14ac:dyDescent="0.35">
      <c r="D35" s="5" t="s">
        <v>936</v>
      </c>
      <c r="F35" s="2" t="s">
        <v>935</v>
      </c>
      <c r="G35" s="2" t="s">
        <v>939</v>
      </c>
    </row>
    <row r="36" spans="4:10" x14ac:dyDescent="0.35">
      <c r="F36" s="2" t="s">
        <v>926</v>
      </c>
      <c r="G36" t="s">
        <v>10</v>
      </c>
      <c r="H36" t="s">
        <v>14</v>
      </c>
      <c r="I36" t="s">
        <v>17</v>
      </c>
      <c r="J36" t="s">
        <v>927</v>
      </c>
    </row>
    <row r="37" spans="4:10" x14ac:dyDescent="0.35">
      <c r="F37" s="3" t="s">
        <v>18</v>
      </c>
      <c r="G37" s="4">
        <v>133</v>
      </c>
      <c r="H37" s="4">
        <v>158</v>
      </c>
      <c r="I37" s="4">
        <v>151</v>
      </c>
      <c r="J37" s="4">
        <v>442</v>
      </c>
    </row>
    <row r="38" spans="4:10" x14ac:dyDescent="0.35">
      <c r="F38" s="3" t="s">
        <v>12</v>
      </c>
      <c r="G38" s="4">
        <v>136</v>
      </c>
      <c r="H38" s="4">
        <v>165</v>
      </c>
      <c r="I38" s="4">
        <v>157</v>
      </c>
      <c r="J38" s="4">
        <v>458</v>
      </c>
    </row>
    <row r="39" spans="4:10" x14ac:dyDescent="0.35">
      <c r="F39" s="3" t="s">
        <v>927</v>
      </c>
      <c r="G39" s="4">
        <v>269</v>
      </c>
      <c r="H39" s="4">
        <v>323</v>
      </c>
      <c r="I39" s="4">
        <v>308</v>
      </c>
      <c r="J39" s="4">
        <v>900</v>
      </c>
    </row>
    <row r="51" spans="4:7" x14ac:dyDescent="0.35">
      <c r="D51" t="s">
        <v>937</v>
      </c>
      <c r="F51" s="2" t="s">
        <v>926</v>
      </c>
      <c r="G51" t="s">
        <v>938</v>
      </c>
    </row>
    <row r="52" spans="4:7" x14ac:dyDescent="0.35">
      <c r="F52" s="3" t="s">
        <v>10</v>
      </c>
      <c r="G52" s="4">
        <v>15926</v>
      </c>
    </row>
    <row r="53" spans="4:7" x14ac:dyDescent="0.35">
      <c r="F53" s="3" t="s">
        <v>14</v>
      </c>
      <c r="G53" s="4">
        <v>18917</v>
      </c>
    </row>
    <row r="54" spans="4:7" x14ac:dyDescent="0.35">
      <c r="F54" s="3" t="s">
        <v>17</v>
      </c>
      <c r="G54" s="4">
        <v>18845</v>
      </c>
    </row>
    <row r="55" spans="4:7" x14ac:dyDescent="0.35">
      <c r="F55" s="3" t="s">
        <v>927</v>
      </c>
      <c r="G55" s="4">
        <v>53688</v>
      </c>
    </row>
    <row r="66" spans="4:7" x14ac:dyDescent="0.35">
      <c r="D66" s="5" t="s">
        <v>941</v>
      </c>
      <c r="F66" s="2" t="s">
        <v>926</v>
      </c>
      <c r="G66" t="s">
        <v>942</v>
      </c>
    </row>
    <row r="67" spans="4:7" x14ac:dyDescent="0.35">
      <c r="F67" s="3" t="s">
        <v>930</v>
      </c>
      <c r="G67" s="4">
        <v>24143.978200000001</v>
      </c>
    </row>
    <row r="68" spans="4:7" x14ac:dyDescent="0.35">
      <c r="F68" s="3" t="s">
        <v>931</v>
      </c>
      <c r="G68" s="4">
        <v>21072.548699999996</v>
      </c>
    </row>
    <row r="69" spans="4:7" x14ac:dyDescent="0.35">
      <c r="F69" s="3" t="s">
        <v>932</v>
      </c>
      <c r="G69" s="4">
        <v>30506.530900000009</v>
      </c>
    </row>
    <row r="70" spans="4:7" x14ac:dyDescent="0.35">
      <c r="F70" s="3" t="s">
        <v>933</v>
      </c>
      <c r="G70" s="4">
        <v>26462.810000000009</v>
      </c>
    </row>
    <row r="71" spans="4:7" x14ac:dyDescent="0.35">
      <c r="F71" s="3" t="s">
        <v>934</v>
      </c>
      <c r="G71" s="4">
        <v>33897.387699999992</v>
      </c>
    </row>
    <row r="72" spans="4:7" x14ac:dyDescent="0.35">
      <c r="F72" s="3" t="s">
        <v>927</v>
      </c>
      <c r="G72" s="4">
        <v>136083.25550000003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CE95-F786-4D60-8E4C-6EEB168977B4}">
  <dimension ref="A1:V48"/>
  <sheetViews>
    <sheetView showGridLines="0" showRowColHeaders="0" tabSelected="1" zoomScale="87" workbookViewId="0">
      <selection activeCell="Q26" sqref="Q26"/>
    </sheetView>
  </sheetViews>
  <sheetFormatPr defaultRowHeight="14.5" x14ac:dyDescent="0.35"/>
  <sheetData>
    <row r="1" spans="1:22" ht="14.5" customHeight="1" x14ac:dyDescent="0.35">
      <c r="A1" s="6"/>
      <c r="B1" s="6"/>
      <c r="C1" s="6"/>
      <c r="D1" s="6"/>
      <c r="E1" s="6"/>
      <c r="F1" s="6"/>
      <c r="G1" s="7" t="s">
        <v>940</v>
      </c>
      <c r="H1" s="7"/>
      <c r="I1" s="7"/>
      <c r="J1" s="7"/>
      <c r="K1" s="7"/>
      <c r="L1" s="7"/>
      <c r="M1" s="7"/>
      <c r="N1" s="7"/>
      <c r="O1" s="7"/>
      <c r="P1" s="7"/>
      <c r="Q1" s="7"/>
      <c r="R1" s="6"/>
      <c r="S1" s="6"/>
      <c r="T1" s="6"/>
      <c r="U1" s="6"/>
      <c r="V1" s="6"/>
    </row>
    <row r="2" spans="1:22" x14ac:dyDescent="0.35">
      <c r="A2" s="6"/>
      <c r="B2" s="6"/>
      <c r="C2" s="6"/>
      <c r="D2" s="6"/>
      <c r="E2" s="6"/>
      <c r="F2" s="6"/>
      <c r="G2" s="7"/>
      <c r="H2" s="7"/>
      <c r="I2" s="7"/>
      <c r="J2" s="7"/>
      <c r="K2" s="7"/>
      <c r="L2" s="7"/>
      <c r="M2" s="7"/>
      <c r="N2" s="7"/>
      <c r="O2" s="7"/>
      <c r="P2" s="7"/>
      <c r="Q2" s="7"/>
      <c r="R2" s="6"/>
      <c r="S2" s="6"/>
      <c r="T2" s="6"/>
      <c r="U2" s="6"/>
      <c r="V2" s="6"/>
    </row>
    <row r="3" spans="1:22" x14ac:dyDescent="0.35">
      <c r="A3" s="6"/>
      <c r="B3" s="6"/>
      <c r="C3" s="6"/>
      <c r="D3" s="6"/>
      <c r="E3" s="6"/>
      <c r="F3" s="6"/>
      <c r="G3" s="7"/>
      <c r="H3" s="7"/>
      <c r="I3" s="7"/>
      <c r="J3" s="7"/>
      <c r="K3" s="7"/>
      <c r="L3" s="7"/>
      <c r="M3" s="7"/>
      <c r="N3" s="7"/>
      <c r="O3" s="7"/>
      <c r="P3" s="7"/>
      <c r="Q3" s="7"/>
      <c r="R3" s="6"/>
      <c r="S3" s="6"/>
      <c r="T3" s="6"/>
      <c r="U3" s="6"/>
      <c r="V3" s="6"/>
    </row>
    <row r="4" spans="1:22" x14ac:dyDescent="0.35">
      <c r="A4" s="6"/>
      <c r="B4" s="6"/>
      <c r="C4" s="6"/>
      <c r="D4" s="6"/>
      <c r="E4" s="6"/>
      <c r="F4" s="6"/>
      <c r="G4" s="6"/>
      <c r="H4" s="6"/>
      <c r="I4" s="6"/>
      <c r="J4" s="6"/>
      <c r="K4" s="6"/>
      <c r="L4" s="6"/>
      <c r="M4" s="6"/>
      <c r="N4" s="6"/>
      <c r="O4" s="6"/>
      <c r="P4" s="6"/>
      <c r="Q4" s="6"/>
      <c r="R4" s="6"/>
      <c r="S4" s="6"/>
      <c r="T4" s="6"/>
      <c r="U4" s="6"/>
      <c r="V4" s="6"/>
    </row>
    <row r="5" spans="1:22" x14ac:dyDescent="0.35">
      <c r="A5" s="6"/>
      <c r="B5" s="6"/>
      <c r="C5" s="6"/>
      <c r="D5" s="6"/>
      <c r="E5" s="6"/>
      <c r="F5" s="6"/>
      <c r="G5" s="6"/>
      <c r="H5" s="6"/>
      <c r="I5" s="6"/>
      <c r="J5" s="6"/>
      <c r="K5" s="6"/>
      <c r="L5" s="6"/>
      <c r="M5" s="6"/>
      <c r="N5" s="6"/>
      <c r="O5" s="6"/>
      <c r="P5" s="6"/>
      <c r="Q5" s="6"/>
      <c r="R5" s="6"/>
      <c r="S5" s="6"/>
      <c r="T5" s="6"/>
      <c r="U5" s="6"/>
      <c r="V5" s="6"/>
    </row>
    <row r="6" spans="1:22" x14ac:dyDescent="0.35">
      <c r="A6" s="6"/>
      <c r="B6" s="6"/>
      <c r="C6" s="6"/>
      <c r="D6" s="6"/>
      <c r="E6" s="6"/>
      <c r="F6" s="6"/>
      <c r="G6" s="6"/>
      <c r="H6" s="6"/>
      <c r="I6" s="6"/>
      <c r="J6" s="6"/>
      <c r="K6" s="6"/>
      <c r="L6" s="6"/>
      <c r="M6" s="6"/>
      <c r="N6" s="6"/>
      <c r="O6" s="6"/>
      <c r="P6" s="6"/>
      <c r="Q6" s="6"/>
      <c r="R6" s="6"/>
      <c r="S6" s="6"/>
      <c r="T6" s="6"/>
      <c r="U6" s="6"/>
      <c r="V6" s="6"/>
    </row>
    <row r="7" spans="1:22" x14ac:dyDescent="0.35">
      <c r="A7" s="6"/>
      <c r="B7" s="6"/>
      <c r="C7" s="6"/>
      <c r="D7" s="6"/>
      <c r="E7" s="6"/>
      <c r="F7" s="6"/>
      <c r="G7" s="6"/>
      <c r="H7" s="6"/>
      <c r="I7" s="6"/>
      <c r="J7" s="6"/>
      <c r="K7" s="6"/>
      <c r="L7" s="6"/>
      <c r="M7" s="6"/>
      <c r="N7" s="6"/>
      <c r="O7" s="6"/>
      <c r="P7" s="6"/>
      <c r="Q7" s="6"/>
      <c r="R7" s="6"/>
      <c r="S7" s="6"/>
      <c r="T7" s="6"/>
      <c r="U7" s="6"/>
      <c r="V7" s="6"/>
    </row>
    <row r="8" spans="1:22" x14ac:dyDescent="0.35">
      <c r="A8" s="6"/>
      <c r="B8" s="6"/>
      <c r="C8" s="6"/>
      <c r="D8" s="6"/>
      <c r="E8" s="6"/>
      <c r="F8" s="6"/>
      <c r="G8" s="6"/>
      <c r="H8" s="6"/>
      <c r="I8" s="6"/>
      <c r="J8" s="6"/>
      <c r="K8" s="6"/>
      <c r="L8" s="6"/>
      <c r="M8" s="6"/>
      <c r="N8" s="6"/>
      <c r="O8" s="6"/>
      <c r="P8" s="6"/>
      <c r="Q8" s="6"/>
      <c r="R8" s="6"/>
      <c r="S8" s="6"/>
      <c r="T8" s="6"/>
      <c r="U8" s="6"/>
      <c r="V8" s="6"/>
    </row>
    <row r="9" spans="1:22" x14ac:dyDescent="0.35">
      <c r="A9" s="6"/>
      <c r="B9" s="6"/>
      <c r="C9" s="6"/>
      <c r="D9" s="6"/>
      <c r="E9" s="6"/>
      <c r="F9" s="6"/>
      <c r="G9" s="6"/>
      <c r="H9" s="6"/>
      <c r="I9" s="6"/>
      <c r="J9" s="6"/>
      <c r="K9" s="6"/>
      <c r="L9" s="6"/>
      <c r="M9" s="6"/>
      <c r="N9" s="6"/>
      <c r="O9" s="6"/>
      <c r="P9" s="6"/>
      <c r="Q9" s="6"/>
      <c r="R9" s="6"/>
      <c r="S9" s="6"/>
      <c r="T9" s="6"/>
      <c r="U9" s="6"/>
      <c r="V9" s="6"/>
    </row>
    <row r="10" spans="1:22" x14ac:dyDescent="0.35">
      <c r="A10" s="6"/>
      <c r="B10" s="6"/>
      <c r="C10" s="6"/>
      <c r="D10" s="6"/>
      <c r="E10" s="6"/>
      <c r="F10" s="6"/>
      <c r="G10" s="6"/>
      <c r="H10" s="6"/>
      <c r="I10" s="6"/>
      <c r="J10" s="6"/>
      <c r="K10" s="6"/>
      <c r="L10" s="6"/>
      <c r="M10" s="6"/>
      <c r="N10" s="6"/>
      <c r="O10" s="6"/>
      <c r="P10" s="6"/>
      <c r="Q10" s="6"/>
      <c r="R10" s="6"/>
      <c r="S10" s="6"/>
      <c r="T10" s="6"/>
      <c r="U10" s="6"/>
      <c r="V10" s="6"/>
    </row>
    <row r="11" spans="1:22" x14ac:dyDescent="0.35">
      <c r="A11" s="6"/>
      <c r="B11" s="6"/>
      <c r="C11" s="6"/>
      <c r="D11" s="6"/>
      <c r="E11" s="6"/>
      <c r="F11" s="6"/>
      <c r="G11" s="6"/>
      <c r="H11" s="6"/>
      <c r="I11" s="6"/>
      <c r="J11" s="6"/>
      <c r="K11" s="6"/>
      <c r="L11" s="6"/>
      <c r="M11" s="6"/>
      <c r="N11" s="6"/>
      <c r="O11" s="6"/>
      <c r="P11" s="6"/>
      <c r="Q11" s="6"/>
      <c r="R11" s="6"/>
      <c r="S11" s="6"/>
      <c r="T11" s="6"/>
      <c r="U11" s="6"/>
      <c r="V11" s="6"/>
    </row>
    <row r="12" spans="1:22" x14ac:dyDescent="0.35">
      <c r="A12" s="6"/>
      <c r="B12" s="6"/>
      <c r="C12" s="6"/>
      <c r="D12" s="6"/>
      <c r="E12" s="6"/>
      <c r="F12" s="6"/>
      <c r="G12" s="6"/>
      <c r="H12" s="6"/>
      <c r="I12" s="6"/>
      <c r="J12" s="6"/>
      <c r="K12" s="6"/>
      <c r="L12" s="6"/>
      <c r="M12" s="6"/>
      <c r="N12" s="6"/>
      <c r="O12" s="6"/>
      <c r="P12" s="6"/>
      <c r="Q12" s="6"/>
      <c r="R12" s="6"/>
      <c r="S12" s="6"/>
      <c r="T12" s="6"/>
      <c r="U12" s="6"/>
      <c r="V12" s="6"/>
    </row>
    <row r="13" spans="1:22" x14ac:dyDescent="0.35">
      <c r="A13" s="6"/>
      <c r="B13" s="6"/>
      <c r="C13" s="6"/>
      <c r="D13" s="6"/>
      <c r="E13" s="6"/>
      <c r="F13" s="6"/>
      <c r="G13" s="6"/>
      <c r="H13" s="6"/>
      <c r="I13" s="6"/>
      <c r="J13" s="6"/>
      <c r="K13" s="6"/>
      <c r="L13" s="6"/>
      <c r="M13" s="6"/>
      <c r="N13" s="6"/>
      <c r="O13" s="6"/>
      <c r="P13" s="6"/>
      <c r="Q13" s="6"/>
      <c r="R13" s="6"/>
      <c r="S13" s="6"/>
      <c r="T13" s="6"/>
      <c r="U13" s="6"/>
      <c r="V13" s="6"/>
    </row>
    <row r="14" spans="1:22" x14ac:dyDescent="0.35">
      <c r="A14" s="6"/>
      <c r="B14" s="6"/>
      <c r="C14" s="6"/>
      <c r="D14" s="6"/>
      <c r="E14" s="6"/>
      <c r="F14" s="6"/>
      <c r="G14" s="6"/>
      <c r="H14" s="6"/>
      <c r="I14" s="6"/>
      <c r="J14" s="6"/>
      <c r="K14" s="6"/>
      <c r="L14" s="6"/>
      <c r="M14" s="6"/>
      <c r="N14" s="6"/>
      <c r="O14" s="6"/>
      <c r="P14" s="6"/>
      <c r="Q14" s="6"/>
      <c r="R14" s="6"/>
      <c r="S14" s="6"/>
      <c r="T14" s="6"/>
      <c r="U14" s="6"/>
      <c r="V14" s="6"/>
    </row>
    <row r="15" spans="1:22" x14ac:dyDescent="0.35">
      <c r="A15" s="6"/>
      <c r="B15" s="6"/>
      <c r="C15" s="6"/>
      <c r="D15" s="6"/>
      <c r="E15" s="6"/>
      <c r="F15" s="6"/>
      <c r="G15" s="6"/>
      <c r="H15" s="6"/>
      <c r="I15" s="6"/>
      <c r="J15" s="6"/>
      <c r="K15" s="6"/>
      <c r="L15" s="6"/>
      <c r="M15" s="6"/>
      <c r="N15" s="6"/>
      <c r="O15" s="6"/>
      <c r="P15" s="6"/>
      <c r="Q15" s="6"/>
      <c r="R15" s="6"/>
      <c r="S15" s="6"/>
      <c r="T15" s="6"/>
      <c r="U15" s="6"/>
      <c r="V15" s="6"/>
    </row>
    <row r="16" spans="1:22" x14ac:dyDescent="0.35">
      <c r="A16" s="6"/>
      <c r="B16" s="6"/>
      <c r="C16" s="6"/>
      <c r="D16" s="6"/>
      <c r="E16" s="6"/>
      <c r="F16" s="6"/>
      <c r="G16" s="6"/>
      <c r="H16" s="6"/>
      <c r="I16" s="6"/>
      <c r="J16" s="6"/>
      <c r="K16" s="6"/>
      <c r="L16" s="6"/>
      <c r="M16" s="6"/>
      <c r="N16" s="6"/>
      <c r="O16" s="6"/>
      <c r="P16" s="6"/>
      <c r="Q16" s="6"/>
      <c r="R16" s="6"/>
      <c r="S16" s="6"/>
      <c r="T16" s="6"/>
      <c r="U16" s="6"/>
      <c r="V16" s="6"/>
    </row>
    <row r="17" spans="1:22" x14ac:dyDescent="0.35">
      <c r="A17" s="6"/>
      <c r="B17" s="6"/>
      <c r="C17" s="6"/>
      <c r="D17" s="6"/>
      <c r="E17" s="6"/>
      <c r="F17" s="6"/>
      <c r="G17" s="6"/>
      <c r="H17" s="6"/>
      <c r="I17" s="6"/>
      <c r="J17" s="6"/>
      <c r="K17" s="6"/>
      <c r="L17" s="6"/>
      <c r="M17" s="6"/>
      <c r="N17" s="6"/>
      <c r="O17" s="6"/>
      <c r="P17" s="6"/>
      <c r="Q17" s="6"/>
      <c r="R17" s="6"/>
      <c r="S17" s="6"/>
      <c r="T17" s="6"/>
      <c r="U17" s="6"/>
      <c r="V17" s="6"/>
    </row>
    <row r="18" spans="1:22" x14ac:dyDescent="0.35">
      <c r="A18" s="6"/>
      <c r="B18" s="6"/>
      <c r="C18" s="6"/>
      <c r="D18" s="6"/>
      <c r="E18" s="6"/>
      <c r="F18" s="6"/>
      <c r="G18" s="6"/>
      <c r="H18" s="6"/>
      <c r="I18" s="6"/>
      <c r="J18" s="6"/>
      <c r="K18" s="6"/>
      <c r="L18" s="6"/>
      <c r="M18" s="6"/>
      <c r="N18" s="6"/>
      <c r="O18" s="6"/>
      <c r="P18" s="6"/>
      <c r="Q18" s="6"/>
      <c r="R18" s="6"/>
      <c r="S18" s="6"/>
      <c r="T18" s="6"/>
      <c r="U18" s="6"/>
      <c r="V18" s="6"/>
    </row>
    <row r="19" spans="1:22" x14ac:dyDescent="0.35">
      <c r="A19" s="6"/>
      <c r="B19" s="6"/>
      <c r="C19" s="6"/>
      <c r="D19" s="6"/>
      <c r="E19" s="6"/>
      <c r="F19" s="6"/>
      <c r="G19" s="6"/>
      <c r="H19" s="6"/>
      <c r="I19" s="6"/>
      <c r="J19" s="6"/>
      <c r="K19" s="6"/>
      <c r="L19" s="6"/>
      <c r="M19" s="6"/>
      <c r="N19" s="6"/>
      <c r="O19" s="6"/>
      <c r="P19" s="6"/>
      <c r="Q19" s="6"/>
      <c r="R19" s="6"/>
      <c r="S19" s="6"/>
      <c r="T19" s="6"/>
      <c r="U19" s="6"/>
      <c r="V19" s="6"/>
    </row>
    <row r="20" spans="1:22" x14ac:dyDescent="0.35">
      <c r="A20" s="8" t="s">
        <v>943</v>
      </c>
      <c r="B20" s="9"/>
      <c r="C20" s="9"/>
      <c r="D20" s="10">
        <f>Sheet1!$B$1</f>
        <v>48589.760000000002</v>
      </c>
      <c r="E20" s="10"/>
      <c r="F20" s="6"/>
      <c r="G20" s="6"/>
      <c r="H20" s="6"/>
      <c r="I20" s="6"/>
      <c r="J20" s="6"/>
      <c r="K20" s="6"/>
      <c r="L20" s="6"/>
      <c r="M20" s="6"/>
      <c r="N20" s="6"/>
      <c r="O20" s="6"/>
      <c r="P20" s="6"/>
      <c r="Q20" s="6"/>
      <c r="R20" s="11" t="s">
        <v>923</v>
      </c>
      <c r="S20" s="12"/>
      <c r="T20" s="12"/>
      <c r="U20" s="10">
        <f>Sheet1!$B$4</f>
        <v>320570.75379999971</v>
      </c>
      <c r="V20" s="10"/>
    </row>
    <row r="21" spans="1:22" x14ac:dyDescent="0.35">
      <c r="A21" s="9"/>
      <c r="B21" s="9"/>
      <c r="C21" s="9"/>
      <c r="D21" s="10"/>
      <c r="E21" s="10"/>
      <c r="F21" s="6"/>
      <c r="G21" s="6"/>
      <c r="H21" s="6"/>
      <c r="I21" s="6"/>
      <c r="J21" s="6"/>
      <c r="K21" s="6"/>
      <c r="L21" s="6"/>
      <c r="M21" s="6"/>
      <c r="N21" s="6"/>
      <c r="O21" s="6"/>
      <c r="P21" s="6"/>
      <c r="Q21" s="6"/>
      <c r="R21" s="12"/>
      <c r="S21" s="12"/>
      <c r="T21" s="12"/>
      <c r="U21" s="10"/>
      <c r="V21" s="10"/>
    </row>
    <row r="22" spans="1:22" x14ac:dyDescent="0.35">
      <c r="A22" s="9"/>
      <c r="B22" s="9"/>
      <c r="C22" s="9"/>
      <c r="D22" s="10"/>
      <c r="E22" s="10"/>
      <c r="F22" s="6"/>
      <c r="G22" s="6"/>
      <c r="H22" s="6"/>
      <c r="I22" s="6"/>
      <c r="J22" s="6"/>
      <c r="K22" s="6"/>
      <c r="L22" s="6"/>
      <c r="M22" s="6"/>
      <c r="N22" s="6"/>
      <c r="O22" s="6"/>
      <c r="P22" s="6"/>
      <c r="Q22" s="6"/>
      <c r="R22" s="12"/>
      <c r="S22" s="12"/>
      <c r="T22" s="12"/>
      <c r="U22" s="10"/>
      <c r="V22" s="10"/>
    </row>
    <row r="23" spans="1:22" x14ac:dyDescent="0.35">
      <c r="A23" s="9"/>
      <c r="B23" s="9"/>
      <c r="C23" s="9"/>
      <c r="D23" s="10"/>
      <c r="E23" s="10"/>
      <c r="F23" s="6"/>
      <c r="G23" s="6"/>
      <c r="H23" s="6"/>
      <c r="I23" s="6"/>
      <c r="J23" s="6"/>
      <c r="K23" s="6"/>
      <c r="L23" s="6"/>
      <c r="M23" s="6"/>
      <c r="N23" s="6"/>
      <c r="O23" s="6"/>
      <c r="P23" s="6"/>
      <c r="Q23" s="6"/>
      <c r="R23" s="12"/>
      <c r="S23" s="12"/>
      <c r="T23" s="12"/>
      <c r="U23" s="10"/>
      <c r="V23" s="10"/>
    </row>
    <row r="24" spans="1:22" x14ac:dyDescent="0.35">
      <c r="A24" s="9"/>
      <c r="B24" s="9"/>
      <c r="C24" s="9"/>
      <c r="D24" s="10"/>
      <c r="E24" s="10"/>
      <c r="F24" s="6"/>
      <c r="G24" s="6"/>
      <c r="H24" s="6"/>
      <c r="I24" s="6"/>
      <c r="J24" s="6"/>
      <c r="K24" s="6"/>
      <c r="L24" s="6"/>
      <c r="M24" s="6"/>
      <c r="N24" s="6"/>
      <c r="O24" s="6"/>
      <c r="P24" s="6"/>
      <c r="Q24" s="6"/>
      <c r="R24" s="6"/>
      <c r="S24" s="6"/>
      <c r="T24" s="6"/>
      <c r="U24" s="6"/>
      <c r="V24" s="6"/>
    </row>
    <row r="25" spans="1:22" x14ac:dyDescent="0.35">
      <c r="A25" s="9"/>
      <c r="B25" s="9"/>
      <c r="C25" s="9"/>
      <c r="D25" s="10"/>
      <c r="E25" s="10"/>
      <c r="F25" s="6"/>
      <c r="G25" s="6"/>
      <c r="H25" s="6"/>
      <c r="I25" s="6"/>
      <c r="J25" s="6"/>
      <c r="K25" s="6"/>
      <c r="L25" s="6"/>
      <c r="M25" s="6"/>
      <c r="N25" s="6"/>
      <c r="O25" s="6"/>
      <c r="P25" s="6"/>
      <c r="Q25" s="6"/>
      <c r="R25" s="11" t="s">
        <v>924</v>
      </c>
      <c r="S25" s="11"/>
      <c r="T25" s="11"/>
      <c r="U25" s="10">
        <f>Sheet1!$B$3</f>
        <v>53688</v>
      </c>
      <c r="V25" s="10"/>
    </row>
    <row r="26" spans="1:22" x14ac:dyDescent="0.35">
      <c r="A26" s="6"/>
      <c r="B26" s="6"/>
      <c r="C26" s="6"/>
      <c r="D26" s="6"/>
      <c r="E26" s="6"/>
      <c r="F26" s="6"/>
      <c r="G26" s="6"/>
      <c r="H26" s="6"/>
      <c r="I26" s="6"/>
      <c r="J26" s="6"/>
      <c r="K26" s="6"/>
      <c r="L26" s="6"/>
      <c r="M26" s="6"/>
      <c r="N26" s="6"/>
      <c r="O26" s="6"/>
      <c r="P26" s="6"/>
      <c r="Q26" s="6"/>
      <c r="R26" s="11"/>
      <c r="S26" s="11"/>
      <c r="T26" s="11"/>
      <c r="U26" s="10"/>
      <c r="V26" s="10"/>
    </row>
    <row r="27" spans="1:22" x14ac:dyDescent="0.35">
      <c r="A27" s="8" t="s">
        <v>944</v>
      </c>
      <c r="B27" s="8"/>
      <c r="C27" s="8"/>
      <c r="D27" s="10">
        <f>Sheet1!$B$2</f>
        <v>53.988622222222226</v>
      </c>
      <c r="E27" s="10"/>
      <c r="F27" s="6"/>
      <c r="G27" s="6"/>
      <c r="H27" s="6"/>
      <c r="I27" s="6"/>
      <c r="J27" s="6"/>
      <c r="K27" s="6"/>
      <c r="L27" s="6"/>
      <c r="M27" s="6"/>
      <c r="N27" s="6"/>
      <c r="O27" s="6"/>
      <c r="P27" s="6"/>
      <c r="Q27" s="6"/>
      <c r="R27" s="11"/>
      <c r="S27" s="11"/>
      <c r="T27" s="11"/>
      <c r="U27" s="10"/>
      <c r="V27" s="10"/>
    </row>
    <row r="28" spans="1:22" x14ac:dyDescent="0.35">
      <c r="A28" s="8"/>
      <c r="B28" s="8"/>
      <c r="C28" s="8"/>
      <c r="D28" s="10"/>
      <c r="E28" s="10"/>
      <c r="F28" s="6"/>
      <c r="G28" s="6"/>
      <c r="H28" s="6"/>
      <c r="I28" s="6"/>
      <c r="J28" s="6"/>
      <c r="K28" s="6"/>
      <c r="L28" s="6"/>
      <c r="M28" s="6"/>
      <c r="N28" s="6"/>
      <c r="O28" s="6"/>
      <c r="P28" s="6"/>
      <c r="Q28" s="6"/>
      <c r="R28" s="11"/>
      <c r="S28" s="11"/>
      <c r="T28" s="11"/>
      <c r="U28" s="10"/>
      <c r="V28" s="10"/>
    </row>
    <row r="29" spans="1:22" x14ac:dyDescent="0.35">
      <c r="A29" s="8"/>
      <c r="B29" s="8"/>
      <c r="C29" s="8"/>
      <c r="D29" s="10"/>
      <c r="E29" s="10"/>
      <c r="F29" s="6"/>
      <c r="G29" s="6"/>
      <c r="H29" s="6"/>
      <c r="I29" s="6"/>
      <c r="J29" s="6"/>
      <c r="K29" s="6"/>
      <c r="L29" s="6"/>
      <c r="M29" s="6"/>
      <c r="N29" s="6"/>
      <c r="O29" s="6"/>
      <c r="P29" s="6"/>
      <c r="Q29" s="6"/>
      <c r="R29" s="11"/>
      <c r="S29" s="11"/>
      <c r="T29" s="11"/>
      <c r="U29" s="10"/>
      <c r="V29" s="10"/>
    </row>
    <row r="30" spans="1:22" x14ac:dyDescent="0.35">
      <c r="A30" s="8"/>
      <c r="B30" s="8"/>
      <c r="C30" s="8"/>
      <c r="D30" s="10"/>
      <c r="E30" s="10"/>
      <c r="F30" s="6"/>
      <c r="G30" s="6"/>
      <c r="H30" s="6"/>
      <c r="I30" s="6"/>
      <c r="J30" s="6"/>
      <c r="K30" s="6"/>
      <c r="L30" s="6"/>
      <c r="M30" s="6"/>
      <c r="N30" s="6"/>
      <c r="O30" s="6"/>
      <c r="P30" s="6"/>
      <c r="Q30" s="6"/>
      <c r="R30" s="11"/>
      <c r="S30" s="11"/>
      <c r="T30" s="11"/>
      <c r="U30" s="10"/>
      <c r="V30" s="10"/>
    </row>
    <row r="31" spans="1:22" x14ac:dyDescent="0.35">
      <c r="A31" s="8"/>
      <c r="B31" s="8"/>
      <c r="C31" s="8"/>
      <c r="D31" s="10"/>
      <c r="E31" s="10"/>
      <c r="F31" s="6"/>
      <c r="G31" s="6"/>
      <c r="H31" s="6"/>
      <c r="I31" s="6"/>
      <c r="J31" s="6"/>
      <c r="K31" s="6"/>
      <c r="L31" s="6"/>
      <c r="M31" s="6"/>
      <c r="N31" s="6"/>
      <c r="O31" s="6"/>
      <c r="P31" s="6"/>
      <c r="Q31" s="6"/>
      <c r="R31" s="11"/>
      <c r="S31" s="11"/>
      <c r="T31" s="11"/>
      <c r="U31" s="10"/>
      <c r="V31" s="10"/>
    </row>
    <row r="32" spans="1:22" x14ac:dyDescent="0.35">
      <c r="A32" s="6"/>
      <c r="B32" s="6"/>
      <c r="C32" s="6"/>
      <c r="D32" s="6"/>
      <c r="E32" s="6"/>
      <c r="F32" s="6"/>
      <c r="G32" s="6"/>
      <c r="H32" s="6"/>
      <c r="I32" s="6"/>
      <c r="J32" s="6"/>
      <c r="K32" s="6"/>
      <c r="L32" s="6"/>
      <c r="M32" s="6"/>
      <c r="N32" s="6"/>
      <c r="O32" s="6"/>
      <c r="P32" s="6"/>
      <c r="Q32" s="6"/>
      <c r="R32" s="6"/>
      <c r="S32" s="6"/>
      <c r="T32" s="6"/>
      <c r="U32" s="6"/>
      <c r="V32" s="6"/>
    </row>
    <row r="33" spans="1:22" x14ac:dyDescent="0.35">
      <c r="A33" s="6"/>
      <c r="B33" s="6"/>
      <c r="C33" s="6"/>
      <c r="D33" s="6"/>
      <c r="E33" s="6"/>
      <c r="F33" s="6"/>
      <c r="G33" s="6"/>
      <c r="H33" s="6"/>
      <c r="I33" s="6"/>
      <c r="J33" s="6"/>
      <c r="K33" s="6"/>
      <c r="L33" s="6"/>
      <c r="M33" s="6"/>
      <c r="N33" s="6"/>
      <c r="O33" s="6"/>
      <c r="P33" s="6"/>
      <c r="Q33" s="6"/>
      <c r="R33" s="6"/>
      <c r="S33" s="6"/>
      <c r="T33" s="6"/>
      <c r="U33" s="6"/>
      <c r="V33" s="6"/>
    </row>
    <row r="34" spans="1:22" x14ac:dyDescent="0.35">
      <c r="A34" s="6"/>
      <c r="B34" s="6"/>
      <c r="C34" s="6"/>
      <c r="D34" s="6"/>
      <c r="E34" s="6"/>
      <c r="F34" s="6"/>
      <c r="G34" s="6"/>
      <c r="H34" s="6"/>
      <c r="I34" s="6"/>
      <c r="J34" s="6"/>
      <c r="K34" s="6"/>
      <c r="L34" s="6"/>
      <c r="M34" s="6"/>
      <c r="N34" s="6"/>
      <c r="O34" s="6"/>
      <c r="P34" s="6"/>
      <c r="Q34" s="6"/>
      <c r="R34" s="6"/>
      <c r="S34" s="6"/>
      <c r="T34" s="6"/>
      <c r="U34" s="6"/>
      <c r="V34" s="6"/>
    </row>
    <row r="35" spans="1:22" x14ac:dyDescent="0.35">
      <c r="A35" s="6"/>
      <c r="B35" s="6"/>
      <c r="C35" s="6"/>
      <c r="D35" s="6"/>
      <c r="E35" s="6"/>
      <c r="F35" s="6"/>
      <c r="G35" s="6"/>
      <c r="H35" s="6"/>
      <c r="I35" s="6"/>
      <c r="J35" s="6"/>
      <c r="K35" s="6"/>
      <c r="L35" s="6"/>
      <c r="M35" s="6"/>
      <c r="N35" s="6"/>
      <c r="O35" s="6"/>
      <c r="P35" s="6"/>
      <c r="Q35" s="6"/>
      <c r="R35" s="6"/>
      <c r="S35" s="6"/>
      <c r="T35" s="6"/>
      <c r="U35" s="6"/>
      <c r="V35" s="6"/>
    </row>
    <row r="36" spans="1:22" x14ac:dyDescent="0.35">
      <c r="A36" s="6"/>
      <c r="B36" s="6"/>
      <c r="C36" s="6"/>
      <c r="D36" s="6"/>
      <c r="E36" s="6"/>
      <c r="F36" s="6"/>
      <c r="G36" s="6"/>
      <c r="H36" s="6"/>
      <c r="I36" s="6"/>
      <c r="J36" s="6"/>
      <c r="K36" s="6"/>
      <c r="L36" s="6"/>
      <c r="M36" s="6"/>
      <c r="N36" s="6"/>
      <c r="O36" s="6"/>
      <c r="P36" s="6"/>
      <c r="Q36" s="6"/>
      <c r="R36" s="6"/>
      <c r="S36" s="6"/>
      <c r="T36" s="6"/>
      <c r="U36" s="6"/>
      <c r="V36" s="6"/>
    </row>
    <row r="37" spans="1:22" x14ac:dyDescent="0.35">
      <c r="A37" s="6"/>
      <c r="B37" s="6"/>
      <c r="C37" s="6"/>
      <c r="D37" s="6"/>
      <c r="E37" s="6"/>
      <c r="F37" s="6"/>
      <c r="G37" s="6"/>
      <c r="H37" s="6"/>
      <c r="I37" s="6"/>
      <c r="J37" s="6"/>
      <c r="K37" s="6"/>
      <c r="L37" s="6"/>
      <c r="M37" s="6"/>
      <c r="N37" s="6"/>
      <c r="O37" s="6"/>
      <c r="P37" s="6"/>
      <c r="Q37" s="6"/>
      <c r="R37" s="6"/>
      <c r="S37" s="6"/>
      <c r="T37" s="6"/>
      <c r="U37" s="6"/>
      <c r="V37" s="6"/>
    </row>
    <row r="38" spans="1:22" x14ac:dyDescent="0.35">
      <c r="A38" s="6"/>
      <c r="B38" s="6"/>
      <c r="C38" s="6"/>
      <c r="D38" s="6"/>
      <c r="E38" s="6"/>
      <c r="F38" s="6"/>
      <c r="G38" s="6"/>
      <c r="H38" s="6"/>
      <c r="I38" s="6"/>
      <c r="J38" s="6"/>
      <c r="K38" s="6"/>
      <c r="L38" s="6"/>
      <c r="M38" s="6"/>
      <c r="N38" s="6"/>
      <c r="O38" s="6"/>
      <c r="P38" s="6"/>
      <c r="Q38" s="6"/>
      <c r="R38" s="6"/>
      <c r="S38" s="6"/>
      <c r="T38" s="6"/>
      <c r="U38" s="6"/>
      <c r="V38" s="6"/>
    </row>
    <row r="39" spans="1:22" x14ac:dyDescent="0.35">
      <c r="A39" s="6"/>
      <c r="B39" s="6"/>
      <c r="C39" s="6"/>
      <c r="D39" s="6"/>
      <c r="E39" s="6"/>
      <c r="F39" s="6"/>
      <c r="G39" s="6"/>
      <c r="H39" s="6"/>
      <c r="I39" s="6"/>
      <c r="J39" s="6"/>
      <c r="K39" s="6"/>
      <c r="L39" s="6"/>
      <c r="M39" s="6"/>
      <c r="N39" s="6"/>
      <c r="O39" s="6"/>
      <c r="P39" s="6"/>
      <c r="Q39" s="6"/>
      <c r="R39" s="6"/>
      <c r="S39" s="6"/>
      <c r="T39" s="6"/>
      <c r="U39" s="6"/>
      <c r="V39" s="6"/>
    </row>
    <row r="40" spans="1:22" x14ac:dyDescent="0.35">
      <c r="A40" s="6"/>
      <c r="B40" s="6"/>
      <c r="C40" s="6"/>
      <c r="D40" s="6"/>
      <c r="E40" s="6"/>
      <c r="F40" s="6"/>
      <c r="G40" s="6"/>
      <c r="H40" s="6"/>
      <c r="I40" s="6"/>
      <c r="J40" s="6"/>
      <c r="K40" s="6"/>
      <c r="L40" s="6"/>
      <c r="M40" s="6"/>
      <c r="N40" s="6"/>
      <c r="O40" s="6"/>
      <c r="P40" s="6"/>
      <c r="Q40" s="6"/>
      <c r="R40" s="6"/>
      <c r="S40" s="6"/>
      <c r="T40" s="6"/>
      <c r="U40" s="6"/>
      <c r="V40" s="6"/>
    </row>
    <row r="41" spans="1:22" x14ac:dyDescent="0.35">
      <c r="A41" s="6"/>
      <c r="B41" s="6"/>
      <c r="C41" s="6"/>
      <c r="D41" s="6"/>
      <c r="E41" s="6"/>
      <c r="F41" s="6"/>
      <c r="G41" s="6"/>
      <c r="H41" s="6"/>
      <c r="I41" s="6"/>
      <c r="J41" s="6"/>
      <c r="K41" s="6"/>
      <c r="L41" s="6"/>
      <c r="M41" s="6"/>
      <c r="N41" s="6"/>
      <c r="O41" s="6"/>
      <c r="P41" s="6"/>
      <c r="Q41" s="6"/>
      <c r="R41" s="6"/>
      <c r="S41" s="6"/>
      <c r="T41" s="6"/>
      <c r="U41" s="6"/>
      <c r="V41" s="6"/>
    </row>
    <row r="42" spans="1:22" x14ac:dyDescent="0.35">
      <c r="A42" s="6"/>
      <c r="B42" s="6"/>
      <c r="C42" s="6"/>
      <c r="D42" s="6"/>
      <c r="E42" s="6"/>
      <c r="F42" s="6"/>
      <c r="G42" s="6"/>
      <c r="H42" s="6"/>
      <c r="I42" s="6"/>
      <c r="J42" s="6"/>
      <c r="K42" s="6"/>
      <c r="L42" s="6"/>
      <c r="M42" s="6"/>
      <c r="N42" s="6"/>
      <c r="O42" s="6"/>
      <c r="P42" s="6"/>
      <c r="Q42" s="6"/>
      <c r="R42" s="6"/>
      <c r="S42" s="6"/>
      <c r="T42" s="6"/>
      <c r="U42" s="6"/>
      <c r="V42" s="6"/>
    </row>
    <row r="43" spans="1:22" x14ac:dyDescent="0.35">
      <c r="A43" s="6"/>
      <c r="B43" s="6"/>
      <c r="C43" s="6"/>
      <c r="D43" s="6"/>
      <c r="E43" s="6"/>
      <c r="F43" s="6"/>
      <c r="G43" s="6"/>
      <c r="H43" s="6"/>
      <c r="I43" s="6"/>
      <c r="J43" s="6"/>
      <c r="K43" s="6"/>
      <c r="L43" s="6"/>
      <c r="M43" s="6"/>
      <c r="N43" s="6"/>
      <c r="O43" s="6"/>
      <c r="P43" s="6"/>
      <c r="Q43" s="6"/>
      <c r="R43" s="6"/>
      <c r="S43" s="6"/>
      <c r="T43" s="6"/>
      <c r="U43" s="6"/>
      <c r="V43" s="6"/>
    </row>
    <row r="44" spans="1:22" x14ac:dyDescent="0.35">
      <c r="A44" s="6"/>
      <c r="B44" s="6"/>
      <c r="C44" s="6"/>
      <c r="D44" s="6"/>
      <c r="E44" s="6"/>
      <c r="F44" s="6"/>
      <c r="G44" s="6"/>
      <c r="H44" s="6"/>
      <c r="I44" s="6"/>
      <c r="J44" s="6"/>
      <c r="K44" s="6"/>
      <c r="L44" s="6"/>
      <c r="M44" s="6"/>
      <c r="N44" s="6"/>
      <c r="O44" s="6"/>
      <c r="P44" s="6"/>
      <c r="Q44" s="6"/>
      <c r="R44" s="6"/>
      <c r="S44" s="6"/>
      <c r="T44" s="6"/>
      <c r="U44" s="6"/>
      <c r="V44" s="6"/>
    </row>
    <row r="45" spans="1:22" x14ac:dyDescent="0.35">
      <c r="A45" s="6"/>
      <c r="B45" s="6"/>
      <c r="C45" s="6"/>
      <c r="D45" s="6"/>
      <c r="E45" s="6"/>
      <c r="F45" s="6"/>
      <c r="G45" s="6"/>
      <c r="H45" s="6"/>
      <c r="I45" s="6"/>
      <c r="J45" s="6"/>
      <c r="K45" s="6"/>
      <c r="L45" s="6"/>
      <c r="M45" s="6"/>
      <c r="N45" s="6"/>
      <c r="O45" s="6"/>
      <c r="P45" s="6"/>
      <c r="Q45" s="6"/>
      <c r="R45" s="6"/>
      <c r="S45" s="6"/>
      <c r="T45" s="6"/>
      <c r="U45" s="6"/>
      <c r="V45" s="6"/>
    </row>
    <row r="46" spans="1:22" x14ac:dyDescent="0.35">
      <c r="A46" s="6"/>
      <c r="B46" s="6"/>
      <c r="C46" s="6"/>
      <c r="D46" s="6"/>
      <c r="E46" s="6"/>
      <c r="F46" s="6"/>
      <c r="G46" s="6"/>
      <c r="H46" s="6"/>
      <c r="I46" s="6"/>
      <c r="J46" s="6"/>
      <c r="K46" s="6"/>
      <c r="L46" s="6"/>
      <c r="M46" s="6"/>
      <c r="N46" s="6"/>
      <c r="O46" s="6"/>
      <c r="P46" s="6"/>
      <c r="Q46" s="6"/>
      <c r="R46" s="6"/>
      <c r="S46" s="6"/>
      <c r="T46" s="6"/>
      <c r="U46" s="6"/>
      <c r="V46" s="6"/>
    </row>
    <row r="47" spans="1:22" x14ac:dyDescent="0.35">
      <c r="A47" s="6"/>
      <c r="B47" s="6"/>
      <c r="C47" s="6"/>
      <c r="D47" s="6"/>
      <c r="E47" s="6"/>
      <c r="F47" s="6"/>
      <c r="G47" s="6"/>
      <c r="H47" s="6"/>
      <c r="I47" s="6"/>
      <c r="J47" s="6"/>
      <c r="K47" s="6"/>
      <c r="L47" s="6"/>
      <c r="M47" s="6"/>
      <c r="N47" s="6"/>
      <c r="O47" s="6"/>
      <c r="P47" s="6"/>
      <c r="Q47" s="6"/>
      <c r="R47" s="6"/>
      <c r="S47" s="6"/>
      <c r="T47" s="6"/>
      <c r="U47" s="6"/>
      <c r="V47" s="6"/>
    </row>
    <row r="48" spans="1:22" x14ac:dyDescent="0.35">
      <c r="A48" s="6"/>
      <c r="B48" s="6"/>
      <c r="C48" s="6"/>
      <c r="D48" s="6"/>
      <c r="E48" s="6"/>
      <c r="F48" s="6"/>
      <c r="G48" s="6"/>
      <c r="H48" s="6"/>
      <c r="I48" s="6"/>
      <c r="J48" s="6"/>
      <c r="K48" s="6"/>
      <c r="L48" s="6"/>
      <c r="M48" s="6"/>
      <c r="N48" s="6"/>
      <c r="O48" s="6"/>
      <c r="P48" s="6"/>
      <c r="Q48" s="6"/>
      <c r="R48" s="6"/>
      <c r="S48" s="6"/>
      <c r="T48" s="6"/>
      <c r="U48" s="6"/>
      <c r="V48" s="6"/>
    </row>
  </sheetData>
  <mergeCells count="9">
    <mergeCell ref="R20:T23"/>
    <mergeCell ref="U20:V23"/>
    <mergeCell ref="R25:T31"/>
    <mergeCell ref="U25:V31"/>
    <mergeCell ref="G1:Q3"/>
    <mergeCell ref="A20:C25"/>
    <mergeCell ref="D20:E25"/>
    <mergeCell ref="A27:C31"/>
    <mergeCell ref="D27:E3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smart_meter_dataset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Unnati</dc:creator>
  <cp:lastModifiedBy>Unnati Atkotiya</cp:lastModifiedBy>
  <dcterms:created xsi:type="dcterms:W3CDTF">2026-04-28T03:42:58Z</dcterms:created>
  <dcterms:modified xsi:type="dcterms:W3CDTF">2026-04-28T04:32:25Z</dcterms:modified>
</cp:coreProperties>
</file>