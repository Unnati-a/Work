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nnati\Downloads\"/>
    </mc:Choice>
  </mc:AlternateContent>
  <xr:revisionPtr revIDLastSave="0" documentId="13_ncr:1_{1B33995C-942B-4243-AFB3-84044D80E75E}" xr6:coauthVersionLast="47" xr6:coauthVersionMax="47" xr10:uidLastSave="{00000000-0000-0000-0000-000000000000}"/>
  <bookViews>
    <workbookView xWindow="-110" yWindow="-110" windowWidth="19420" windowHeight="10300" activeTab="3" xr2:uid="{00000000-000D-0000-FFFF-FFFF00000000}"/>
  </bookViews>
  <sheets>
    <sheet name="Cafe_Sales_Data" sheetId="1" r:id="rId1"/>
    <sheet name="Sheet1" sheetId="4" r:id="rId2"/>
    <sheet name="Pivot" sheetId="2" r:id="rId3"/>
    <sheet name="Dashboard" sheetId="3" r:id="rId4"/>
  </sheets>
  <definedNames>
    <definedName name="Slicer_Cit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1" l="1"/>
  <c r="R12" i="1"/>
  <c r="S6" i="4" l="1" a="1"/>
  <c r="S6" i="4" s="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2" i="4"/>
  <c r="O2" i="4" a="1"/>
  <c r="O2" i="4" s="1"/>
  <c r="P2" i="4"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2" i="1"/>
  <c r="T2" i="4"/>
  <c r="P129" i="4" l="1"/>
  <c r="P113" i="4"/>
  <c r="P97" i="4"/>
  <c r="P81" i="4"/>
  <c r="P65" i="4"/>
  <c r="P57" i="4"/>
  <c r="P49" i="4"/>
  <c r="P41" i="4"/>
  <c r="P25" i="4"/>
  <c r="P17" i="4"/>
  <c r="P9" i="4"/>
  <c r="P6" i="4"/>
  <c r="P138" i="4"/>
  <c r="P96" i="4"/>
  <c r="P80" i="4"/>
  <c r="P64" i="4"/>
  <c r="P48" i="4"/>
  <c r="P32" i="4"/>
  <c r="P24" i="4"/>
  <c r="P8" i="4"/>
  <c r="P135" i="4"/>
  <c r="P119" i="4"/>
  <c r="P103" i="4"/>
  <c r="P87" i="4"/>
  <c r="P71" i="4"/>
  <c r="P55" i="4"/>
  <c r="P39" i="4"/>
  <c r="P23" i="4"/>
  <c r="P15" i="4"/>
  <c r="P142" i="4"/>
  <c r="P126" i="4"/>
  <c r="P110" i="4"/>
  <c r="P94" i="4"/>
  <c r="P78" i="4"/>
  <c r="P62" i="4"/>
  <c r="P54" i="4"/>
  <c r="P38" i="4"/>
  <c r="P30" i="4"/>
  <c r="P14" i="4"/>
  <c r="P133" i="4"/>
  <c r="P125" i="4"/>
  <c r="P117" i="4"/>
  <c r="P109" i="4"/>
  <c r="P101" i="4"/>
  <c r="P93" i="4"/>
  <c r="P85" i="4"/>
  <c r="P77" i="4"/>
  <c r="P69" i="4"/>
  <c r="P61" i="4"/>
  <c r="P53" i="4"/>
  <c r="P45" i="4"/>
  <c r="P37" i="4"/>
  <c r="P29" i="4"/>
  <c r="P21" i="4"/>
  <c r="P13" i="4"/>
  <c r="P5" i="4"/>
  <c r="P140" i="4"/>
  <c r="P132" i="4"/>
  <c r="P124" i="4"/>
  <c r="P116" i="4"/>
  <c r="P108" i="4"/>
  <c r="P100" i="4"/>
  <c r="P92" i="4"/>
  <c r="P84" i="4"/>
  <c r="P76" i="4"/>
  <c r="P68" i="4"/>
  <c r="P60" i="4"/>
  <c r="P52" i="4"/>
  <c r="P44" i="4"/>
  <c r="P36" i="4"/>
  <c r="P28" i="4"/>
  <c r="P20" i="4"/>
  <c r="P12" i="4"/>
  <c r="P4" i="4"/>
  <c r="P130" i="4"/>
  <c r="P122" i="4"/>
  <c r="P114" i="4"/>
  <c r="P106" i="4"/>
  <c r="P98" i="4"/>
  <c r="P90" i="4"/>
  <c r="P82" i="4"/>
  <c r="P74" i="4"/>
  <c r="P66" i="4"/>
  <c r="P58" i="4"/>
  <c r="P50" i="4"/>
  <c r="P42" i="4"/>
  <c r="P34" i="4"/>
  <c r="P26" i="4"/>
  <c r="P18" i="4"/>
  <c r="P10" i="4"/>
  <c r="P137" i="4"/>
  <c r="P121" i="4"/>
  <c r="P105" i="4"/>
  <c r="P89" i="4"/>
  <c r="P73" i="4"/>
  <c r="P33" i="4"/>
  <c r="P136" i="4"/>
  <c r="P128" i="4"/>
  <c r="P120" i="4"/>
  <c r="P112" i="4"/>
  <c r="P104" i="4"/>
  <c r="P88" i="4"/>
  <c r="P72" i="4"/>
  <c r="P56" i="4"/>
  <c r="P40" i="4"/>
  <c r="P16" i="4"/>
  <c r="P143" i="4"/>
  <c r="P127" i="4"/>
  <c r="P111" i="4"/>
  <c r="P95" i="4"/>
  <c r="P79" i="4"/>
  <c r="P63" i="4"/>
  <c r="P47" i="4"/>
  <c r="P31" i="4"/>
  <c r="P7" i="4"/>
  <c r="P134" i="4"/>
  <c r="P118" i="4"/>
  <c r="P102" i="4"/>
  <c r="P86" i="4"/>
  <c r="P70" i="4"/>
  <c r="P46" i="4"/>
  <c r="P22" i="4"/>
  <c r="P141" i="4"/>
  <c r="P139" i="4"/>
  <c r="P131" i="4"/>
  <c r="P123" i="4"/>
  <c r="P115" i="4"/>
  <c r="P107" i="4"/>
  <c r="P99" i="4"/>
  <c r="P91" i="4"/>
  <c r="P83" i="4"/>
  <c r="P75" i="4"/>
  <c r="P67" i="4"/>
  <c r="P59" i="4"/>
  <c r="P51" i="4"/>
  <c r="P43" i="4"/>
  <c r="P35" i="4"/>
  <c r="P27" i="4"/>
  <c r="P19" i="4"/>
  <c r="P11" i="4"/>
  <c r="P3" i="4"/>
  <c r="R2" i="1" l="1"/>
  <c r="A3" i="3"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2" i="1"/>
  <c r="P4" i="3"/>
  <c r="P3" i="3"/>
  <c r="P2" i="3"/>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2" i="1"/>
  <c r="R7" i="1" l="1"/>
  <c r="R5" i="1"/>
  <c r="R9" i="1" s="1"/>
  <c r="E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<sst xmlns="http://schemas.openxmlformats.org/spreadsheetml/2006/main" count="5048" uniqueCount="590">
  <si>
    <t>Bill_ID</t>
  </si>
  <si>
    <t>Customer_ID</t>
  </si>
  <si>
    <t>Order_Date</t>
  </si>
  <si>
    <t>Year</t>
  </si>
  <si>
    <t>City</t>
  </si>
  <si>
    <t>Item_Category</t>
  </si>
  <si>
    <t>Item_Name</t>
  </si>
  <si>
    <t>Quantity</t>
  </si>
  <si>
    <t>Unit_Price</t>
  </si>
  <si>
    <t>Discount</t>
  </si>
  <si>
    <t>Total_Sales</t>
  </si>
  <si>
    <t>Profit</t>
  </si>
  <si>
    <t>Payment_Mode</t>
  </si>
  <si>
    <t>Order_Type</t>
  </si>
  <si>
    <t>CB0001</t>
  </si>
  <si>
    <t>C428</t>
  </si>
  <si>
    <t>Ahmedabad</t>
  </si>
  <si>
    <t>Desserts</t>
  </si>
  <si>
    <t>Cake</t>
  </si>
  <si>
    <t>Card</t>
  </si>
  <si>
    <t>Takeaway</t>
  </si>
  <si>
    <t>CB0002</t>
  </si>
  <si>
    <t>C176</t>
  </si>
  <si>
    <t>Mumbai</t>
  </si>
  <si>
    <t>Snacks</t>
  </si>
  <si>
    <t>Fries</t>
  </si>
  <si>
    <t>UPI</t>
  </si>
  <si>
    <t>Dine-In</t>
  </si>
  <si>
    <t>CB0003</t>
  </si>
  <si>
    <t>C607</t>
  </si>
  <si>
    <t>Burger</t>
  </si>
  <si>
    <t>CB0004</t>
  </si>
  <si>
    <t>C672</t>
  </si>
  <si>
    <t>Beverages</t>
  </si>
  <si>
    <t>Tea</t>
  </si>
  <si>
    <t>CB0005</t>
  </si>
  <si>
    <t>C285</t>
  </si>
  <si>
    <t>Rajkot</t>
  </si>
  <si>
    <t>Cold Coffee</t>
  </si>
  <si>
    <t>Cash</t>
  </si>
  <si>
    <t>CB0006</t>
  </si>
  <si>
    <t>CB0007</t>
  </si>
  <si>
    <t>Surat</t>
  </si>
  <si>
    <t>Coffee</t>
  </si>
  <si>
    <t>CB0008</t>
  </si>
  <si>
    <t>C763</t>
  </si>
  <si>
    <t>Brownie</t>
  </si>
  <si>
    <t>CB0009</t>
  </si>
  <si>
    <t>C914</t>
  </si>
  <si>
    <t>Puff</t>
  </si>
  <si>
    <t>CB0010</t>
  </si>
  <si>
    <t>C376</t>
  </si>
  <si>
    <t>CB0011</t>
  </si>
  <si>
    <t>C371</t>
  </si>
  <si>
    <t>CB0012</t>
  </si>
  <si>
    <t>C414</t>
  </si>
  <si>
    <t>CB0013</t>
  </si>
  <si>
    <t>C419</t>
  </si>
  <si>
    <t>Muffin</t>
  </si>
  <si>
    <t>CB0014</t>
  </si>
  <si>
    <t>C657</t>
  </si>
  <si>
    <t>CB0015</t>
  </si>
  <si>
    <t>C488</t>
  </si>
  <si>
    <t>Vadodara</t>
  </si>
  <si>
    <t>CB0016</t>
  </si>
  <si>
    <t>C563</t>
  </si>
  <si>
    <t>Cappuccino</t>
  </si>
  <si>
    <t>CB0017</t>
  </si>
  <si>
    <t>C519</t>
  </si>
  <si>
    <t>CB0018</t>
  </si>
  <si>
    <t>C846</t>
  </si>
  <si>
    <t>Latte</t>
  </si>
  <si>
    <t>CB0019</t>
  </si>
  <si>
    <t>C596</t>
  </si>
  <si>
    <t>CB0020</t>
  </si>
  <si>
    <t>C350</t>
  </si>
  <si>
    <t>CB0021</t>
  </si>
  <si>
    <t>C287</t>
  </si>
  <si>
    <t>Ice Cream</t>
  </si>
  <si>
    <t>CB0022</t>
  </si>
  <si>
    <t>C158</t>
  </si>
  <si>
    <t>CB0023</t>
  </si>
  <si>
    <t>C155</t>
  </si>
  <si>
    <t>CB0024</t>
  </si>
  <si>
    <t>C841</t>
  </si>
  <si>
    <t>CB0025</t>
  </si>
  <si>
    <t>C147</t>
  </si>
  <si>
    <t>CB0026</t>
  </si>
  <si>
    <t>C540</t>
  </si>
  <si>
    <t>CB0027</t>
  </si>
  <si>
    <t>C204</t>
  </si>
  <si>
    <t>CB0028</t>
  </si>
  <si>
    <t>C483</t>
  </si>
  <si>
    <t>CB0029</t>
  </si>
  <si>
    <t>C523</t>
  </si>
  <si>
    <t>CB0030</t>
  </si>
  <si>
    <t>C739</t>
  </si>
  <si>
    <t>CB0031</t>
  </si>
  <si>
    <t>C432</t>
  </si>
  <si>
    <t>CB0032</t>
  </si>
  <si>
    <t>C735</t>
  </si>
  <si>
    <t>CB0033</t>
  </si>
  <si>
    <t>CB0034</t>
  </si>
  <si>
    <t>C318</t>
  </si>
  <si>
    <t>CB0035</t>
  </si>
  <si>
    <t>C674</t>
  </si>
  <si>
    <t>CB0036</t>
  </si>
  <si>
    <t>Sandwich</t>
  </si>
  <si>
    <t>CB0037</t>
  </si>
  <si>
    <t>CB0038</t>
  </si>
  <si>
    <t>C205</t>
  </si>
  <si>
    <t>CB0039</t>
  </si>
  <si>
    <t>C854</t>
  </si>
  <si>
    <t>CB0040</t>
  </si>
  <si>
    <t>CB0041</t>
  </si>
  <si>
    <t>C107</t>
  </si>
  <si>
    <t>CB0042</t>
  </si>
  <si>
    <t>CB0043</t>
  </si>
  <si>
    <t>CB0044</t>
  </si>
  <si>
    <t>C553</t>
  </si>
  <si>
    <t>CB0045</t>
  </si>
  <si>
    <t>CB0046</t>
  </si>
  <si>
    <t>C353</t>
  </si>
  <si>
    <t>CB0047</t>
  </si>
  <si>
    <t>C521</t>
  </si>
  <si>
    <t>CB0048</t>
  </si>
  <si>
    <t>CB0049</t>
  </si>
  <si>
    <t>C566</t>
  </si>
  <si>
    <t>CB0050</t>
  </si>
  <si>
    <t>C453</t>
  </si>
  <si>
    <t>CB0051</t>
  </si>
  <si>
    <t>C949</t>
  </si>
  <si>
    <t>CB0052</t>
  </si>
  <si>
    <t>C357</t>
  </si>
  <si>
    <t>CB0053</t>
  </si>
  <si>
    <t>C156</t>
  </si>
  <si>
    <t>CB0054</t>
  </si>
  <si>
    <t>CB0055</t>
  </si>
  <si>
    <t>C897</t>
  </si>
  <si>
    <t>CB0056</t>
  </si>
  <si>
    <t>CB0057</t>
  </si>
  <si>
    <t>C729</t>
  </si>
  <si>
    <t>CB0058</t>
  </si>
  <si>
    <t>CB0059</t>
  </si>
  <si>
    <t>C255</t>
  </si>
  <si>
    <t>CB0060</t>
  </si>
  <si>
    <t>C183</t>
  </si>
  <si>
    <t>CB0061</t>
  </si>
  <si>
    <t>CB0062</t>
  </si>
  <si>
    <t>CB0063</t>
  </si>
  <si>
    <t>C748</t>
  </si>
  <si>
    <t>CB0064</t>
  </si>
  <si>
    <t>CB0065</t>
  </si>
  <si>
    <t>CB0066</t>
  </si>
  <si>
    <t>C951</t>
  </si>
  <si>
    <t>CB0067</t>
  </si>
  <si>
    <t>C770</t>
  </si>
  <si>
    <t>CB0068</t>
  </si>
  <si>
    <t>CB0069</t>
  </si>
  <si>
    <t>C169</t>
  </si>
  <si>
    <t>CB0070</t>
  </si>
  <si>
    <t>CB0071</t>
  </si>
  <si>
    <t>C906</t>
  </si>
  <si>
    <t>CB0072</t>
  </si>
  <si>
    <t>CB0073</t>
  </si>
  <si>
    <t>CB0074</t>
  </si>
  <si>
    <t>C647</t>
  </si>
  <si>
    <t>CB0075</t>
  </si>
  <si>
    <t>CB0076</t>
  </si>
  <si>
    <t>C189</t>
  </si>
  <si>
    <t>CB0077</t>
  </si>
  <si>
    <t>CB0078</t>
  </si>
  <si>
    <t>C172</t>
  </si>
  <si>
    <t>CB0079</t>
  </si>
  <si>
    <t>C551</t>
  </si>
  <si>
    <t>CB0080</t>
  </si>
  <si>
    <t>C408</t>
  </si>
  <si>
    <t>CB0081</t>
  </si>
  <si>
    <t>C152</t>
  </si>
  <si>
    <t>CB0082</t>
  </si>
  <si>
    <t>C756</t>
  </si>
  <si>
    <t>CB0083</t>
  </si>
  <si>
    <t>CB0084</t>
  </si>
  <si>
    <t>C919</t>
  </si>
  <si>
    <t>CB0085</t>
  </si>
  <si>
    <t>C882</t>
  </si>
  <si>
    <t>CB0086</t>
  </si>
  <si>
    <t>C734</t>
  </si>
  <si>
    <t>CB0087</t>
  </si>
  <si>
    <t>C554</t>
  </si>
  <si>
    <t>CB0088</t>
  </si>
  <si>
    <t>CB0089</t>
  </si>
  <si>
    <t>CB0090</t>
  </si>
  <si>
    <t>CB0091</t>
  </si>
  <si>
    <t>CB0092</t>
  </si>
  <si>
    <t>C764</t>
  </si>
  <si>
    <t>CB0093</t>
  </si>
  <si>
    <t>CB0094</t>
  </si>
  <si>
    <t>C641</t>
  </si>
  <si>
    <t>CB0095</t>
  </si>
  <si>
    <t>CB0096</t>
  </si>
  <si>
    <t>CB0097</t>
  </si>
  <si>
    <t>C555</t>
  </si>
  <si>
    <t>CB0098</t>
  </si>
  <si>
    <t>C703</t>
  </si>
  <si>
    <t>CB0099</t>
  </si>
  <si>
    <t>CB0100</t>
  </si>
  <si>
    <t>C836</t>
  </si>
  <si>
    <t>CB0101</t>
  </si>
  <si>
    <t>CB0102</t>
  </si>
  <si>
    <t>C677</t>
  </si>
  <si>
    <t>CB0103</t>
  </si>
  <si>
    <t>C379</t>
  </si>
  <si>
    <t>CB0104</t>
  </si>
  <si>
    <t>CB0105</t>
  </si>
  <si>
    <t>CB0106</t>
  </si>
  <si>
    <t>C237</t>
  </si>
  <si>
    <t>CB0107</t>
  </si>
  <si>
    <t>CB0108</t>
  </si>
  <si>
    <t>CB0109</t>
  </si>
  <si>
    <t>CB0110</t>
  </si>
  <si>
    <t>CB0111</t>
  </si>
  <si>
    <t>CB0112</t>
  </si>
  <si>
    <t>C773</t>
  </si>
  <si>
    <t>CB0113</t>
  </si>
  <si>
    <t>C994</t>
  </si>
  <si>
    <t>CB0114</t>
  </si>
  <si>
    <t>C732</t>
  </si>
  <si>
    <t>CB0115</t>
  </si>
  <si>
    <t>C903</t>
  </si>
  <si>
    <t>CB0116</t>
  </si>
  <si>
    <t>CB0117</t>
  </si>
  <si>
    <t>C273</t>
  </si>
  <si>
    <t>CB0118</t>
  </si>
  <si>
    <t>C560</t>
  </si>
  <si>
    <t>CB0119</t>
  </si>
  <si>
    <t>CB0120</t>
  </si>
  <si>
    <t>CB0121</t>
  </si>
  <si>
    <t>C490</t>
  </si>
  <si>
    <t>CB0122</t>
  </si>
  <si>
    <t>C628</t>
  </si>
  <si>
    <t>CB0123</t>
  </si>
  <si>
    <t>CB0124</t>
  </si>
  <si>
    <t>CB0125</t>
  </si>
  <si>
    <t>CB0126</t>
  </si>
  <si>
    <t>CB0127</t>
  </si>
  <si>
    <t>C464</t>
  </si>
  <si>
    <t>CB0128</t>
  </si>
  <si>
    <t>CB0129</t>
  </si>
  <si>
    <t>CB0130</t>
  </si>
  <si>
    <t>C852</t>
  </si>
  <si>
    <t>CB0131</t>
  </si>
  <si>
    <t>C924</t>
  </si>
  <si>
    <t>CB0132</t>
  </si>
  <si>
    <t>C511</t>
  </si>
  <si>
    <t>CB0133</t>
  </si>
  <si>
    <t>C550</t>
  </si>
  <si>
    <t>CB0134</t>
  </si>
  <si>
    <t>CB0135</t>
  </si>
  <si>
    <t>CB0136</t>
  </si>
  <si>
    <t>C375</t>
  </si>
  <si>
    <t>CB0137</t>
  </si>
  <si>
    <t>CB0138</t>
  </si>
  <si>
    <t>CB0139</t>
  </si>
  <si>
    <t>CB0140</t>
  </si>
  <si>
    <t>C669</t>
  </si>
  <si>
    <t>CB0141</t>
  </si>
  <si>
    <t>C909</t>
  </si>
  <si>
    <t>CB0142</t>
  </si>
  <si>
    <t>CB0143</t>
  </si>
  <si>
    <t>C934</t>
  </si>
  <si>
    <t>CB0144</t>
  </si>
  <si>
    <t>CB0145</t>
  </si>
  <si>
    <t>C766</t>
  </si>
  <si>
    <t>CB0146</t>
  </si>
  <si>
    <t>CB0147</t>
  </si>
  <si>
    <t>CB0148</t>
  </si>
  <si>
    <t>CB0149</t>
  </si>
  <si>
    <t>C825</t>
  </si>
  <si>
    <t>CB0150</t>
  </si>
  <si>
    <t>C452</t>
  </si>
  <si>
    <t>CB0151</t>
  </si>
  <si>
    <t>CB0152</t>
  </si>
  <si>
    <t>C361</t>
  </si>
  <si>
    <t>CB0153</t>
  </si>
  <si>
    <t>C661</t>
  </si>
  <si>
    <t>CB0154</t>
  </si>
  <si>
    <t>C479</t>
  </si>
  <si>
    <t>CB0155</t>
  </si>
  <si>
    <t>CB0156</t>
  </si>
  <si>
    <t>CB0157</t>
  </si>
  <si>
    <t>CB0158</t>
  </si>
  <si>
    <t>CB0159</t>
  </si>
  <si>
    <t>CB0160</t>
  </si>
  <si>
    <t>CB0161</t>
  </si>
  <si>
    <t>C510</t>
  </si>
  <si>
    <t>CB0162</t>
  </si>
  <si>
    <t>CB0163</t>
  </si>
  <si>
    <t>CB0164</t>
  </si>
  <si>
    <t>CB0165</t>
  </si>
  <si>
    <t>CB0166</t>
  </si>
  <si>
    <t>C354</t>
  </si>
  <si>
    <t>CB0167</t>
  </si>
  <si>
    <t>CB0168</t>
  </si>
  <si>
    <t>C500</t>
  </si>
  <si>
    <t>CB0169</t>
  </si>
  <si>
    <t>CB0170</t>
  </si>
  <si>
    <t>C826</t>
  </si>
  <si>
    <t>CB0171</t>
  </si>
  <si>
    <t>CB0172</t>
  </si>
  <si>
    <t>CB0173</t>
  </si>
  <si>
    <t>CB0174</t>
  </si>
  <si>
    <t>CB0175</t>
  </si>
  <si>
    <t>C565</t>
  </si>
  <si>
    <t>CB0176</t>
  </si>
  <si>
    <t>CB0177</t>
  </si>
  <si>
    <t>CB0178</t>
  </si>
  <si>
    <t>C611</t>
  </si>
  <si>
    <t>CB0179</t>
  </si>
  <si>
    <t>CB0180</t>
  </si>
  <si>
    <t>CB0181</t>
  </si>
  <si>
    <t>CB0182</t>
  </si>
  <si>
    <t>C460</t>
  </si>
  <si>
    <t>CB0183</t>
  </si>
  <si>
    <t>CB0184</t>
  </si>
  <si>
    <t>CB0185</t>
  </si>
  <si>
    <t>C937</t>
  </si>
  <si>
    <t>CB0186</t>
  </si>
  <si>
    <t>CB0187</t>
  </si>
  <si>
    <t>CB0188</t>
  </si>
  <si>
    <t>CB0189</t>
  </si>
  <si>
    <t>CB0190</t>
  </si>
  <si>
    <t>C114</t>
  </si>
  <si>
    <t>CB0191</t>
  </si>
  <si>
    <t>CB0192</t>
  </si>
  <si>
    <t>CB0193</t>
  </si>
  <si>
    <t>CB0194</t>
  </si>
  <si>
    <t>CB0195</t>
  </si>
  <si>
    <t>CB0196</t>
  </si>
  <si>
    <t>CB0197</t>
  </si>
  <si>
    <t>CB0198</t>
  </si>
  <si>
    <t>CB0199</t>
  </si>
  <si>
    <t>CB0200</t>
  </si>
  <si>
    <t>C930</t>
  </si>
  <si>
    <t>CB0201</t>
  </si>
  <si>
    <t>CB0202</t>
  </si>
  <si>
    <t>C281</t>
  </si>
  <si>
    <t>CB0203</t>
  </si>
  <si>
    <t>CB0204</t>
  </si>
  <si>
    <t>CB0205</t>
  </si>
  <si>
    <t>CB0206</t>
  </si>
  <si>
    <t>CB0207</t>
  </si>
  <si>
    <t>CB0208</t>
  </si>
  <si>
    <t>CB0209</t>
  </si>
  <si>
    <t>CB0210</t>
  </si>
  <si>
    <t>CB0211</t>
  </si>
  <si>
    <t>CB0212</t>
  </si>
  <si>
    <t>CB0213</t>
  </si>
  <si>
    <t>CB0214</t>
  </si>
  <si>
    <t>CB0215</t>
  </si>
  <si>
    <t>C489</t>
  </si>
  <si>
    <t>CB0216</t>
  </si>
  <si>
    <t>C136</t>
  </si>
  <si>
    <t>CB0217</t>
  </si>
  <si>
    <t>CB0218</t>
  </si>
  <si>
    <t>CB0219</t>
  </si>
  <si>
    <t>CB0220</t>
  </si>
  <si>
    <t>CB0221</t>
  </si>
  <si>
    <t>CB0222</t>
  </si>
  <si>
    <t>CB0223</t>
  </si>
  <si>
    <t>CB0224</t>
  </si>
  <si>
    <t>CB0225</t>
  </si>
  <si>
    <t>CB0226</t>
  </si>
  <si>
    <t>CB0227</t>
  </si>
  <si>
    <t>C754</t>
  </si>
  <si>
    <t>CB0228</t>
  </si>
  <si>
    <t>CB0229</t>
  </si>
  <si>
    <t>CB0230</t>
  </si>
  <si>
    <t>CB0231</t>
  </si>
  <si>
    <t>C752</t>
  </si>
  <si>
    <t>CB0232</t>
  </si>
  <si>
    <t>C272</t>
  </si>
  <si>
    <t>CB0233</t>
  </si>
  <si>
    <t>CB0234</t>
  </si>
  <si>
    <t>CB0235</t>
  </si>
  <si>
    <t>CB0236</t>
  </si>
  <si>
    <t>CB0237</t>
  </si>
  <si>
    <t>C902</t>
  </si>
  <si>
    <t>CB0238</t>
  </si>
  <si>
    <t>C458</t>
  </si>
  <si>
    <t>CB0239</t>
  </si>
  <si>
    <t>C726</t>
  </si>
  <si>
    <t>CB0240</t>
  </si>
  <si>
    <t>CB0241</t>
  </si>
  <si>
    <t>CB0242</t>
  </si>
  <si>
    <t>CB0243</t>
  </si>
  <si>
    <t>CB0244</t>
  </si>
  <si>
    <t>CB0245</t>
  </si>
  <si>
    <t>CB0246</t>
  </si>
  <si>
    <t>CB0247</t>
  </si>
  <si>
    <t>CB0248</t>
  </si>
  <si>
    <t>C344</t>
  </si>
  <si>
    <t>CB0249</t>
  </si>
  <si>
    <t>CB0250</t>
  </si>
  <si>
    <t>C381</t>
  </si>
  <si>
    <t>CB0251</t>
  </si>
  <si>
    <t>C630</t>
  </si>
  <si>
    <t>CB0252</t>
  </si>
  <si>
    <t>CB0253</t>
  </si>
  <si>
    <t>CB0254</t>
  </si>
  <si>
    <t>C962</t>
  </si>
  <si>
    <t>CB0255</t>
  </si>
  <si>
    <t>C442</t>
  </si>
  <si>
    <t>CB0256</t>
  </si>
  <si>
    <t>CB0257</t>
  </si>
  <si>
    <t>CB0258</t>
  </si>
  <si>
    <t>CB0259</t>
  </si>
  <si>
    <t>CB0260</t>
  </si>
  <si>
    <t>C999</t>
  </si>
  <si>
    <t>CB0261</t>
  </si>
  <si>
    <t>CB0262</t>
  </si>
  <si>
    <t>CB0263</t>
  </si>
  <si>
    <t>CB0264</t>
  </si>
  <si>
    <t>CB0265</t>
  </si>
  <si>
    <t>C457</t>
  </si>
  <si>
    <t>CB0266</t>
  </si>
  <si>
    <t>CB0267</t>
  </si>
  <si>
    <t>C958</t>
  </si>
  <si>
    <t>CB0268</t>
  </si>
  <si>
    <t>C543</t>
  </si>
  <si>
    <t>CB0269</t>
  </si>
  <si>
    <t>CB0270</t>
  </si>
  <si>
    <t>CB0271</t>
  </si>
  <si>
    <t>CB0272</t>
  </si>
  <si>
    <t>CB0273</t>
  </si>
  <si>
    <t>CB0274</t>
  </si>
  <si>
    <t>CB0275</t>
  </si>
  <si>
    <t>CB0276</t>
  </si>
  <si>
    <t>CB0277</t>
  </si>
  <si>
    <t>CB0278</t>
  </si>
  <si>
    <t>CB0279</t>
  </si>
  <si>
    <t>CB0280</t>
  </si>
  <si>
    <t>CB0281</t>
  </si>
  <si>
    <t>CB0282</t>
  </si>
  <si>
    <t>CB0283</t>
  </si>
  <si>
    <t>CB0284</t>
  </si>
  <si>
    <t>CB0285</t>
  </si>
  <si>
    <t>CB0286</t>
  </si>
  <si>
    <t>CB0287</t>
  </si>
  <si>
    <t>CB0288</t>
  </si>
  <si>
    <t>CB0289</t>
  </si>
  <si>
    <t>CB0290</t>
  </si>
  <si>
    <t>CB0291</t>
  </si>
  <si>
    <t>C256</t>
  </si>
  <si>
    <t>CB0292</t>
  </si>
  <si>
    <t>CB0293</t>
  </si>
  <si>
    <t>CB0294</t>
  </si>
  <si>
    <t>C782</t>
  </si>
  <si>
    <t>CB0295</t>
  </si>
  <si>
    <t>CB0296</t>
  </si>
  <si>
    <t>CB0297</t>
  </si>
  <si>
    <t>CB0298</t>
  </si>
  <si>
    <t>C503</t>
  </si>
  <si>
    <t>CB0299</t>
  </si>
  <si>
    <t>CB0300</t>
  </si>
  <si>
    <t>CB0301</t>
  </si>
  <si>
    <t>CB0302</t>
  </si>
  <si>
    <t>CB0303</t>
  </si>
  <si>
    <t>CB0304</t>
  </si>
  <si>
    <t>C891</t>
  </si>
  <si>
    <t>CB0305</t>
  </si>
  <si>
    <t>CB0306</t>
  </si>
  <si>
    <t>CB0307</t>
  </si>
  <si>
    <t>CB0308</t>
  </si>
  <si>
    <t>CB0309</t>
  </si>
  <si>
    <t>CB0310</t>
  </si>
  <si>
    <t>CB0311</t>
  </si>
  <si>
    <t>CB0312</t>
  </si>
  <si>
    <t>CB0313</t>
  </si>
  <si>
    <t>CB0314</t>
  </si>
  <si>
    <t>CB0315</t>
  </si>
  <si>
    <t>CB0316</t>
  </si>
  <si>
    <t>CB0317</t>
  </si>
  <si>
    <t>CB0318</t>
  </si>
  <si>
    <t>CB0319</t>
  </si>
  <si>
    <t>CB0320</t>
  </si>
  <si>
    <t>CB0321</t>
  </si>
  <si>
    <t>CB0322</t>
  </si>
  <si>
    <t>CB0323</t>
  </si>
  <si>
    <t>CB0324</t>
  </si>
  <si>
    <t>CB0325</t>
  </si>
  <si>
    <t>C970</t>
  </si>
  <si>
    <t>CB0326</t>
  </si>
  <si>
    <t>CB0327</t>
  </si>
  <si>
    <t>CB0328</t>
  </si>
  <si>
    <t>CB0329</t>
  </si>
  <si>
    <t>CB0330</t>
  </si>
  <si>
    <t>CB0331</t>
  </si>
  <si>
    <t>CB0332</t>
  </si>
  <si>
    <t>CB0333</t>
  </si>
  <si>
    <t>C713</t>
  </si>
  <si>
    <t>CB0334</t>
  </si>
  <si>
    <t>CB0335</t>
  </si>
  <si>
    <t>CB0336</t>
  </si>
  <si>
    <t>CB0337</t>
  </si>
  <si>
    <t>CB0338</t>
  </si>
  <si>
    <t>CB0339</t>
  </si>
  <si>
    <t>CB0340</t>
  </si>
  <si>
    <t>CB0341</t>
  </si>
  <si>
    <t>CB0342</t>
  </si>
  <si>
    <t>CB0343</t>
  </si>
  <si>
    <t>CB0344</t>
  </si>
  <si>
    <t>CB0345</t>
  </si>
  <si>
    <t>CB0346</t>
  </si>
  <si>
    <t>CB0347</t>
  </si>
  <si>
    <t>CB0348</t>
  </si>
  <si>
    <t>CB0349</t>
  </si>
  <si>
    <t>CB0350</t>
  </si>
  <si>
    <t>Customer Status</t>
  </si>
  <si>
    <t>C400</t>
  </si>
  <si>
    <t>C177</t>
  </si>
  <si>
    <t>C201</t>
  </si>
  <si>
    <t>C202</t>
  </si>
  <si>
    <t>C203</t>
  </si>
  <si>
    <t>C401</t>
  </si>
  <si>
    <t>C402</t>
  </si>
  <si>
    <t>C403</t>
  </si>
  <si>
    <t>C111</t>
  </si>
  <si>
    <t>C100</t>
  </si>
  <si>
    <t>C300</t>
  </si>
  <si>
    <t>C900</t>
  </si>
  <si>
    <t>C901</t>
  </si>
  <si>
    <t>C904</t>
  </si>
  <si>
    <t>Count of Customer Status</t>
  </si>
  <si>
    <t>Row Labels</t>
  </si>
  <si>
    <t>Grand Total</t>
  </si>
  <si>
    <t>New</t>
  </si>
  <si>
    <t>Repeat</t>
  </si>
  <si>
    <t>Column Labels</t>
  </si>
  <si>
    <t>Sum of Total_Sales</t>
  </si>
  <si>
    <t>2023</t>
  </si>
  <si>
    <t>2024</t>
  </si>
  <si>
    <t>2025</t>
  </si>
  <si>
    <t>DASHBOARD</t>
  </si>
  <si>
    <t>Count of Order_Type</t>
  </si>
  <si>
    <t>Average Bill Value</t>
  </si>
  <si>
    <t>% Repeat</t>
  </si>
  <si>
    <t>Repeat %</t>
  </si>
  <si>
    <t>Total</t>
  </si>
  <si>
    <t>Sum of Profit</t>
  </si>
  <si>
    <t>Profit Share</t>
  </si>
  <si>
    <t>Sales</t>
  </si>
  <si>
    <t>Enter ID Below</t>
  </si>
  <si>
    <t>NOTE</t>
  </si>
  <si>
    <t>Conatins no duplicated values or empty values and fort as need number, date, currency</t>
  </si>
  <si>
    <t>If condition used to check repeate or new customer</t>
  </si>
  <si>
    <t>text tool used to extract just year from date</t>
  </si>
  <si>
    <t>Average found from sales hence bill values average</t>
  </si>
  <si>
    <t>Count if and count a used to get percentage of repeat customers</t>
  </si>
  <si>
    <t>Discount Check</t>
  </si>
  <si>
    <t xml:space="preserve">Nested if used to check conditions for discount check </t>
  </si>
  <si>
    <t>vlookup used enter the id and know sales</t>
  </si>
  <si>
    <t>Repeating Times</t>
  </si>
  <si>
    <t>ID</t>
  </si>
  <si>
    <t>High Value Customers</t>
  </si>
  <si>
    <t>Found high value customers with helper colums</t>
  </si>
  <si>
    <t>Created pivot tables and slicers added in dashbord directly</t>
  </si>
  <si>
    <t>DATE &amp; TIME FUNCTION</t>
  </si>
  <si>
    <t>Today</t>
  </si>
  <si>
    <t>Now</t>
  </si>
  <si>
    <t>Column1</t>
  </si>
  <si>
    <t>Column2</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</si>
  <si>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</si>
  <si>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</si>
  <si>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</si>
  <si>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</si>
  <si>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</si>
  <si>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</si>
  <si>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</si>
  <si>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</si>
  <si>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</si>
  <si>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</si>
  <si>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</si>
  <si>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</si>
  <si>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</si>
  <si>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</si>
  <si>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</si>
  <si>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</si>
  <si>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Statistical Summary</t>
  </si>
  <si>
    <t>used for numberd colums only giver overview of statistical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</si>
</sst>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36"/>
      <color theme="9" tint="0.39997558519241921"/>
      <name val="Arial Black"/>
      <family val="2"/>
    </font>
    <font>
      <b/>
      <sz val="14"/>
      <color theme="1"/>
      <name val="Calibri"/>
      <family val="2"/>
      <scheme val="minor"/>
    </font>
    <font>
      <b/>
      <sz val="11"/>
      <color theme="1"/>
      <name val="Calibri"/>
      <family val="2"/>
      <scheme val="minor"/>
    </font>
    <font>
      <b/>
      <sz val="12"/>
      <color theme="1"/>
      <name val="Calibri"/>
      <family val="2"/>
      <scheme val="minor"/>
    </font>
    <font>
      <sz val="36"/>
      <color theme="8" tint="0.59999389629810485"/>
      <name val="Arial Black"/>
      <family val="2"/>
    </font>
    <font>
      <b/>
      <sz val="11"/>
      <color theme="1"/>
      <name val="Calibri"/>
      <scheme val="minor"/>
    </font>
    <font>
      <i/>
      <sz val="11"/>
      <color theme="1"/>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6" tint="0.59999389629810485"/>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1" xfId="0" applyFill="1" applyBorder="1"/>
    <xf numFmtId="0" fontId="2" fillId="2" borderId="0" xfId="0" applyFont="1" applyFill="1"/>
    <xf numFmtId="0" fontId="3" fillId="3" borderId="2" xfId="0" applyFont="1" applyFill="1" applyBorder="1" applyAlignment="1">
      <alignment horizontal="center" vertical="center"/>
    </xf>
    <xf numFmtId="0" fontId="3" fillId="3" borderId="0"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0"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xf>
    <xf numFmtId="0" fontId="6" fillId="2" borderId="0" xfId="0" applyFont="1" applyFill="1" applyAlignment="1">
      <alignment horizontal="center"/>
    </xf>
    <xf numFmtId="0" fontId="0" fillId="3" borderId="0" xfId="0" applyFill="1"/>
    <xf numFmtId="0" fontId="0" fillId="4" borderId="1" xfId="0" applyFill="1" applyBorder="1" applyAlignment="1">
      <alignment horizontal="center"/>
    </xf>
    <xf numFmtId="0" fontId="0" fillId="4" borderId="1" xfId="0" applyFill="1" applyBorder="1" applyAlignment="1">
      <alignment horizontal="center" wrapText="1"/>
    </xf>
    <xf numFmtId="0" fontId="0" fillId="3" borderId="0" xfId="0" applyFill="1" applyAlignment="1">
      <alignment horizont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2" fontId="0" fillId="3" borderId="1" xfId="0" applyNumberFormat="1" applyFill="1" applyBorder="1" applyAlignment="1">
      <alignment horizontal="center" vertical="center"/>
    </xf>
    <xf numFmtId="0" fontId="0" fillId="3" borderId="1" xfId="0" applyFill="1" applyBorder="1" applyAlignment="1">
      <alignment horizontal="center"/>
    </xf>
    <xf numFmtId="0" fontId="8" fillId="3" borderId="1" xfId="0" applyFont="1" applyFill="1" applyBorder="1" applyAlignment="1">
      <alignment horizontal="center"/>
    </xf>
    <xf numFmtId="0" fontId="0" fillId="3" borderId="1" xfId="0" applyFill="1" applyBorder="1" applyAlignme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Exam.xlsx]Pivot!PivotTable1</c:name>
    <c:fmtId val="0"/>
  </c:pivotSource>
  <c:chart>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Pivot!$B$1:$B$2</c:f>
              <c:strCache>
                <c:ptCount val="1"/>
                <c:pt idx="0">
                  <c:v>Ahmedabad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Pivot!$B$3:$B$5</c:f>
              <c:numCache>
                <c:formatCode>General</c:formatCode>
                <c:ptCount val="2"/>
                <c:pt idx="0">
                  <c:v>6</c:v>
                </c:pt>
                <c:pt idx="1">
                  <c:v>52</c:v>
                </c:pt>
              </c:numCache>
            </c:numRef>
          </c:val>
          <c:extLst>
            <c:ext xmlns:c16="http://schemas.microsoft.com/office/drawing/2014/chart" uri="{C3380CC4-5D6E-409C-BE32-E72D297353CC}">
              <c16:uniqueId val="{00000000-2D40-4D72-9E9B-056A813D94C5}"/>
            </c:ext>
          </c:extLst>
        </c:ser>
        <c:ser>
          <c:idx val="1"/>
          <c:order val="1"/>
          <c:tx>
            <c:strRef>
              <c:f>Pivot!$C$1:$C$2</c:f>
              <c:strCache>
                <c:ptCount val="1"/>
                <c:pt idx="0">
                  <c:v>Mumbai</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Pivot!$C$3:$C$5</c:f>
              <c:numCache>
                <c:formatCode>General</c:formatCode>
                <c:ptCount val="2"/>
                <c:pt idx="0">
                  <c:v>13</c:v>
                </c:pt>
                <c:pt idx="1">
                  <c:v>60</c:v>
                </c:pt>
              </c:numCache>
            </c:numRef>
          </c:val>
          <c:extLst>
            <c:ext xmlns:c16="http://schemas.microsoft.com/office/drawing/2014/chart" uri="{C3380CC4-5D6E-409C-BE32-E72D297353CC}">
              <c16:uniqueId val="{00000000-DE6C-4B17-B4E0-024B938C10A8}"/>
            </c:ext>
          </c:extLst>
        </c:ser>
        <c:ser>
          <c:idx val="2"/>
          <c:order val="2"/>
          <c:tx>
            <c:strRef>
              <c:f>Pivot!$D$1:$D$2</c:f>
              <c:strCache>
                <c:ptCount val="1"/>
                <c:pt idx="0">
                  <c:v>Rajkot</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Pivot!$D$3:$D$5</c:f>
              <c:numCache>
                <c:formatCode>General</c:formatCode>
                <c:ptCount val="2"/>
                <c:pt idx="0">
                  <c:v>16</c:v>
                </c:pt>
                <c:pt idx="1">
                  <c:v>58</c:v>
                </c:pt>
              </c:numCache>
            </c:numRef>
          </c:val>
          <c:extLst>
            <c:ext xmlns:c16="http://schemas.microsoft.com/office/drawing/2014/chart" uri="{C3380CC4-5D6E-409C-BE32-E72D297353CC}">
              <c16:uniqueId val="{00000001-DE6C-4B17-B4E0-024B938C10A8}"/>
            </c:ext>
          </c:extLst>
        </c:ser>
        <c:ser>
          <c:idx val="3"/>
          <c:order val="3"/>
          <c:tx>
            <c:strRef>
              <c:f>Pivot!$E$1:$E$2</c:f>
              <c:strCache>
                <c:ptCount val="1"/>
                <c:pt idx="0">
                  <c:v>Surat</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Pivot!$E$3:$E$5</c:f>
              <c:numCache>
                <c:formatCode>General</c:formatCode>
                <c:ptCount val="2"/>
                <c:pt idx="0">
                  <c:v>10</c:v>
                </c:pt>
                <c:pt idx="1">
                  <c:v>63</c:v>
                </c:pt>
              </c:numCache>
            </c:numRef>
          </c:val>
          <c:extLst>
            <c:ext xmlns:c16="http://schemas.microsoft.com/office/drawing/2014/chart" uri="{C3380CC4-5D6E-409C-BE32-E72D297353CC}">
              <c16:uniqueId val="{00000002-DE6C-4B17-B4E0-024B938C10A8}"/>
            </c:ext>
          </c:extLst>
        </c:ser>
        <c:ser>
          <c:idx val="4"/>
          <c:order val="4"/>
          <c:tx>
            <c:strRef>
              <c:f>Pivot!$F$1:$F$2</c:f>
              <c:strCache>
                <c:ptCount val="1"/>
                <c:pt idx="0">
                  <c:v>Vadodara</c:v>
                </c:pt>
              </c:strCache>
            </c:strRef>
          </c:tx>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Pivot!$F$3:$F$5</c:f>
              <c:numCache>
                <c:formatCode>General</c:formatCode>
                <c:ptCount val="2"/>
                <c:pt idx="0">
                  <c:v>7</c:v>
                </c:pt>
                <c:pt idx="1">
                  <c:v>65</c:v>
                </c:pt>
              </c:numCache>
            </c:numRef>
          </c:val>
          <c:extLst>
            <c:ext xmlns:c16="http://schemas.microsoft.com/office/drawing/2014/chart" uri="{C3380CC4-5D6E-409C-BE32-E72D297353CC}">
              <c16:uniqueId val="{00000003-DE6C-4B17-B4E0-024B938C10A8}"/>
            </c:ext>
          </c:extLst>
        </c:ser>
        <c:dLbls>
          <c:showLegendKey val="0"/>
          <c:showVal val="0"/>
          <c:showCatName val="0"/>
          <c:showSerName val="0"/>
          <c:showPercent val="0"/>
          <c:showBubbleSize val="0"/>
        </c:dLbls>
        <c:gapWidth val="100"/>
        <c:axId val="774887423"/>
        <c:axId val="774885983"/>
      </c:barChart>
      <c:catAx>
        <c:axId val="7748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4885983"/>
        <c:crosses val="autoZero"/>
        <c:auto val="1"/>
        <c:lblAlgn val="ctr"/>
        <c:lblOffset val="100"/>
        <c:noMultiLvlLbl val="0"/>
      </c:catAx>
      <c:valAx>
        <c:axId val="77488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48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Pivot!$B$19</c:f>
              <c:strCache>
                <c:ptCount val="1"/>
                <c:pt idx="0">
                  <c:v>Total</c:v>
                </c:pt>
              </c:strCache>
            </c:strRef>
          </c:tx>
          <c:dPt>
            <c:idx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0BC8-411C-A757-CE97593CDE0D}"/>
              </c:ext>
            </c:extLst>
          </c:dPt>
          <c:dPt>
            <c:idx val="1"/>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0BC8-411C-A757-CE97593CDE0D}"/>
              </c:ext>
            </c:extLst>
          </c:dPt>
          <c:dPt>
            <c:idx val="2"/>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0BC8-411C-A757-CE97593CDE0D}"/>
              </c:ext>
            </c:extLst>
          </c:dPt>
          <c:dPt>
            <c:idx val="3"/>
            <c:bubble3D val="0"/>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0BC8-411C-A757-CE97593CDE0D}"/>
              </c:ext>
            </c:extLst>
          </c:dPt>
          <c:dPt>
            <c:idx val="4"/>
            <c:bubble3D val="0"/>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0BC8-411C-A757-CE97593CDE0D}"/>
              </c:ext>
            </c:extLst>
          </c:dPt>
          <c:cat>
            <c:strRef>
              <c:f>Pivot!$A$20:$A$25</c:f>
              <c:strCache>
                <c:ptCount val="5"/>
                <c:pt idx="0">
                  <c:v>Ahmedabad</c:v>
                </c:pt>
                <c:pt idx="1">
                  <c:v>Mumbai</c:v>
                </c:pt>
                <c:pt idx="2">
                  <c:v>Rajkot</c:v>
                </c:pt>
                <c:pt idx="3">
                  <c:v>Surat</c:v>
                </c:pt>
                <c:pt idx="4">
                  <c:v>Vadodara</c:v>
                </c:pt>
              </c:strCache>
            </c:strRef>
          </c:cat>
          <c:val>
            <c:numRef>
              <c:f>Pivot!$B$20:$B$25</c:f>
              <c:numCache>
                <c:formatCode>General</c:formatCode>
                <c:ptCount val="5"/>
                <c:pt idx="0">
                  <c:v>32322.55</c:v>
                </c:pt>
                <c:pt idx="1">
                  <c:v>47074.249999999985</c:v>
                </c:pt>
                <c:pt idx="2">
                  <c:v>41665.149999999994</c:v>
                </c:pt>
                <c:pt idx="3">
                  <c:v>41277.1</c:v>
                </c:pt>
                <c:pt idx="4">
                  <c:v>45263.099999999991</c:v>
                </c:pt>
              </c:numCache>
            </c:numRef>
          </c:val>
          <c:extLst>
            <c:ext xmlns:c16="http://schemas.microsoft.com/office/drawing/2014/chart" uri="{C3380CC4-5D6E-409C-BE32-E72D297353CC}">
              <c16:uniqueId val="{00000000-0891-4F12-8155-99E0D9ECB8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Exam.xlsx]Pivot!PivotTable3</c:name>
    <c:fmtId val="0"/>
  </c:pivotSource>
  <c:chart>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Pivot!$B$34:$B$35</c:f>
              <c:strCache>
                <c:ptCount val="1"/>
                <c:pt idx="0">
                  <c:v>Beverages</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Pivot!$B$36:$B$41</c:f>
              <c:numCache>
                <c:formatCode>General</c:formatCode>
                <c:ptCount val="5"/>
                <c:pt idx="0">
                  <c:v>12</c:v>
                </c:pt>
                <c:pt idx="1">
                  <c:v>30</c:v>
                </c:pt>
                <c:pt idx="2">
                  <c:v>25</c:v>
                </c:pt>
                <c:pt idx="3">
                  <c:v>24</c:v>
                </c:pt>
                <c:pt idx="4">
                  <c:v>33</c:v>
                </c:pt>
              </c:numCache>
            </c:numRef>
          </c:val>
          <c:extLst>
            <c:ext xmlns:c16="http://schemas.microsoft.com/office/drawing/2014/chart" uri="{C3380CC4-5D6E-409C-BE32-E72D297353CC}">
              <c16:uniqueId val="{00000000-EAB8-4123-A8C5-B918C5F5DF47}"/>
            </c:ext>
          </c:extLst>
        </c:ser>
        <c:ser>
          <c:idx val="1"/>
          <c:order val="1"/>
          <c:tx>
            <c:strRef>
              <c:f>Pivot!$C$34:$C$35</c:f>
              <c:strCache>
                <c:ptCount val="1"/>
                <c:pt idx="0">
                  <c:v>Desserts</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Pivot!$C$36:$C$41</c:f>
              <c:numCache>
                <c:formatCode>General</c:formatCode>
                <c:ptCount val="5"/>
                <c:pt idx="0">
                  <c:v>21</c:v>
                </c:pt>
                <c:pt idx="1">
                  <c:v>21</c:v>
                </c:pt>
                <c:pt idx="2">
                  <c:v>19</c:v>
                </c:pt>
                <c:pt idx="3">
                  <c:v>30</c:v>
                </c:pt>
                <c:pt idx="4">
                  <c:v>19</c:v>
                </c:pt>
              </c:numCache>
            </c:numRef>
          </c:val>
          <c:extLst>
            <c:ext xmlns:c16="http://schemas.microsoft.com/office/drawing/2014/chart" uri="{C3380CC4-5D6E-409C-BE32-E72D297353CC}">
              <c16:uniqueId val="{00000014-EAB8-4123-A8C5-B918C5F5DF47}"/>
            </c:ext>
          </c:extLst>
        </c:ser>
        <c:ser>
          <c:idx val="2"/>
          <c:order val="2"/>
          <c:tx>
            <c:strRef>
              <c:f>Pivot!$D$34:$D$35</c:f>
              <c:strCache>
                <c:ptCount val="1"/>
                <c:pt idx="0">
                  <c:v>Snacks</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Pivot!$D$36:$D$41</c:f>
              <c:numCache>
                <c:formatCode>General</c:formatCode>
                <c:ptCount val="5"/>
                <c:pt idx="0">
                  <c:v>25</c:v>
                </c:pt>
                <c:pt idx="1">
                  <c:v>22</c:v>
                </c:pt>
                <c:pt idx="2">
                  <c:v>30</c:v>
                </c:pt>
                <c:pt idx="3">
                  <c:v>19</c:v>
                </c:pt>
                <c:pt idx="4">
                  <c:v>20</c:v>
                </c:pt>
              </c:numCache>
            </c:numRef>
          </c:val>
          <c:extLst>
            <c:ext xmlns:c16="http://schemas.microsoft.com/office/drawing/2014/chart" uri="{C3380CC4-5D6E-409C-BE32-E72D297353CC}">
              <c16:uniqueId val="{00000015-EAB8-4123-A8C5-B918C5F5DF47}"/>
            </c:ext>
          </c:extLst>
        </c:ser>
        <c:dLbls>
          <c:showLegendKey val="0"/>
          <c:showVal val="0"/>
          <c:showCatName val="0"/>
          <c:showSerName val="0"/>
          <c:showPercent val="0"/>
          <c:showBubbleSize val="0"/>
        </c:dLbls>
        <c:gapWidth val="100"/>
        <c:overlap val="-24"/>
        <c:axId val="911601999"/>
        <c:axId val="911604879"/>
      </c:barChart>
      <c:catAx>
        <c:axId val="91160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1604879"/>
        <c:crosses val="autoZero"/>
        <c:auto val="1"/>
        <c:lblAlgn val="ctr"/>
        <c:lblOffset val="100"/>
        <c:noMultiLvlLbl val="0"/>
      </c:catAx>
      <c:valAx>
        <c:axId val="91160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160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Pivot!$B$50</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Pivot!$A$51:$A$54</c:f>
              <c:strCache>
                <c:ptCount val="3"/>
                <c:pt idx="0">
                  <c:v>2023</c:v>
                </c:pt>
                <c:pt idx="1">
                  <c:v>2024</c:v>
                </c:pt>
                <c:pt idx="2">
                  <c:v>2025</c:v>
                </c:pt>
              </c:strCache>
            </c:strRef>
          </c:cat>
          <c:val>
            <c:numRef>
              <c:f>Pivot!$B$51:$B$54</c:f>
              <c:numCache>
                <c:formatCode>General</c:formatCode>
                <c:ptCount val="3"/>
                <c:pt idx="0">
                  <c:v>79365.900000000038</c:v>
                </c:pt>
                <c:pt idx="1">
                  <c:v>64252.649999999994</c:v>
                </c:pt>
                <c:pt idx="2">
                  <c:v>63983.6</c:v>
                </c:pt>
              </c:numCache>
            </c:numRef>
          </c:val>
          <c:smooth val="0"/>
          <c:extLst>
            <c:ext xmlns:c16="http://schemas.microsoft.com/office/drawing/2014/chart" uri="{C3380CC4-5D6E-409C-BE32-E72D297353CC}">
              <c16:uniqueId val="{00000000-FB99-471C-81AE-71CD8EF449C8}"/>
            </c:ext>
          </c:extLst>
        </c:ser>
        <c:dLbls>
          <c:showLegendKey val="0"/>
          <c:showVal val="0"/>
          <c:showCatName val="0"/>
          <c:showSerName val="0"/>
          <c:showPercent val="0"/>
          <c:showBubbleSize val="0"/>
        </c:dLbls>
        <c:marker val="1"/>
        <c:smooth val="0"/>
        <c:axId val="774858623"/>
        <c:axId val="774861503"/>
      </c:lineChart>
      <c:catAx>
        <c:axId val="7748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61503"/>
        <c:crosses val="autoZero"/>
        <c:auto val="1"/>
        <c:lblAlgn val="ctr"/>
        <c:lblOffset val="100"/>
        <c:noMultiLvlLbl val="0"/>
      </c:catAx>
      <c:valAx>
        <c:axId val="77486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Exam.xlsx]Pivot!PivotTable1</c:name>
    <c:fmtId val="8"/>
  </c:pivotSource>
  <c:chart>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42173798042685"/>
          <c:y val="0.13205998917541073"/>
          <c:w val="0.46998514720543655"/>
          <c:h val="0.76063061962044098"/>
        </c:manualLayout>
      </c:layout>
      <c:barChart>
        <c:barDir val="bar"/>
        <c:grouping val="clustered"/>
        <c:varyColors val="0"/>
        <c:ser>
          <c:idx val="0"/>
          <c:order val="0"/>
          <c:tx>
            <c:strRef>
              <c:f>Pivot!$B$1:$B$2</c:f>
              <c:strCache>
                <c:ptCount val="1"/>
                <c:pt idx="0">
                  <c:v>Ahmedabad</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Pivot!$B$3:$B$5</c:f>
              <c:numCache>
                <c:formatCode>General</c:formatCode>
                <c:ptCount val="2"/>
                <c:pt idx="0">
                  <c:v>6</c:v>
                </c:pt>
                <c:pt idx="1">
                  <c:v>52</c:v>
                </c:pt>
              </c:numCache>
            </c:numRef>
          </c:val>
          <c:extLst>
            <c:ext xmlns:c16="http://schemas.microsoft.com/office/drawing/2014/chart" uri="{C3380CC4-5D6E-409C-BE32-E72D297353CC}">
              <c16:uniqueId val="{00000000-0060-408E-83D1-E4C80FFAAD4E}"/>
            </c:ext>
          </c:extLst>
        </c:ser>
        <c:ser>
          <c:idx val="1"/>
          <c:order val="1"/>
          <c:tx>
            <c:strRef>
              <c:f>Pivot!$C$1:$C$2</c:f>
              <c:strCache>
                <c:ptCount val="1"/>
                <c:pt idx="0">
                  <c:v>Mumbai</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Pivot!$C$3:$C$5</c:f>
              <c:numCache>
                <c:formatCode>General</c:formatCode>
                <c:ptCount val="2"/>
                <c:pt idx="0">
                  <c:v>13</c:v>
                </c:pt>
                <c:pt idx="1">
                  <c:v>60</c:v>
                </c:pt>
              </c:numCache>
            </c:numRef>
          </c:val>
          <c:extLst>
            <c:ext xmlns:c16="http://schemas.microsoft.com/office/drawing/2014/chart" uri="{C3380CC4-5D6E-409C-BE32-E72D297353CC}">
              <c16:uniqueId val="{00000001-34B5-47A1-B17A-EB0FCE177DFD}"/>
            </c:ext>
          </c:extLst>
        </c:ser>
        <c:ser>
          <c:idx val="2"/>
          <c:order val="2"/>
          <c:tx>
            <c:strRef>
              <c:f>Pivot!$D$1:$D$2</c:f>
              <c:strCache>
                <c:ptCount val="1"/>
                <c:pt idx="0">
                  <c:v>Rajkot</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Pivot!$D$3:$D$5</c:f>
              <c:numCache>
                <c:formatCode>General</c:formatCode>
                <c:ptCount val="2"/>
                <c:pt idx="0">
                  <c:v>16</c:v>
                </c:pt>
                <c:pt idx="1">
                  <c:v>58</c:v>
                </c:pt>
              </c:numCache>
            </c:numRef>
          </c:val>
          <c:extLst>
            <c:ext xmlns:c16="http://schemas.microsoft.com/office/drawing/2014/chart" uri="{C3380CC4-5D6E-409C-BE32-E72D297353CC}">
              <c16:uniqueId val="{00000002-34B5-47A1-B17A-EB0FCE177DFD}"/>
            </c:ext>
          </c:extLst>
        </c:ser>
        <c:ser>
          <c:idx val="3"/>
          <c:order val="3"/>
          <c:tx>
            <c:strRef>
              <c:f>Pivot!$E$1:$E$2</c:f>
              <c:strCache>
                <c:ptCount val="1"/>
                <c:pt idx="0">
                  <c:v>Surat</c:v>
                </c:pt>
              </c:strCache>
            </c:strRef>
          </c:tx>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Pivot!$E$3:$E$5</c:f>
              <c:numCache>
                <c:formatCode>General</c:formatCode>
                <c:ptCount val="2"/>
                <c:pt idx="0">
                  <c:v>10</c:v>
                </c:pt>
                <c:pt idx="1">
                  <c:v>63</c:v>
                </c:pt>
              </c:numCache>
            </c:numRef>
          </c:val>
          <c:extLst>
            <c:ext xmlns:c16="http://schemas.microsoft.com/office/drawing/2014/chart" uri="{C3380CC4-5D6E-409C-BE32-E72D297353CC}">
              <c16:uniqueId val="{00000003-34B5-47A1-B17A-EB0FCE177DFD}"/>
            </c:ext>
          </c:extLst>
        </c:ser>
        <c:ser>
          <c:idx val="4"/>
          <c:order val="4"/>
          <c:tx>
            <c:strRef>
              <c:f>Pivot!$F$1:$F$2</c:f>
              <c:strCache>
                <c:ptCount val="1"/>
                <c:pt idx="0">
                  <c:v>Vadodara</c:v>
                </c:pt>
              </c:strCache>
            </c:strRef>
          </c:tx>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invertIfNegative val="0"/>
          <c:cat>
            <c:strRef>
              <c:f>Pivot!$A$3:$A$5</c:f>
              <c:strCache>
                <c:ptCount val="2"/>
                <c:pt idx="0">
                  <c:v>New</c:v>
                </c:pt>
                <c:pt idx="1">
                  <c:v>Repeat</c:v>
                </c:pt>
              </c:strCache>
            </c:strRef>
          </c:cat>
          <c:val>
            <c:numRef>
              <c:f>Pivot!$F$3:$F$5</c:f>
              <c:numCache>
                <c:formatCode>General</c:formatCode>
                <c:ptCount val="2"/>
                <c:pt idx="0">
                  <c:v>7</c:v>
                </c:pt>
                <c:pt idx="1">
                  <c:v>65</c:v>
                </c:pt>
              </c:numCache>
            </c:numRef>
          </c:val>
          <c:extLst>
            <c:ext xmlns:c16="http://schemas.microsoft.com/office/drawing/2014/chart" uri="{C3380CC4-5D6E-409C-BE32-E72D297353CC}">
              <c16:uniqueId val="{00000004-34B5-47A1-B17A-EB0FCE177DFD}"/>
            </c:ext>
          </c:extLst>
        </c:ser>
        <c:dLbls>
          <c:showLegendKey val="0"/>
          <c:showVal val="0"/>
          <c:showCatName val="0"/>
          <c:showSerName val="0"/>
          <c:showPercent val="0"/>
          <c:showBubbleSize val="0"/>
        </c:dLbls>
        <c:gapWidth val="100"/>
        <c:axId val="774887423"/>
        <c:axId val="774885983"/>
      </c:barChart>
      <c:catAx>
        <c:axId val="7748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4885983"/>
        <c:crosses val="autoZero"/>
        <c:auto val="1"/>
        <c:lblAlgn val="ctr"/>
        <c:lblOffset val="100"/>
        <c:noMultiLvlLbl val="0"/>
      </c:catAx>
      <c:valAx>
        <c:axId val="774885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74887423"/>
        <c:crosses val="autoZero"/>
        <c:crossBetween val="between"/>
      </c:valAx>
      <c:spPr>
        <a:noFill/>
        <a:ln>
          <a:noFill/>
        </a:ln>
        <a:effectLst/>
      </c:spPr>
    </c:plotArea>
    <c:legend>
      <c:legendPos val="r"/>
      <c:layout>
        <c:manualLayout>
          <c:xMode val="edge"/>
          <c:yMode val="edge"/>
          <c:x val="0.77052574823495912"/>
          <c:y val="0.33342423660457077"/>
          <c:w val="0.16032823718046918"/>
          <c:h val="0.44652423526066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Exam.xlsx]Pivot!PivotTable2</c:name>
    <c:fmtId val="6"/>
  </c:pivotSource>
  <c:chart>
    <c:title>
      <c:layout>
        <c:manualLayout>
          <c:xMode val="edge"/>
          <c:yMode val="edge"/>
          <c:x val="0.4571580063626724"/>
          <c:y val="4.465537698198684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
        <c:idx val="2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pivotFmt>
    </c:pivotFmts>
    <c:plotArea>
      <c:layout>
        <c:manualLayout>
          <c:layoutTarget val="inner"/>
          <c:xMode val="edge"/>
          <c:yMode val="edge"/>
          <c:x val="0.2720710414909695"/>
          <c:y val="0.19575126739294574"/>
          <c:w val="0.32053122468917261"/>
          <c:h val="0.69009348146550176"/>
        </c:manualLayout>
      </c:layout>
      <c:pieChart>
        <c:varyColors val="1"/>
        <c:ser>
          <c:idx val="0"/>
          <c:order val="0"/>
          <c:tx>
            <c:strRef>
              <c:f>Pivot!$B$19</c:f>
              <c:strCache>
                <c:ptCount val="1"/>
                <c:pt idx="0">
                  <c:v>Total</c:v>
                </c:pt>
              </c:strCache>
            </c:strRef>
          </c:tx>
          <c:dPt>
            <c:idx val="0"/>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0C3-4C63-97EE-D3D51DB26BE8}"/>
              </c:ext>
            </c:extLst>
          </c:dPt>
          <c:dPt>
            <c:idx val="1"/>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0C3-4C63-97EE-D3D51DB26BE8}"/>
              </c:ext>
            </c:extLst>
          </c:dPt>
          <c:dPt>
            <c:idx val="2"/>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0C3-4C63-97EE-D3D51DB26BE8}"/>
              </c:ext>
            </c:extLst>
          </c:dPt>
          <c:dPt>
            <c:idx val="3"/>
            <c:bubble3D val="0"/>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90C3-4C63-97EE-D3D51DB26BE8}"/>
              </c:ext>
            </c:extLst>
          </c:dPt>
          <c:dPt>
            <c:idx val="4"/>
            <c:bubble3D val="0"/>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90C3-4C63-97EE-D3D51DB26BE8}"/>
              </c:ext>
            </c:extLst>
          </c:dPt>
          <c:cat>
            <c:strRef>
              <c:f>Pivot!$A$20:$A$25</c:f>
              <c:strCache>
                <c:ptCount val="5"/>
                <c:pt idx="0">
                  <c:v>Ahmedabad</c:v>
                </c:pt>
                <c:pt idx="1">
                  <c:v>Mumbai</c:v>
                </c:pt>
                <c:pt idx="2">
                  <c:v>Rajkot</c:v>
                </c:pt>
                <c:pt idx="3">
                  <c:v>Surat</c:v>
                </c:pt>
                <c:pt idx="4">
                  <c:v>Vadodara</c:v>
                </c:pt>
              </c:strCache>
            </c:strRef>
          </c:cat>
          <c:val>
            <c:numRef>
              <c:f>Pivot!$B$20:$B$25</c:f>
              <c:numCache>
                <c:formatCode>General</c:formatCode>
                <c:ptCount val="5"/>
                <c:pt idx="0">
                  <c:v>32322.55</c:v>
                </c:pt>
                <c:pt idx="1">
                  <c:v>47074.249999999985</c:v>
                </c:pt>
                <c:pt idx="2">
                  <c:v>41665.149999999994</c:v>
                </c:pt>
                <c:pt idx="3">
                  <c:v>41277.1</c:v>
                </c:pt>
                <c:pt idx="4">
                  <c:v>45263.099999999991</c:v>
                </c:pt>
              </c:numCache>
            </c:numRef>
          </c:val>
          <c:extLst>
            <c:ext xmlns:c16="http://schemas.microsoft.com/office/drawing/2014/chart" uri="{C3380CC4-5D6E-409C-BE32-E72D297353CC}">
              <c16:uniqueId val="{0000000A-90C3-4C63-97EE-D3D51DB26BE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136471806347644"/>
          <c:y val="0.17343472476899294"/>
          <c:w val="0.20107430632676748"/>
          <c:h val="0.67079962607413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Exam.xlsx]Pivot!PivotTable3</c:name>
    <c:fmtId val="6"/>
  </c:pivotSource>
  <c:chart>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7"/>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28"/>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pivotFmt>
      <c:pivotFmt>
        <c:idx val="3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Pivot!$B$34:$B$35</c:f>
              <c:strCache>
                <c:ptCount val="1"/>
                <c:pt idx="0">
                  <c:v>Beverages</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Pivot!$B$36:$B$41</c:f>
              <c:numCache>
                <c:formatCode>General</c:formatCode>
                <c:ptCount val="5"/>
                <c:pt idx="0">
                  <c:v>12</c:v>
                </c:pt>
                <c:pt idx="1">
                  <c:v>30</c:v>
                </c:pt>
                <c:pt idx="2">
                  <c:v>25</c:v>
                </c:pt>
                <c:pt idx="3">
                  <c:v>24</c:v>
                </c:pt>
                <c:pt idx="4">
                  <c:v>33</c:v>
                </c:pt>
              </c:numCache>
            </c:numRef>
          </c:val>
          <c:extLst>
            <c:ext xmlns:c16="http://schemas.microsoft.com/office/drawing/2014/chart" uri="{C3380CC4-5D6E-409C-BE32-E72D297353CC}">
              <c16:uniqueId val="{00000000-A942-413A-97FB-3AA25E014A21}"/>
            </c:ext>
          </c:extLst>
        </c:ser>
        <c:ser>
          <c:idx val="1"/>
          <c:order val="1"/>
          <c:tx>
            <c:strRef>
              <c:f>Pivot!$C$34:$C$35</c:f>
              <c:strCache>
                <c:ptCount val="1"/>
                <c:pt idx="0">
                  <c:v>Desserts</c:v>
                </c:pt>
              </c:strCache>
            </c:strRef>
          </c:tx>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Pivot!$C$36:$C$41</c:f>
              <c:numCache>
                <c:formatCode>General</c:formatCode>
                <c:ptCount val="5"/>
                <c:pt idx="0">
                  <c:v>21</c:v>
                </c:pt>
                <c:pt idx="1">
                  <c:v>21</c:v>
                </c:pt>
                <c:pt idx="2">
                  <c:v>19</c:v>
                </c:pt>
                <c:pt idx="3">
                  <c:v>30</c:v>
                </c:pt>
                <c:pt idx="4">
                  <c:v>19</c:v>
                </c:pt>
              </c:numCache>
            </c:numRef>
          </c:val>
          <c:extLst>
            <c:ext xmlns:c16="http://schemas.microsoft.com/office/drawing/2014/chart" uri="{C3380CC4-5D6E-409C-BE32-E72D297353CC}">
              <c16:uniqueId val="{00000013-A942-413A-97FB-3AA25E014A21}"/>
            </c:ext>
          </c:extLst>
        </c:ser>
        <c:ser>
          <c:idx val="2"/>
          <c:order val="2"/>
          <c:tx>
            <c:strRef>
              <c:f>Pivot!$D$34:$D$35</c:f>
              <c:strCache>
                <c:ptCount val="1"/>
                <c:pt idx="0">
                  <c:v>Snacks</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Pivot!$A$36:$A$41</c:f>
              <c:strCache>
                <c:ptCount val="5"/>
                <c:pt idx="0">
                  <c:v>Ahmedabad</c:v>
                </c:pt>
                <c:pt idx="1">
                  <c:v>Mumbai</c:v>
                </c:pt>
                <c:pt idx="2">
                  <c:v>Rajkot</c:v>
                </c:pt>
                <c:pt idx="3">
                  <c:v>Surat</c:v>
                </c:pt>
                <c:pt idx="4">
                  <c:v>Vadodara</c:v>
                </c:pt>
              </c:strCache>
            </c:strRef>
          </c:cat>
          <c:val>
            <c:numRef>
              <c:f>Pivot!$D$36:$D$41</c:f>
              <c:numCache>
                <c:formatCode>General</c:formatCode>
                <c:ptCount val="5"/>
                <c:pt idx="0">
                  <c:v>25</c:v>
                </c:pt>
                <c:pt idx="1">
                  <c:v>22</c:v>
                </c:pt>
                <c:pt idx="2">
                  <c:v>30</c:v>
                </c:pt>
                <c:pt idx="3">
                  <c:v>19</c:v>
                </c:pt>
                <c:pt idx="4">
                  <c:v>20</c:v>
                </c:pt>
              </c:numCache>
            </c:numRef>
          </c:val>
          <c:extLst>
            <c:ext xmlns:c16="http://schemas.microsoft.com/office/drawing/2014/chart" uri="{C3380CC4-5D6E-409C-BE32-E72D297353CC}">
              <c16:uniqueId val="{00000014-A942-413A-97FB-3AA25E014A21}"/>
            </c:ext>
          </c:extLst>
        </c:ser>
        <c:dLbls>
          <c:showLegendKey val="0"/>
          <c:showVal val="0"/>
          <c:showCatName val="0"/>
          <c:showSerName val="0"/>
          <c:showPercent val="0"/>
          <c:showBubbleSize val="0"/>
        </c:dLbls>
        <c:gapWidth val="100"/>
        <c:overlap val="-24"/>
        <c:axId val="911601999"/>
        <c:axId val="911604879"/>
      </c:barChart>
      <c:catAx>
        <c:axId val="91160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1604879"/>
        <c:crosses val="autoZero"/>
        <c:auto val="1"/>
        <c:lblAlgn val="ctr"/>
        <c:lblOffset val="100"/>
        <c:noMultiLvlLbl val="0"/>
      </c:catAx>
      <c:valAx>
        <c:axId val="91160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160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Exam.xlsx]Pivot!PivotTable4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Pivot!$B$50</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Pivot!$A$51:$A$54</c:f>
              <c:strCache>
                <c:ptCount val="3"/>
                <c:pt idx="0">
                  <c:v>2023</c:v>
                </c:pt>
                <c:pt idx="1">
                  <c:v>2024</c:v>
                </c:pt>
                <c:pt idx="2">
                  <c:v>2025</c:v>
                </c:pt>
              </c:strCache>
            </c:strRef>
          </c:cat>
          <c:val>
            <c:numRef>
              <c:f>Pivot!$B$51:$B$54</c:f>
              <c:numCache>
                <c:formatCode>General</c:formatCode>
                <c:ptCount val="3"/>
                <c:pt idx="0">
                  <c:v>79365.900000000038</c:v>
                </c:pt>
                <c:pt idx="1">
                  <c:v>64252.649999999994</c:v>
                </c:pt>
                <c:pt idx="2">
                  <c:v>63983.6</c:v>
                </c:pt>
              </c:numCache>
            </c:numRef>
          </c:val>
          <c:smooth val="0"/>
          <c:extLst>
            <c:ext xmlns:c16="http://schemas.microsoft.com/office/drawing/2014/chart" uri="{C3380CC4-5D6E-409C-BE32-E72D297353CC}">
              <c16:uniqueId val="{00000000-C0B8-4BCD-9134-140EA2CCD3D1}"/>
            </c:ext>
          </c:extLst>
        </c:ser>
        <c:dLbls>
          <c:showLegendKey val="0"/>
          <c:showVal val="0"/>
          <c:showCatName val="0"/>
          <c:showSerName val="0"/>
          <c:showPercent val="0"/>
          <c:showBubbleSize val="0"/>
        </c:dLbls>
        <c:marker val="1"/>
        <c:smooth val="0"/>
        <c:axId val="774858623"/>
        <c:axId val="774861503"/>
      </c:lineChart>
      <c:catAx>
        <c:axId val="7748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61503"/>
        <c:crosses val="autoZero"/>
        <c:auto val="1"/>
        <c:lblAlgn val="ctr"/>
        <c:lblOffset val="100"/>
        <c:noMultiLvlLbl val="0"/>
      </c:catAx>
      <c:valAx>
        <c:axId val="77486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8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523875</xdr:colOff>
      <xdr:row>0</xdr:row>
      <xdr:rowOff>174625</xdr:rowOff>
    </xdr:from>
    <xdr:to>
      <xdr:col>15</xdr:col>
      <xdr:colOff>219075</xdr:colOff>
      <xdr:row>15</xdr:row>
      <xdr:rowOff>155575</xdr:rowOff>
    </xdr:to>
    <xdr:graphicFrame macro="">
      <xdr:nvGraphicFramePr>
        <xdr:cNvPr id="2" name="Chart 1">
          <a:extLst>
            <a:ext uri="{FF2B5EF4-FFF2-40B4-BE49-F238E27FC236}">
              <a16:creationId xmlns:a16="http://schemas.microsoft.com/office/drawing/2014/main" id="{A2905B43-1E8F-03B1-401A-2D8C949B1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536575</xdr:colOff>
      <xdr:row>16</xdr:row>
      <xdr:rowOff>111125</xdr:rowOff>
    </xdr:from>
    <xdr:to>
      <xdr:col>15</xdr:col>
      <xdr:colOff>231775</xdr:colOff>
      <xdr:row>31</xdr:row>
      <xdr:rowOff>92075</xdr:rowOff>
    </xdr:to>
    <xdr:graphicFrame macro="">
      <xdr:nvGraphicFramePr>
        <xdr:cNvPr id="3" name="Chart 2">
          <a:extLst>
            <a:ext uri="{FF2B5EF4-FFF2-40B4-BE49-F238E27FC236}">
              <a16:creationId xmlns:a16="http://schemas.microsoft.com/office/drawing/2014/main" id="{C8E2554C-9DCE-7F6D-7F38-E30BCDB42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568325</xdr:colOff>
      <xdr:row>32</xdr:row>
      <xdr:rowOff>53975</xdr:rowOff>
    </xdr:from>
    <xdr:to>
      <xdr:col>15</xdr:col>
      <xdr:colOff>263525</xdr:colOff>
      <xdr:row>47</xdr:row>
      <xdr:rowOff>34925</xdr:rowOff>
    </xdr:to>
    <xdr:graphicFrame macro="">
      <xdr:nvGraphicFramePr>
        <xdr:cNvPr id="4" name="Chart 3">
          <a:extLst>
            <a:ext uri="{FF2B5EF4-FFF2-40B4-BE49-F238E27FC236}">
              <a16:creationId xmlns:a16="http://schemas.microsoft.com/office/drawing/2014/main" id="{F481ECC8-219A-49A6-4391-6AED66A5E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561975</xdr:colOff>
      <xdr:row>48</xdr:row>
      <xdr:rowOff>15875</xdr:rowOff>
    </xdr:from>
    <xdr:to>
      <xdr:col>15</xdr:col>
      <xdr:colOff>257175</xdr:colOff>
      <xdr:row>62</xdr:row>
      <xdr:rowOff>180975</xdr:rowOff>
    </xdr:to>
    <xdr:graphicFrame macro="">
      <xdr:nvGraphicFramePr>
        <xdr:cNvPr id="5" name="Chart 4">
          <a:extLst>
            <a:ext uri="{FF2B5EF4-FFF2-40B4-BE49-F238E27FC236}">
              <a16:creationId xmlns:a16="http://schemas.microsoft.com/office/drawing/2014/main" id="{82B6774E-F460-792B-401A-0561D8BF3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6</xdr:row>
      <xdr:rowOff>120650</xdr:rowOff>
    </xdr:from>
    <xdr:to>
      <xdr:col>8</xdr:col>
      <xdr:colOff>203200</xdr:colOff>
      <xdr:row>21</xdr:row>
      <xdr:rowOff>171450</xdr:rowOff>
    </xdr:to>
    <xdr:graphicFrame macro="">
      <xdr:nvGraphicFramePr>
        <xdr:cNvPr id="2" name="Chart 1">
          <a:extLst>
            <a:ext uri="{FF2B5EF4-FFF2-40B4-BE49-F238E27FC236}">
              <a16:creationId xmlns:a16="http://schemas.microsoft.com/office/drawing/2014/main" id="{928E3B59-AF26-4962-B3EF-4FC2CBD39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23</xdr:row>
      <xdr:rowOff>0</xdr:rowOff>
    </xdr:from>
    <xdr:to>
      <xdr:col>9</xdr:col>
      <xdr:colOff>539750</xdr:colOff>
      <xdr:row>38</xdr:row>
      <xdr:rowOff>19050</xdr:rowOff>
    </xdr:to>
    <xdr:graphicFrame macro="">
      <xdr:nvGraphicFramePr>
        <xdr:cNvPr id="3" name="Chart 2">
          <a:extLst>
            <a:ext uri="{FF2B5EF4-FFF2-40B4-BE49-F238E27FC236}">
              <a16:creationId xmlns:a16="http://schemas.microsoft.com/office/drawing/2014/main" id="{91B9B1BC-B23C-4AE4-8F41-BAB1F3AF7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171450</xdr:colOff>
      <xdr:row>6</xdr:row>
      <xdr:rowOff>107950</xdr:rowOff>
    </xdr:from>
    <xdr:to>
      <xdr:col>19</xdr:col>
      <xdr:colOff>76200</xdr:colOff>
      <xdr:row>21</xdr:row>
      <xdr:rowOff>171450</xdr:rowOff>
    </xdr:to>
    <xdr:graphicFrame macro="">
      <xdr:nvGraphicFramePr>
        <xdr:cNvPr id="4" name="Chart 3">
          <a:extLst>
            <a:ext uri="{FF2B5EF4-FFF2-40B4-BE49-F238E27FC236}">
              <a16:creationId xmlns:a16="http://schemas.microsoft.com/office/drawing/2014/main" id="{D2AFD56C-07FF-4BA2-8BD5-4F7C177A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171450</xdr:colOff>
      <xdr:row>6</xdr:row>
      <xdr:rowOff>101600</xdr:rowOff>
    </xdr:from>
    <xdr:to>
      <xdr:col>11</xdr:col>
      <xdr:colOff>171450</xdr:colOff>
      <xdr:row>21</xdr:row>
      <xdr:rowOff>183350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5826446B-D8B9-810A-430D-A14BE45B6D3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048250" y="1206500"/>
              <a:ext cx="1828800" cy="28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552450</xdr:colOff>
      <xdr:row>23</xdr:row>
      <xdr:rowOff>0</xdr:rowOff>
    </xdr:from>
    <xdr:to>
      <xdr:col>19</xdr:col>
      <xdr:colOff>63500</xdr:colOff>
      <xdr:row>38</xdr:row>
      <xdr:rowOff>25400</xdr:rowOff>
    </xdr:to>
    <xdr:graphicFrame macro="">
      <xdr:nvGraphicFramePr>
        <xdr:cNvPr id="6" name="Chart 5">
          <a:extLst>
            <a:ext uri="{FF2B5EF4-FFF2-40B4-BE49-F238E27FC236}">
              <a16:creationId xmlns:a16="http://schemas.microsoft.com/office/drawing/2014/main" id="{D34DA88B-BD12-4D6E-839D-EB1F7B63D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nati" refreshedDate="46076.674343749997" createdVersion="8" refreshedVersion="8" minRefreshableVersion="3" recordCount="350" xr:uid="{C83A6C5A-A4A1-476C-A3A7-2A30FEB6FF27}">
  <cacheSource type="worksheet">
    <worksheetSource ref="A1:M351" sheet="Cafe_Sales_Data"/>
  </cacheSource>
  <cacheFields count="15">
    <cacheField name="Bill_ID" numFmtId="0">
      <sharedItems/>
    </cacheField>
    <cacheField name="Customer_ID" numFmtId="0">
      <sharedItems count="142">
        <s v="C400"/>
        <s v="C177"/>
        <s v="C607"/>
        <s v="C672"/>
        <s v="C201"/>
        <s v="C202"/>
        <s v="C203"/>
        <s v="C204"/>
        <s v="C914"/>
        <s v="C376"/>
        <s v="C371"/>
        <s v="C414"/>
        <s v="C401"/>
        <s v="C402"/>
        <s v="C403"/>
        <s v="C519"/>
        <s v="C846"/>
        <s v="C596"/>
        <s v="C350"/>
        <s v="C287"/>
        <s v="C111"/>
        <s v="C100"/>
        <s v="C300"/>
        <s v="C147"/>
        <s v="C540"/>
        <s v="C483"/>
        <s v="C523"/>
        <s v="C739"/>
        <s v="C432"/>
        <s v="C735"/>
        <s v="C285"/>
        <s v="C318"/>
        <s v="C674"/>
        <s v="C657"/>
        <s v="C205"/>
        <s v="C854"/>
        <s v="C900"/>
        <s v="C901"/>
        <s v="C902"/>
        <s v="C903"/>
        <s v="C904"/>
        <s v="C841"/>
        <s v="C353"/>
        <s v="C521"/>
        <s v="C566"/>
        <s v="C453"/>
        <s v="C949"/>
        <s v="C357"/>
        <s v="C156"/>
        <s v="C897"/>
        <s v="C729"/>
        <s v="C255"/>
        <s v="C183"/>
        <s v="C176"/>
        <s v="C748"/>
        <s v="C488"/>
        <s v="C951"/>
        <s v="C770"/>
        <s v="C169"/>
        <s v="C563"/>
        <s v="C906"/>
        <s v="C428"/>
        <s v="C647"/>
        <s v="C189"/>
        <s v="C172"/>
        <s v="C551"/>
        <s v="C408"/>
        <s v="C152"/>
        <s v="C756"/>
        <s v="C919"/>
        <s v="C882"/>
        <s v="C734"/>
        <s v="C554"/>
        <s v="C764"/>
        <s v="C641"/>
        <s v="C763"/>
        <s v="C555"/>
        <s v="C703"/>
        <s v="C836"/>
        <s v="C677"/>
        <s v="C379"/>
        <s v="C237"/>
        <s v="C773"/>
        <s v="C994"/>
        <s v="C732"/>
        <s v="C273"/>
        <s v="C560"/>
        <s v="C490"/>
        <s v="C628"/>
        <s v="C464"/>
        <s v="C852"/>
        <s v="C924"/>
        <s v="C511"/>
        <s v="C550"/>
        <s v="C375"/>
        <s v="C669"/>
        <s v="C909"/>
        <s v="C934"/>
        <s v="C766"/>
        <s v="C825"/>
        <s v="C452"/>
        <s v="C361"/>
        <s v="C661"/>
        <s v="C479"/>
        <s v="C510"/>
        <s v="C354"/>
        <s v="C500"/>
        <s v="C826"/>
        <s v="C419"/>
        <s v="C565"/>
        <s v="C611"/>
        <s v="C460"/>
        <s v="C158"/>
        <s v="C937"/>
        <s v="C114"/>
        <s v="C930"/>
        <s v="C155"/>
        <s v="C281"/>
        <s v="C489"/>
        <s v="C136"/>
        <s v="C107"/>
        <s v="C754"/>
        <s v="C752"/>
        <s v="C272"/>
        <s v="C458"/>
        <s v="C726"/>
        <s v="C553"/>
        <s v="C344"/>
        <s v="C381"/>
        <s v="C630"/>
        <s v="C962"/>
        <s v="C442"/>
        <s v="C999"/>
        <s v="C457"/>
        <s v="C958"/>
        <s v="C543"/>
        <s v="C256"/>
        <s v="C782"/>
        <s v="C503"/>
        <s v="C891"/>
        <s v="C970"/>
        <s v="C713"/>
      </sharedItems>
    </cacheField>
    <cacheField name="Order_Date" numFmtId="14">
      <sharedItems containsSemiMixedTypes="0" containsNonDate="0" containsDate="1" containsString="0" minDate="2023-01-01T00:00:00" maxDate="2025-12-31T00:00:00"/>
    </cacheField>
    <cacheField name="Year" numFmtId="0">
      <sharedItems containsSemiMixedTypes="0" containsString="0" containsNumber="1" containsInteger="1" minValue="2023" maxValue="2025" count="3">
        <n v="2024"/>
        <n v="2025"/>
        <n v="2023"/>
      </sharedItems>
    </cacheField>
    <cacheField name="City" numFmtId="0">
      <sharedItems count="5">
        <s v="Ahmedabad"/>
        <s v="Mumbai"/>
        <s v="Rajkot"/>
        <s v="Surat"/>
        <s v="Vadodara"/>
      </sharedItems>
    </cacheField>
    <cacheField name="Item_Category" numFmtId="0">
      <sharedItems count="3">
        <s v="Desserts"/>
        <s v="Snacks"/>
        <s v="Beverages"/>
      </sharedItems>
    </cacheField>
    <cacheField name="Item_Name"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80" maxValue="450"/>
    </cacheField>
    <cacheField name="Discount" numFmtId="0">
      <sharedItems containsSemiMixedTypes="0" containsString="0" containsNumber="1" minValue="0" maxValue="0.15"/>
    </cacheField>
    <cacheField name="Total_Sales" numFmtId="0">
      <sharedItems containsSemiMixedTypes="0" containsString="0" containsNumber="1" minValue="73.8" maxValue="1792"/>
    </cacheField>
    <cacheField name="Profit" numFmtId="0">
      <sharedItems containsSemiMixedTypes="0" containsString="0" containsNumber="1" minValue="18.45" maxValue="537.6"/>
    </cacheField>
    <cacheField name="Payment_Mode" numFmtId="0">
      <sharedItems/>
    </cacheField>
    <cacheField name="Order_Type" numFmtId="0">
      <sharedItems count="2">
        <s v="Takeaway"/>
        <s v="Dine-In"/>
      </sharedItems>
    </cacheField>
    <cacheField name="Customer Status" numFmtId="0">
      <sharedItems count="2">
        <s v="Repeat"/>
        <s v="New"/>
      </sharedItems>
    </cacheField>
  </cacheFields>
  <extLst>
    <ext xmlns:x14="http://schemas.microsoft.com/office/spreadsheetml/2009/9/main" uri="{725AE2AE-9491-48be-B2B4-4EB974FC3084}">
      <x14:pivotCacheDefinition pivotCacheId="17701091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nati" refreshedDate="46076.680748495368" createdVersion="8" refreshedVersion="8" minRefreshableVersion="3" recordCount="350" xr:uid="{70FA719A-DDD4-400E-B624-885865D01171}">
  <cacheSource type="worksheet">
    <worksheetSource ref="A1:N351" sheet="Cafe_Sales_Data"/>
  </cacheSource>
  <cacheFields count="15">
    <cacheField name="Bill_ID" numFmtId="0">
      <sharedItems/>
    </cacheField>
    <cacheField name="Customer_ID" numFmtId="0">
      <sharedItems/>
    </cacheField>
    <cacheField name="Order_Date" numFmtId="14">
      <sharedItems containsSemiMixedTypes="0" containsNonDate="0" containsDate="1" containsString="0" minDate="2023-01-01T00:00:00" maxDate="2025-12-31T00:00:00"/>
    </cacheField>
    <cacheField name="City" numFmtId="0">
      <sharedItems/>
    </cacheField>
    <cacheField name="Item_Category" numFmtId="0">
      <sharedItems count="3">
        <s v="Desserts"/>
        <s v="Snacks"/>
        <s v="Beverages"/>
      </sharedItems>
    </cacheField>
    <cacheField name="Item_Name"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80" maxValue="450"/>
    </cacheField>
    <cacheField name="Discount" numFmtId="0">
      <sharedItems containsSemiMixedTypes="0" containsString="0" containsNumber="1" minValue="0" maxValue="0.15"/>
    </cacheField>
    <cacheField name="Total_Sales" numFmtId="0">
      <sharedItems containsSemiMixedTypes="0" containsString="0" containsNumber="1" minValue="73.8" maxValue="1792"/>
    </cacheField>
    <cacheField name="Profit" numFmtId="0">
      <sharedItems containsSemiMixedTypes="0" containsString="0" containsNumber="1" minValue="18.45" maxValue="537.6"/>
    </cacheField>
    <cacheField name="Payment_Mode" numFmtId="0">
      <sharedItems/>
    </cacheField>
    <cacheField name="Order_Type" numFmtId="0">
      <sharedItems/>
    </cacheField>
    <cacheField name="Customer Status" numFmtId="0">
      <sharedItems/>
    </cacheField>
    <cacheField name="Year" numFmtId="0">
      <sharedItems count="3">
        <s v="2024"/>
        <s v="2025"/>
        <s v="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CB0001"/>
    <x v="0"/>
    <d v="2024-05-10T00:00:00"/>
    <x v="0"/>
    <x v="0"/>
    <x v="0"/>
    <s v="Cake"/>
    <n v="2"/>
    <n v="272"/>
    <n v="0"/>
    <n v="544"/>
    <n v="108.8"/>
    <s v="Card"/>
    <x v="0"/>
    <x v="0"/>
  </r>
  <r>
    <s v="CB0002"/>
    <x v="1"/>
    <d v="2024-10-14T00:00:00"/>
    <x v="0"/>
    <x v="1"/>
    <x v="1"/>
    <s v="Fries"/>
    <n v="2"/>
    <n v="270"/>
    <n v="0"/>
    <n v="540"/>
    <n v="162"/>
    <s v="UPI"/>
    <x v="1"/>
    <x v="1"/>
  </r>
  <r>
    <s v="CB0003"/>
    <x v="2"/>
    <d v="2025-11-25T00:00:00"/>
    <x v="1"/>
    <x v="1"/>
    <x v="1"/>
    <s v="Burger"/>
    <n v="1"/>
    <n v="226"/>
    <n v="0.15"/>
    <n v="192.1"/>
    <n v="57.63"/>
    <s v="Card"/>
    <x v="1"/>
    <x v="0"/>
  </r>
  <r>
    <s v="CB0004"/>
    <x v="3"/>
    <d v="2023-12-09T00:00:00"/>
    <x v="2"/>
    <x v="0"/>
    <x v="2"/>
    <s v="Tea"/>
    <n v="2"/>
    <n v="349"/>
    <n v="0.1"/>
    <n v="628.20000000000005"/>
    <n v="157.05000000000001"/>
    <s v="Card"/>
    <x v="0"/>
    <x v="0"/>
  </r>
  <r>
    <s v="CB0005"/>
    <x v="4"/>
    <d v="2023-01-27T00:00:00"/>
    <x v="2"/>
    <x v="2"/>
    <x v="2"/>
    <s v="Cold Coffee"/>
    <n v="3"/>
    <n v="231"/>
    <n v="0.05"/>
    <n v="658.35"/>
    <n v="164.59"/>
    <s v="Cash"/>
    <x v="0"/>
    <x v="1"/>
  </r>
  <r>
    <s v="CB0006"/>
    <x v="5"/>
    <d v="2023-10-11T00:00:00"/>
    <x v="2"/>
    <x v="1"/>
    <x v="2"/>
    <s v="Cold Coffee"/>
    <n v="1"/>
    <n v="292"/>
    <n v="0.1"/>
    <n v="262.8"/>
    <n v="52.56"/>
    <s v="UPI"/>
    <x v="1"/>
    <x v="1"/>
  </r>
  <r>
    <s v="CB0007"/>
    <x v="6"/>
    <d v="2025-07-12T00:00:00"/>
    <x v="1"/>
    <x v="3"/>
    <x v="2"/>
    <s v="Coffee"/>
    <n v="3"/>
    <n v="361"/>
    <n v="0.15"/>
    <n v="920.55"/>
    <n v="230.14"/>
    <s v="UPI"/>
    <x v="1"/>
    <x v="1"/>
  </r>
  <r>
    <s v="CB0008"/>
    <x v="7"/>
    <d v="2024-03-16T00:00:00"/>
    <x v="0"/>
    <x v="0"/>
    <x v="0"/>
    <s v="Brownie"/>
    <n v="2"/>
    <n v="111"/>
    <n v="0"/>
    <n v="222"/>
    <n v="66.599999999999994"/>
    <s v="Card"/>
    <x v="1"/>
    <x v="0"/>
  </r>
  <r>
    <s v="CB0009"/>
    <x v="8"/>
    <d v="2023-08-19T00:00:00"/>
    <x v="2"/>
    <x v="0"/>
    <x v="1"/>
    <s v="Puff"/>
    <n v="1"/>
    <n v="325"/>
    <n v="0.05"/>
    <n v="308.75"/>
    <n v="77.19"/>
    <s v="Card"/>
    <x v="0"/>
    <x v="0"/>
  </r>
  <r>
    <s v="CB0010"/>
    <x v="9"/>
    <d v="2024-06-17T00:00:00"/>
    <x v="0"/>
    <x v="1"/>
    <x v="2"/>
    <s v="Tea"/>
    <n v="3"/>
    <n v="274"/>
    <n v="0.1"/>
    <n v="739.8"/>
    <n v="147.96"/>
    <s v="UPI"/>
    <x v="0"/>
    <x v="0"/>
  </r>
  <r>
    <s v="CB0011"/>
    <x v="10"/>
    <d v="2023-03-05T00:00:00"/>
    <x v="2"/>
    <x v="1"/>
    <x v="2"/>
    <s v="Tea"/>
    <n v="1"/>
    <n v="177"/>
    <n v="0.05"/>
    <n v="168.15"/>
    <n v="50.45"/>
    <s v="Card"/>
    <x v="1"/>
    <x v="0"/>
  </r>
  <r>
    <s v="CB0012"/>
    <x v="11"/>
    <d v="2023-12-05T00:00:00"/>
    <x v="2"/>
    <x v="2"/>
    <x v="2"/>
    <s v="Tea"/>
    <n v="3"/>
    <n v="299"/>
    <n v="0.15"/>
    <n v="762.45"/>
    <n v="228.73"/>
    <s v="UPI"/>
    <x v="1"/>
    <x v="0"/>
  </r>
  <r>
    <s v="CB0013"/>
    <x v="0"/>
    <d v="2023-06-09T00:00:00"/>
    <x v="2"/>
    <x v="2"/>
    <x v="0"/>
    <s v="Muffin"/>
    <n v="1"/>
    <n v="327"/>
    <n v="0.1"/>
    <n v="294.3"/>
    <n v="88.29"/>
    <s v="UPI"/>
    <x v="1"/>
    <x v="0"/>
  </r>
  <r>
    <s v="CB0014"/>
    <x v="12"/>
    <d v="2023-12-08T00:00:00"/>
    <x v="2"/>
    <x v="3"/>
    <x v="1"/>
    <s v="Fries"/>
    <n v="3"/>
    <n v="100"/>
    <n v="0.05"/>
    <n v="285"/>
    <n v="71.25"/>
    <s v="Cash"/>
    <x v="1"/>
    <x v="1"/>
  </r>
  <r>
    <s v="CB0015"/>
    <x v="13"/>
    <d v="2023-09-15T00:00:00"/>
    <x v="2"/>
    <x v="4"/>
    <x v="0"/>
    <s v="Muffin"/>
    <n v="4"/>
    <n v="239"/>
    <n v="0"/>
    <n v="956"/>
    <n v="191.2"/>
    <s v="Card"/>
    <x v="1"/>
    <x v="1"/>
  </r>
  <r>
    <s v="CB0016"/>
    <x v="14"/>
    <d v="2024-01-07T00:00:00"/>
    <x v="0"/>
    <x v="4"/>
    <x v="2"/>
    <s v="Cappuccino"/>
    <n v="3"/>
    <n v="262"/>
    <n v="0"/>
    <n v="786"/>
    <n v="196.5"/>
    <s v="Card"/>
    <x v="0"/>
    <x v="1"/>
  </r>
  <r>
    <s v="CB0017"/>
    <x v="15"/>
    <d v="2023-07-20T00:00:00"/>
    <x v="2"/>
    <x v="2"/>
    <x v="2"/>
    <s v="Cappuccino"/>
    <n v="1"/>
    <n v="316"/>
    <n v="0.1"/>
    <n v="284.39999999999998"/>
    <n v="85.32"/>
    <s v="Card"/>
    <x v="1"/>
    <x v="0"/>
  </r>
  <r>
    <s v="CB0018"/>
    <x v="16"/>
    <d v="2025-08-01T00:00:00"/>
    <x v="1"/>
    <x v="0"/>
    <x v="2"/>
    <s v="Latte"/>
    <n v="3"/>
    <n v="380"/>
    <n v="0.1"/>
    <n v="1026"/>
    <n v="307.8"/>
    <s v="UPI"/>
    <x v="1"/>
    <x v="0"/>
  </r>
  <r>
    <s v="CB0019"/>
    <x v="17"/>
    <d v="2024-07-20T00:00:00"/>
    <x v="0"/>
    <x v="3"/>
    <x v="0"/>
    <s v="Cake"/>
    <n v="1"/>
    <n v="201"/>
    <n v="0.15"/>
    <n v="170.85"/>
    <n v="42.71"/>
    <s v="Card"/>
    <x v="1"/>
    <x v="0"/>
  </r>
  <r>
    <s v="CB0020"/>
    <x v="18"/>
    <d v="2024-06-19T00:00:00"/>
    <x v="0"/>
    <x v="3"/>
    <x v="1"/>
    <s v="Burger"/>
    <n v="4"/>
    <n v="170"/>
    <n v="0.15"/>
    <n v="578"/>
    <n v="173.4"/>
    <s v="Cash"/>
    <x v="0"/>
    <x v="0"/>
  </r>
  <r>
    <s v="CB0021"/>
    <x v="19"/>
    <d v="2025-09-08T00:00:00"/>
    <x v="1"/>
    <x v="2"/>
    <x v="0"/>
    <s v="Ice Cream"/>
    <n v="3"/>
    <n v="142"/>
    <n v="0.15"/>
    <n v="362.1"/>
    <n v="72.42"/>
    <s v="Cash"/>
    <x v="1"/>
    <x v="0"/>
  </r>
  <r>
    <s v="CB0022"/>
    <x v="20"/>
    <d v="2023-12-02T00:00:00"/>
    <x v="2"/>
    <x v="4"/>
    <x v="2"/>
    <s v="Tea"/>
    <n v="1"/>
    <n v="433"/>
    <n v="0"/>
    <n v="433"/>
    <n v="86.6"/>
    <s v="UPI"/>
    <x v="1"/>
    <x v="1"/>
  </r>
  <r>
    <s v="CB0023"/>
    <x v="21"/>
    <d v="2024-10-28T00:00:00"/>
    <x v="0"/>
    <x v="3"/>
    <x v="2"/>
    <s v="Cold Coffee"/>
    <n v="2"/>
    <n v="362"/>
    <n v="0.1"/>
    <n v="651.6"/>
    <n v="162.9"/>
    <s v="Cash"/>
    <x v="0"/>
    <x v="1"/>
  </r>
  <r>
    <s v="CB0024"/>
    <x v="22"/>
    <d v="2025-10-12T00:00:00"/>
    <x v="1"/>
    <x v="1"/>
    <x v="1"/>
    <s v="Fries"/>
    <n v="2"/>
    <n v="239"/>
    <n v="0"/>
    <n v="478"/>
    <n v="95.6"/>
    <s v="UPI"/>
    <x v="0"/>
    <x v="1"/>
  </r>
  <r>
    <s v="CB0025"/>
    <x v="23"/>
    <d v="2023-05-16T00:00:00"/>
    <x v="2"/>
    <x v="4"/>
    <x v="0"/>
    <s v="Ice Cream"/>
    <n v="4"/>
    <n v="331"/>
    <n v="0.1"/>
    <n v="1191.5999999999999"/>
    <n v="297.89999999999998"/>
    <s v="Cash"/>
    <x v="1"/>
    <x v="0"/>
  </r>
  <r>
    <s v="CB0026"/>
    <x v="24"/>
    <d v="2024-03-05T00:00:00"/>
    <x v="0"/>
    <x v="2"/>
    <x v="0"/>
    <s v="Muffin"/>
    <n v="1"/>
    <n v="157"/>
    <n v="0.15"/>
    <n v="133.44999999999999"/>
    <n v="26.69"/>
    <s v="Card"/>
    <x v="0"/>
    <x v="0"/>
  </r>
  <r>
    <s v="CB0027"/>
    <x v="7"/>
    <d v="2024-10-08T00:00:00"/>
    <x v="0"/>
    <x v="2"/>
    <x v="0"/>
    <s v="Brownie"/>
    <n v="2"/>
    <n v="280"/>
    <n v="0.05"/>
    <n v="532"/>
    <n v="159.6"/>
    <s v="Cash"/>
    <x v="0"/>
    <x v="0"/>
  </r>
  <r>
    <s v="CB0028"/>
    <x v="25"/>
    <d v="2023-02-08T00:00:00"/>
    <x v="2"/>
    <x v="0"/>
    <x v="0"/>
    <s v="Cake"/>
    <n v="1"/>
    <n v="104"/>
    <n v="0.15"/>
    <n v="88.4"/>
    <n v="26.52"/>
    <s v="Cash"/>
    <x v="1"/>
    <x v="0"/>
  </r>
  <r>
    <s v="CB0029"/>
    <x v="26"/>
    <d v="2024-01-31T00:00:00"/>
    <x v="0"/>
    <x v="2"/>
    <x v="1"/>
    <s v="Burger"/>
    <n v="4"/>
    <n v="278"/>
    <n v="0.15"/>
    <n v="945.2"/>
    <n v="189.04"/>
    <s v="UPI"/>
    <x v="0"/>
    <x v="0"/>
  </r>
  <r>
    <s v="CB0030"/>
    <x v="27"/>
    <d v="2023-11-13T00:00:00"/>
    <x v="2"/>
    <x v="3"/>
    <x v="1"/>
    <s v="Fries"/>
    <n v="4"/>
    <n v="147"/>
    <n v="0.15"/>
    <n v="499.8"/>
    <n v="124.95"/>
    <s v="Cash"/>
    <x v="0"/>
    <x v="0"/>
  </r>
  <r>
    <s v="CB0031"/>
    <x v="28"/>
    <d v="2023-04-06T00:00:00"/>
    <x v="2"/>
    <x v="4"/>
    <x v="2"/>
    <s v="Cappuccino"/>
    <n v="3"/>
    <n v="330"/>
    <n v="0.15"/>
    <n v="841.5"/>
    <n v="210.38"/>
    <s v="Card"/>
    <x v="0"/>
    <x v="0"/>
  </r>
  <r>
    <s v="CB0032"/>
    <x v="29"/>
    <d v="2023-08-04T00:00:00"/>
    <x v="2"/>
    <x v="0"/>
    <x v="0"/>
    <s v="Muffin"/>
    <n v="2"/>
    <n v="332"/>
    <n v="0.15"/>
    <n v="564.4"/>
    <n v="141.1"/>
    <s v="Card"/>
    <x v="0"/>
    <x v="1"/>
  </r>
  <r>
    <s v="CB0033"/>
    <x v="30"/>
    <d v="2023-10-11T00:00:00"/>
    <x v="2"/>
    <x v="3"/>
    <x v="0"/>
    <s v="Muffin"/>
    <n v="1"/>
    <n v="250"/>
    <n v="0"/>
    <n v="250"/>
    <n v="75"/>
    <s v="Card"/>
    <x v="0"/>
    <x v="0"/>
  </r>
  <r>
    <s v="CB0034"/>
    <x v="31"/>
    <d v="2023-12-06T00:00:00"/>
    <x v="2"/>
    <x v="1"/>
    <x v="2"/>
    <s v="Cold Coffee"/>
    <n v="3"/>
    <n v="332"/>
    <n v="0.15"/>
    <n v="846.6"/>
    <n v="169.32"/>
    <s v="UPI"/>
    <x v="0"/>
    <x v="1"/>
  </r>
  <r>
    <s v="CB0035"/>
    <x v="32"/>
    <d v="2025-03-25T00:00:00"/>
    <x v="1"/>
    <x v="2"/>
    <x v="0"/>
    <s v="Brownie"/>
    <n v="2"/>
    <n v="328"/>
    <n v="0.1"/>
    <n v="590.4"/>
    <n v="177.12"/>
    <s v="Card"/>
    <x v="1"/>
    <x v="0"/>
  </r>
  <r>
    <s v="CB0036"/>
    <x v="33"/>
    <d v="2025-02-23T00:00:00"/>
    <x v="1"/>
    <x v="2"/>
    <x v="1"/>
    <s v="Sandwich"/>
    <n v="1"/>
    <n v="231"/>
    <n v="0"/>
    <n v="231"/>
    <n v="57.75"/>
    <s v="UPI"/>
    <x v="1"/>
    <x v="0"/>
  </r>
  <r>
    <s v="CB0037"/>
    <x v="2"/>
    <d v="2025-05-17T00:00:00"/>
    <x v="1"/>
    <x v="3"/>
    <x v="0"/>
    <s v="Brownie"/>
    <n v="3"/>
    <n v="285"/>
    <n v="0.15"/>
    <n v="726.75"/>
    <n v="145.35"/>
    <s v="Cash"/>
    <x v="0"/>
    <x v="0"/>
  </r>
  <r>
    <s v="CB0038"/>
    <x v="34"/>
    <d v="2024-03-18T00:00:00"/>
    <x v="0"/>
    <x v="2"/>
    <x v="2"/>
    <s v="Cold Coffee"/>
    <n v="3"/>
    <n v="181"/>
    <n v="0.05"/>
    <n v="515.85"/>
    <n v="103.17"/>
    <s v="Card"/>
    <x v="0"/>
    <x v="0"/>
  </r>
  <r>
    <s v="CB0039"/>
    <x v="35"/>
    <d v="2024-07-26T00:00:00"/>
    <x v="0"/>
    <x v="4"/>
    <x v="1"/>
    <s v="Fries"/>
    <n v="2"/>
    <n v="290"/>
    <n v="0.05"/>
    <n v="551"/>
    <n v="165.3"/>
    <s v="Card"/>
    <x v="1"/>
    <x v="0"/>
  </r>
  <r>
    <s v="CB0040"/>
    <x v="36"/>
    <d v="2025-08-14T00:00:00"/>
    <x v="1"/>
    <x v="3"/>
    <x v="2"/>
    <s v="Cappuccino"/>
    <n v="4"/>
    <n v="285"/>
    <n v="0"/>
    <n v="1140"/>
    <n v="228"/>
    <s v="UPI"/>
    <x v="1"/>
    <x v="1"/>
  </r>
  <r>
    <s v="CB0041"/>
    <x v="37"/>
    <d v="2023-07-16T00:00:00"/>
    <x v="2"/>
    <x v="2"/>
    <x v="2"/>
    <s v="Cold Coffee"/>
    <n v="4"/>
    <n v="214"/>
    <n v="0"/>
    <n v="856"/>
    <n v="171.2"/>
    <s v="UPI"/>
    <x v="1"/>
    <x v="1"/>
  </r>
  <r>
    <s v="CB0042"/>
    <x v="38"/>
    <d v="2023-04-02T00:00:00"/>
    <x v="2"/>
    <x v="0"/>
    <x v="2"/>
    <s v="Cold Coffee"/>
    <n v="3"/>
    <n v="182"/>
    <n v="0.05"/>
    <n v="518.70000000000005"/>
    <n v="129.66999999999999"/>
    <s v="Cash"/>
    <x v="0"/>
    <x v="0"/>
  </r>
  <r>
    <s v="CB0043"/>
    <x v="39"/>
    <d v="2023-03-30T00:00:00"/>
    <x v="2"/>
    <x v="2"/>
    <x v="0"/>
    <s v="Ice Cream"/>
    <n v="3"/>
    <n v="106"/>
    <n v="0"/>
    <n v="318"/>
    <n v="63.6"/>
    <s v="Cash"/>
    <x v="1"/>
    <x v="0"/>
  </r>
  <r>
    <s v="CB0044"/>
    <x v="40"/>
    <d v="2024-04-14T00:00:00"/>
    <x v="0"/>
    <x v="3"/>
    <x v="0"/>
    <s v="Cake"/>
    <n v="2"/>
    <n v="248"/>
    <n v="0.1"/>
    <n v="446.4"/>
    <n v="111.6"/>
    <s v="Card"/>
    <x v="0"/>
    <x v="1"/>
  </r>
  <r>
    <s v="CB0045"/>
    <x v="41"/>
    <d v="2023-03-08T00:00:00"/>
    <x v="2"/>
    <x v="4"/>
    <x v="1"/>
    <s v="Sandwich"/>
    <n v="3"/>
    <n v="171"/>
    <n v="0"/>
    <n v="513"/>
    <n v="102.6"/>
    <s v="Card"/>
    <x v="0"/>
    <x v="1"/>
  </r>
  <r>
    <s v="CB0046"/>
    <x v="42"/>
    <d v="2025-07-16T00:00:00"/>
    <x v="1"/>
    <x v="0"/>
    <x v="1"/>
    <s v="Puff"/>
    <n v="3"/>
    <n v="262"/>
    <n v="0.1"/>
    <n v="707.4"/>
    <n v="176.85"/>
    <s v="UPI"/>
    <x v="1"/>
    <x v="0"/>
  </r>
  <r>
    <s v="CB0047"/>
    <x v="43"/>
    <d v="2025-04-23T00:00:00"/>
    <x v="1"/>
    <x v="0"/>
    <x v="1"/>
    <s v="Burger"/>
    <n v="4"/>
    <n v="217"/>
    <n v="0.05"/>
    <n v="824.6"/>
    <n v="164.92"/>
    <s v="Cash"/>
    <x v="1"/>
    <x v="1"/>
  </r>
  <r>
    <s v="CB0048"/>
    <x v="2"/>
    <d v="2025-05-19T00:00:00"/>
    <x v="1"/>
    <x v="4"/>
    <x v="0"/>
    <s v="Brownie"/>
    <n v="1"/>
    <n v="297"/>
    <n v="0"/>
    <n v="297"/>
    <n v="59.4"/>
    <s v="UPI"/>
    <x v="1"/>
    <x v="0"/>
  </r>
  <r>
    <s v="CB0049"/>
    <x v="44"/>
    <d v="2023-03-15T00:00:00"/>
    <x v="2"/>
    <x v="4"/>
    <x v="2"/>
    <s v="Latte"/>
    <n v="3"/>
    <n v="96"/>
    <n v="0.05"/>
    <n v="273.60000000000002"/>
    <n v="82.08"/>
    <s v="UPI"/>
    <x v="1"/>
    <x v="0"/>
  </r>
  <r>
    <s v="CB0050"/>
    <x v="45"/>
    <d v="2024-07-17T00:00:00"/>
    <x v="0"/>
    <x v="0"/>
    <x v="0"/>
    <s v="Brownie"/>
    <n v="4"/>
    <n v="228"/>
    <n v="0"/>
    <n v="912"/>
    <n v="228"/>
    <s v="Cash"/>
    <x v="1"/>
    <x v="0"/>
  </r>
  <r>
    <s v="CB0051"/>
    <x v="46"/>
    <d v="2024-06-17T00:00:00"/>
    <x v="0"/>
    <x v="3"/>
    <x v="0"/>
    <s v="Brownie"/>
    <n v="2"/>
    <n v="110"/>
    <n v="0.15"/>
    <n v="187"/>
    <n v="37.4"/>
    <s v="Card"/>
    <x v="0"/>
    <x v="0"/>
  </r>
  <r>
    <s v="CB0052"/>
    <x v="47"/>
    <d v="2023-01-22T00:00:00"/>
    <x v="2"/>
    <x v="3"/>
    <x v="1"/>
    <s v="Fries"/>
    <n v="1"/>
    <n v="412"/>
    <n v="0.1"/>
    <n v="370.8"/>
    <n v="92.7"/>
    <s v="Cash"/>
    <x v="1"/>
    <x v="0"/>
  </r>
  <r>
    <s v="CB0053"/>
    <x v="48"/>
    <d v="2023-02-19T00:00:00"/>
    <x v="2"/>
    <x v="1"/>
    <x v="0"/>
    <s v="Cake"/>
    <n v="4"/>
    <n v="108"/>
    <n v="0.15"/>
    <n v="367.2"/>
    <n v="73.44"/>
    <s v="UPI"/>
    <x v="1"/>
    <x v="1"/>
  </r>
  <r>
    <s v="CB0054"/>
    <x v="44"/>
    <d v="2025-02-03T00:00:00"/>
    <x v="1"/>
    <x v="2"/>
    <x v="1"/>
    <s v="Sandwich"/>
    <n v="1"/>
    <n v="180"/>
    <n v="0.05"/>
    <n v="171"/>
    <n v="42.75"/>
    <s v="Cash"/>
    <x v="1"/>
    <x v="0"/>
  </r>
  <r>
    <s v="CB0055"/>
    <x v="49"/>
    <d v="2025-04-10T00:00:00"/>
    <x v="1"/>
    <x v="4"/>
    <x v="1"/>
    <s v="Sandwich"/>
    <n v="2"/>
    <n v="165"/>
    <n v="0.1"/>
    <n v="297"/>
    <n v="74.25"/>
    <s v="UPI"/>
    <x v="0"/>
    <x v="0"/>
  </r>
  <r>
    <s v="CB0056"/>
    <x v="27"/>
    <d v="2025-06-24T00:00:00"/>
    <x v="1"/>
    <x v="4"/>
    <x v="1"/>
    <s v="Burger"/>
    <n v="1"/>
    <n v="82"/>
    <n v="0.1"/>
    <n v="73.8"/>
    <n v="18.45"/>
    <s v="Cash"/>
    <x v="0"/>
    <x v="0"/>
  </r>
  <r>
    <s v="CB0057"/>
    <x v="50"/>
    <d v="2024-06-12T00:00:00"/>
    <x v="0"/>
    <x v="2"/>
    <x v="2"/>
    <s v="Cold Coffee"/>
    <n v="1"/>
    <n v="107"/>
    <n v="0.1"/>
    <n v="96.3"/>
    <n v="24.07"/>
    <s v="UPI"/>
    <x v="0"/>
    <x v="1"/>
  </r>
  <r>
    <s v="CB0058"/>
    <x v="42"/>
    <d v="2025-04-03T00:00:00"/>
    <x v="1"/>
    <x v="4"/>
    <x v="2"/>
    <s v="Coffee"/>
    <n v="2"/>
    <n v="360"/>
    <n v="0.05"/>
    <n v="684"/>
    <n v="205.2"/>
    <s v="UPI"/>
    <x v="1"/>
    <x v="0"/>
  </r>
  <r>
    <s v="CB0059"/>
    <x v="51"/>
    <d v="2024-03-20T00:00:00"/>
    <x v="0"/>
    <x v="1"/>
    <x v="0"/>
    <s v="Ice Cream"/>
    <n v="2"/>
    <n v="356"/>
    <n v="0"/>
    <n v="712"/>
    <n v="178"/>
    <s v="Card"/>
    <x v="1"/>
    <x v="0"/>
  </r>
  <r>
    <s v="CB0060"/>
    <x v="52"/>
    <d v="2023-01-27T00:00:00"/>
    <x v="2"/>
    <x v="1"/>
    <x v="2"/>
    <s v="Coffee"/>
    <n v="3"/>
    <n v="338"/>
    <n v="0.05"/>
    <n v="963.3"/>
    <n v="240.82"/>
    <s v="UPI"/>
    <x v="0"/>
    <x v="0"/>
  </r>
  <r>
    <s v="CB0061"/>
    <x v="53"/>
    <d v="2025-10-17T00:00:00"/>
    <x v="1"/>
    <x v="1"/>
    <x v="0"/>
    <s v="Muffin"/>
    <n v="2"/>
    <n v="391"/>
    <n v="0.15"/>
    <n v="664.7"/>
    <n v="132.94"/>
    <s v="UPI"/>
    <x v="1"/>
    <x v="0"/>
  </r>
  <r>
    <s v="CB0062"/>
    <x v="33"/>
    <d v="2023-07-15T00:00:00"/>
    <x v="2"/>
    <x v="4"/>
    <x v="2"/>
    <s v="Cappuccino"/>
    <n v="4"/>
    <n v="421"/>
    <n v="0.05"/>
    <n v="1599.8"/>
    <n v="319.95999999999998"/>
    <s v="Card"/>
    <x v="1"/>
    <x v="0"/>
  </r>
  <r>
    <s v="CB0063"/>
    <x v="54"/>
    <d v="2023-04-30T00:00:00"/>
    <x v="2"/>
    <x v="2"/>
    <x v="2"/>
    <s v="Coffee"/>
    <n v="4"/>
    <n v="87"/>
    <n v="0.15"/>
    <n v="295.8"/>
    <n v="59.16"/>
    <s v="Cash"/>
    <x v="0"/>
    <x v="0"/>
  </r>
  <r>
    <s v="CB0064"/>
    <x v="19"/>
    <d v="2025-12-13T00:00:00"/>
    <x v="1"/>
    <x v="2"/>
    <x v="0"/>
    <s v="Ice Cream"/>
    <n v="4"/>
    <n v="226"/>
    <n v="0.15"/>
    <n v="768.4"/>
    <n v="230.52"/>
    <s v="Card"/>
    <x v="0"/>
    <x v="0"/>
  </r>
  <r>
    <s v="CB0065"/>
    <x v="55"/>
    <d v="2025-11-04T00:00:00"/>
    <x v="1"/>
    <x v="3"/>
    <x v="0"/>
    <s v="Muffin"/>
    <n v="4"/>
    <n v="165"/>
    <n v="0.15"/>
    <n v="561"/>
    <n v="112.2"/>
    <s v="Cash"/>
    <x v="0"/>
    <x v="1"/>
  </r>
  <r>
    <s v="CB0066"/>
    <x v="56"/>
    <d v="2025-01-23T00:00:00"/>
    <x v="1"/>
    <x v="3"/>
    <x v="1"/>
    <s v="Fries"/>
    <n v="2"/>
    <n v="420"/>
    <n v="0.05"/>
    <n v="798"/>
    <n v="159.6"/>
    <s v="Cash"/>
    <x v="1"/>
    <x v="0"/>
  </r>
  <r>
    <s v="CB0067"/>
    <x v="57"/>
    <d v="2023-07-15T00:00:00"/>
    <x v="2"/>
    <x v="1"/>
    <x v="2"/>
    <s v="Cold Coffee"/>
    <n v="4"/>
    <n v="222"/>
    <n v="0"/>
    <n v="888"/>
    <n v="266.39999999999998"/>
    <s v="UPI"/>
    <x v="1"/>
    <x v="0"/>
  </r>
  <r>
    <s v="CB0068"/>
    <x v="7"/>
    <d v="2023-07-16T00:00:00"/>
    <x v="2"/>
    <x v="4"/>
    <x v="0"/>
    <s v="Brownie"/>
    <n v="2"/>
    <n v="174"/>
    <n v="0"/>
    <n v="348"/>
    <n v="87"/>
    <s v="Cash"/>
    <x v="0"/>
    <x v="0"/>
  </r>
  <r>
    <s v="CB0069"/>
    <x v="58"/>
    <d v="2023-10-08T00:00:00"/>
    <x v="2"/>
    <x v="0"/>
    <x v="1"/>
    <s v="Puff"/>
    <n v="1"/>
    <n v="311"/>
    <n v="0"/>
    <n v="311"/>
    <n v="77.75"/>
    <s v="Card"/>
    <x v="1"/>
    <x v="0"/>
  </r>
  <r>
    <s v="CB0070"/>
    <x v="59"/>
    <d v="2025-08-31T00:00:00"/>
    <x v="1"/>
    <x v="2"/>
    <x v="2"/>
    <s v="Cold Coffee"/>
    <n v="1"/>
    <n v="384"/>
    <n v="0.15"/>
    <n v="326.39999999999998"/>
    <n v="65.28"/>
    <s v="Card"/>
    <x v="0"/>
    <x v="0"/>
  </r>
  <r>
    <s v="CB0071"/>
    <x v="60"/>
    <d v="2025-08-10T00:00:00"/>
    <x v="1"/>
    <x v="2"/>
    <x v="0"/>
    <s v="Cake"/>
    <n v="3"/>
    <n v="429"/>
    <n v="0.1"/>
    <n v="1158.3"/>
    <n v="347.49"/>
    <s v="UPI"/>
    <x v="0"/>
    <x v="0"/>
  </r>
  <r>
    <s v="CB0072"/>
    <x v="61"/>
    <d v="2023-09-23T00:00:00"/>
    <x v="2"/>
    <x v="3"/>
    <x v="2"/>
    <s v="Tea"/>
    <n v="3"/>
    <n v="415"/>
    <n v="0.1"/>
    <n v="1120.5"/>
    <n v="280.12"/>
    <s v="Cash"/>
    <x v="0"/>
    <x v="1"/>
  </r>
  <r>
    <s v="CB0073"/>
    <x v="33"/>
    <d v="2025-01-16T00:00:00"/>
    <x v="1"/>
    <x v="4"/>
    <x v="2"/>
    <s v="Coffee"/>
    <n v="3"/>
    <n v="369"/>
    <n v="0.05"/>
    <n v="1051.6500000000001"/>
    <n v="315.49"/>
    <s v="Cash"/>
    <x v="0"/>
    <x v="0"/>
  </r>
  <r>
    <s v="CB0074"/>
    <x v="62"/>
    <d v="2023-03-14T00:00:00"/>
    <x v="2"/>
    <x v="4"/>
    <x v="2"/>
    <s v="Cappuccino"/>
    <n v="2"/>
    <n v="336"/>
    <n v="0.15"/>
    <n v="571.20000000000005"/>
    <n v="142.80000000000001"/>
    <s v="UPI"/>
    <x v="1"/>
    <x v="0"/>
  </r>
  <r>
    <s v="CB0075"/>
    <x v="60"/>
    <d v="2023-09-27T00:00:00"/>
    <x v="2"/>
    <x v="1"/>
    <x v="2"/>
    <s v="Tea"/>
    <n v="4"/>
    <n v="332"/>
    <n v="0.1"/>
    <n v="1195.2"/>
    <n v="239.04"/>
    <s v="Cash"/>
    <x v="0"/>
    <x v="0"/>
  </r>
  <r>
    <s v="CB0076"/>
    <x v="63"/>
    <d v="2023-02-22T00:00:00"/>
    <x v="2"/>
    <x v="2"/>
    <x v="2"/>
    <s v="Tea"/>
    <n v="3"/>
    <n v="196"/>
    <n v="0"/>
    <n v="588"/>
    <n v="117.6"/>
    <s v="Cash"/>
    <x v="0"/>
    <x v="1"/>
  </r>
  <r>
    <s v="CB0077"/>
    <x v="44"/>
    <d v="2025-03-21T00:00:00"/>
    <x v="1"/>
    <x v="1"/>
    <x v="0"/>
    <s v="Ice Cream"/>
    <n v="2"/>
    <n v="103"/>
    <n v="0.15"/>
    <n v="175.1"/>
    <n v="52.53"/>
    <s v="UPI"/>
    <x v="1"/>
    <x v="0"/>
  </r>
  <r>
    <s v="CB0078"/>
    <x v="64"/>
    <d v="2025-03-01T00:00:00"/>
    <x v="1"/>
    <x v="2"/>
    <x v="1"/>
    <s v="Burger"/>
    <n v="1"/>
    <n v="391"/>
    <n v="0.15"/>
    <n v="332.35"/>
    <n v="99.7"/>
    <s v="Cash"/>
    <x v="1"/>
    <x v="1"/>
  </r>
  <r>
    <s v="CB0079"/>
    <x v="65"/>
    <d v="2025-08-27T00:00:00"/>
    <x v="1"/>
    <x v="3"/>
    <x v="0"/>
    <s v="Brownie"/>
    <n v="4"/>
    <n v="176"/>
    <n v="0.15"/>
    <n v="598.4"/>
    <n v="149.6"/>
    <s v="Card"/>
    <x v="0"/>
    <x v="0"/>
  </r>
  <r>
    <s v="CB0080"/>
    <x v="66"/>
    <d v="2023-01-21T00:00:00"/>
    <x v="2"/>
    <x v="1"/>
    <x v="2"/>
    <s v="Coffee"/>
    <n v="4"/>
    <n v="110"/>
    <n v="0.15"/>
    <n v="374"/>
    <n v="93.5"/>
    <s v="UPI"/>
    <x v="0"/>
    <x v="0"/>
  </r>
  <r>
    <s v="CB0081"/>
    <x v="67"/>
    <d v="2025-08-10T00:00:00"/>
    <x v="1"/>
    <x v="0"/>
    <x v="1"/>
    <s v="Burger"/>
    <n v="3"/>
    <n v="308"/>
    <n v="0.15"/>
    <n v="785.4"/>
    <n v="157.08000000000001"/>
    <s v="Cash"/>
    <x v="0"/>
    <x v="1"/>
  </r>
  <r>
    <s v="CB0082"/>
    <x v="68"/>
    <d v="2025-09-27T00:00:00"/>
    <x v="1"/>
    <x v="2"/>
    <x v="1"/>
    <s v="Sandwich"/>
    <n v="1"/>
    <n v="242"/>
    <n v="0.05"/>
    <n v="229.9"/>
    <n v="57.47"/>
    <s v="Card"/>
    <x v="0"/>
    <x v="0"/>
  </r>
  <r>
    <s v="CB0083"/>
    <x v="66"/>
    <d v="2024-04-04T00:00:00"/>
    <x v="0"/>
    <x v="4"/>
    <x v="2"/>
    <s v="Latte"/>
    <n v="3"/>
    <n v="209"/>
    <n v="0.15"/>
    <n v="532.95000000000005"/>
    <n v="133.24"/>
    <s v="Card"/>
    <x v="1"/>
    <x v="0"/>
  </r>
  <r>
    <s v="CB0084"/>
    <x v="69"/>
    <d v="2023-02-28T00:00:00"/>
    <x v="2"/>
    <x v="0"/>
    <x v="2"/>
    <s v="Cappuccino"/>
    <n v="3"/>
    <n v="303"/>
    <n v="0.1"/>
    <n v="818.1"/>
    <n v="204.53"/>
    <s v="Cash"/>
    <x v="1"/>
    <x v="0"/>
  </r>
  <r>
    <s v="CB0085"/>
    <x v="70"/>
    <d v="2024-12-13T00:00:00"/>
    <x v="0"/>
    <x v="0"/>
    <x v="0"/>
    <s v="Cake"/>
    <n v="4"/>
    <n v="257"/>
    <n v="0"/>
    <n v="1028"/>
    <n v="257"/>
    <s v="Cash"/>
    <x v="1"/>
    <x v="0"/>
  </r>
  <r>
    <s v="CB0086"/>
    <x v="71"/>
    <d v="2024-07-29T00:00:00"/>
    <x v="0"/>
    <x v="3"/>
    <x v="2"/>
    <s v="Coffee"/>
    <n v="1"/>
    <n v="401"/>
    <n v="0.15"/>
    <n v="340.85"/>
    <n v="68.17"/>
    <s v="Card"/>
    <x v="1"/>
    <x v="0"/>
  </r>
  <r>
    <s v="CB0087"/>
    <x v="72"/>
    <d v="2023-05-21T00:00:00"/>
    <x v="2"/>
    <x v="4"/>
    <x v="1"/>
    <s v="Fries"/>
    <n v="3"/>
    <n v="314"/>
    <n v="0.15"/>
    <n v="800.7"/>
    <n v="200.17"/>
    <s v="Card"/>
    <x v="1"/>
    <x v="0"/>
  </r>
  <r>
    <s v="CB0088"/>
    <x v="18"/>
    <d v="2023-04-19T00:00:00"/>
    <x v="2"/>
    <x v="4"/>
    <x v="1"/>
    <s v="Fries"/>
    <n v="4"/>
    <n v="85"/>
    <n v="0.15"/>
    <n v="289"/>
    <n v="57.8"/>
    <s v="Card"/>
    <x v="1"/>
    <x v="0"/>
  </r>
  <r>
    <s v="CB0089"/>
    <x v="53"/>
    <d v="2024-01-14T00:00:00"/>
    <x v="0"/>
    <x v="1"/>
    <x v="2"/>
    <s v="Cold Coffee"/>
    <n v="1"/>
    <n v="205"/>
    <n v="0"/>
    <n v="205"/>
    <n v="41"/>
    <s v="UPI"/>
    <x v="1"/>
    <x v="0"/>
  </r>
  <r>
    <s v="CB0090"/>
    <x v="47"/>
    <d v="2024-04-22T00:00:00"/>
    <x v="0"/>
    <x v="3"/>
    <x v="1"/>
    <s v="Sandwich"/>
    <n v="4"/>
    <n v="200"/>
    <n v="0.05"/>
    <n v="760"/>
    <n v="190"/>
    <s v="Cash"/>
    <x v="0"/>
    <x v="0"/>
  </r>
  <r>
    <s v="CB0091"/>
    <x v="16"/>
    <d v="2024-12-03T00:00:00"/>
    <x v="0"/>
    <x v="4"/>
    <x v="0"/>
    <s v="Ice Cream"/>
    <n v="3"/>
    <n v="316"/>
    <n v="0"/>
    <n v="948"/>
    <n v="284.39999999999998"/>
    <s v="Cash"/>
    <x v="0"/>
    <x v="0"/>
  </r>
  <r>
    <s v="CB0092"/>
    <x v="73"/>
    <d v="2023-01-06T00:00:00"/>
    <x v="2"/>
    <x v="2"/>
    <x v="1"/>
    <s v="Fries"/>
    <n v="2"/>
    <n v="164"/>
    <n v="0"/>
    <n v="328"/>
    <n v="65.599999999999994"/>
    <s v="UPI"/>
    <x v="1"/>
    <x v="0"/>
  </r>
  <r>
    <s v="CB0093"/>
    <x v="11"/>
    <d v="2025-03-15T00:00:00"/>
    <x v="1"/>
    <x v="3"/>
    <x v="1"/>
    <s v="Puff"/>
    <n v="3"/>
    <n v="437"/>
    <n v="0.15"/>
    <n v="1114.3499999999999"/>
    <n v="222.87"/>
    <s v="Card"/>
    <x v="0"/>
    <x v="0"/>
  </r>
  <r>
    <s v="CB0094"/>
    <x v="74"/>
    <d v="2024-11-14T00:00:00"/>
    <x v="0"/>
    <x v="2"/>
    <x v="1"/>
    <s v="Puff"/>
    <n v="4"/>
    <n v="84"/>
    <n v="0.05"/>
    <n v="319.2"/>
    <n v="79.8"/>
    <s v="Card"/>
    <x v="1"/>
    <x v="0"/>
  </r>
  <r>
    <s v="CB0095"/>
    <x v="75"/>
    <d v="2024-09-19T00:00:00"/>
    <x v="0"/>
    <x v="2"/>
    <x v="1"/>
    <s v="Sandwich"/>
    <n v="4"/>
    <n v="409"/>
    <n v="0"/>
    <n v="1636"/>
    <n v="409"/>
    <s v="UPI"/>
    <x v="0"/>
    <x v="0"/>
  </r>
  <r>
    <s v="CB0096"/>
    <x v="45"/>
    <d v="2025-01-28T00:00:00"/>
    <x v="1"/>
    <x v="3"/>
    <x v="2"/>
    <s v="Cappuccino"/>
    <n v="1"/>
    <n v="414"/>
    <n v="0"/>
    <n v="414"/>
    <n v="124.2"/>
    <s v="Card"/>
    <x v="1"/>
    <x v="0"/>
  </r>
  <r>
    <s v="CB0097"/>
    <x v="76"/>
    <d v="2023-09-25T00:00:00"/>
    <x v="2"/>
    <x v="1"/>
    <x v="2"/>
    <s v="Latte"/>
    <n v="4"/>
    <n v="341"/>
    <n v="0.15"/>
    <n v="1159.4000000000001"/>
    <n v="347.82"/>
    <s v="Card"/>
    <x v="1"/>
    <x v="0"/>
  </r>
  <r>
    <s v="CB0098"/>
    <x v="77"/>
    <d v="2025-03-23T00:00:00"/>
    <x v="1"/>
    <x v="2"/>
    <x v="1"/>
    <s v="Puff"/>
    <n v="3"/>
    <n v="421"/>
    <n v="0"/>
    <n v="1263"/>
    <n v="252.6"/>
    <s v="Card"/>
    <x v="1"/>
    <x v="0"/>
  </r>
  <r>
    <s v="CB0099"/>
    <x v="33"/>
    <d v="2023-10-23T00:00:00"/>
    <x v="2"/>
    <x v="0"/>
    <x v="1"/>
    <s v="Burger"/>
    <n v="3"/>
    <n v="174"/>
    <n v="0.1"/>
    <n v="469.8"/>
    <n v="93.96"/>
    <s v="Cash"/>
    <x v="1"/>
    <x v="0"/>
  </r>
  <r>
    <s v="CB0100"/>
    <x v="78"/>
    <d v="2024-12-13T00:00:00"/>
    <x v="0"/>
    <x v="4"/>
    <x v="2"/>
    <s v="Cappuccino"/>
    <n v="3"/>
    <n v="210"/>
    <n v="0.15"/>
    <n v="535.5"/>
    <n v="107.1"/>
    <s v="UPI"/>
    <x v="1"/>
    <x v="0"/>
  </r>
  <r>
    <s v="CB0101"/>
    <x v="66"/>
    <d v="2023-10-08T00:00:00"/>
    <x v="2"/>
    <x v="4"/>
    <x v="2"/>
    <s v="Tea"/>
    <n v="3"/>
    <n v="391"/>
    <n v="0.15"/>
    <n v="997.05"/>
    <n v="249.26"/>
    <s v="Card"/>
    <x v="0"/>
    <x v="0"/>
  </r>
  <r>
    <s v="CB0102"/>
    <x v="79"/>
    <d v="2025-06-08T00:00:00"/>
    <x v="1"/>
    <x v="4"/>
    <x v="1"/>
    <s v="Fries"/>
    <n v="3"/>
    <n v="259"/>
    <n v="0.1"/>
    <n v="699.3"/>
    <n v="174.83"/>
    <s v="Cash"/>
    <x v="0"/>
    <x v="0"/>
  </r>
  <r>
    <s v="CB0103"/>
    <x v="80"/>
    <d v="2024-08-01T00:00:00"/>
    <x v="0"/>
    <x v="2"/>
    <x v="0"/>
    <s v="Cake"/>
    <n v="1"/>
    <n v="222"/>
    <n v="0.15"/>
    <n v="188.7"/>
    <n v="37.74"/>
    <s v="Cash"/>
    <x v="0"/>
    <x v="1"/>
  </r>
  <r>
    <s v="CB0104"/>
    <x v="54"/>
    <d v="2025-02-19T00:00:00"/>
    <x v="1"/>
    <x v="1"/>
    <x v="0"/>
    <s v="Ice Cream"/>
    <n v="1"/>
    <n v="450"/>
    <n v="0.05"/>
    <n v="427.5"/>
    <n v="85.5"/>
    <s v="UPI"/>
    <x v="1"/>
    <x v="0"/>
  </r>
  <r>
    <s v="CB0105"/>
    <x v="72"/>
    <d v="2023-03-16T00:00:00"/>
    <x v="2"/>
    <x v="1"/>
    <x v="1"/>
    <s v="Burger"/>
    <n v="3"/>
    <n v="412"/>
    <n v="0.15"/>
    <n v="1050.5999999999999"/>
    <n v="262.64999999999998"/>
    <s v="Card"/>
    <x v="0"/>
    <x v="0"/>
  </r>
  <r>
    <s v="CB0106"/>
    <x v="81"/>
    <d v="2023-03-08T00:00:00"/>
    <x v="2"/>
    <x v="2"/>
    <x v="1"/>
    <s v="Burger"/>
    <n v="2"/>
    <n v="227"/>
    <n v="0"/>
    <n v="454"/>
    <n v="90.8"/>
    <s v="Cash"/>
    <x v="0"/>
    <x v="1"/>
  </r>
  <r>
    <s v="CB0107"/>
    <x v="11"/>
    <d v="2024-04-23T00:00:00"/>
    <x v="0"/>
    <x v="4"/>
    <x v="0"/>
    <s v="Ice Cream"/>
    <n v="3"/>
    <n v="354"/>
    <n v="0.05"/>
    <n v="1008.9"/>
    <n v="302.67"/>
    <s v="UPI"/>
    <x v="0"/>
    <x v="0"/>
  </r>
  <r>
    <s v="CB0108"/>
    <x v="7"/>
    <d v="2023-11-09T00:00:00"/>
    <x v="2"/>
    <x v="1"/>
    <x v="2"/>
    <s v="Coffee"/>
    <n v="4"/>
    <n v="417"/>
    <n v="0.05"/>
    <n v="1584.6"/>
    <n v="396.15"/>
    <s v="Card"/>
    <x v="1"/>
    <x v="0"/>
  </r>
  <r>
    <s v="CB0109"/>
    <x v="51"/>
    <d v="2024-08-27T00:00:00"/>
    <x v="0"/>
    <x v="3"/>
    <x v="0"/>
    <s v="Cake"/>
    <n v="2"/>
    <n v="347"/>
    <n v="0.15"/>
    <n v="589.9"/>
    <n v="176.97"/>
    <s v="Cash"/>
    <x v="0"/>
    <x v="0"/>
  </r>
  <r>
    <s v="CB0110"/>
    <x v="77"/>
    <d v="2024-01-29T00:00:00"/>
    <x v="0"/>
    <x v="3"/>
    <x v="2"/>
    <s v="Coffee"/>
    <n v="2"/>
    <n v="105"/>
    <n v="0.05"/>
    <n v="199.5"/>
    <n v="59.85"/>
    <s v="Cash"/>
    <x v="0"/>
    <x v="0"/>
  </r>
  <r>
    <s v="CB0111"/>
    <x v="66"/>
    <d v="2025-05-10T00:00:00"/>
    <x v="1"/>
    <x v="3"/>
    <x v="0"/>
    <s v="Cake"/>
    <n v="2"/>
    <n v="419"/>
    <n v="0.15"/>
    <n v="712.3"/>
    <n v="142.46"/>
    <s v="Card"/>
    <x v="1"/>
    <x v="0"/>
  </r>
  <r>
    <s v="CB0112"/>
    <x v="82"/>
    <d v="2023-09-25T00:00:00"/>
    <x v="2"/>
    <x v="4"/>
    <x v="2"/>
    <s v="Cappuccino"/>
    <n v="4"/>
    <n v="119"/>
    <n v="0.05"/>
    <n v="452.2"/>
    <n v="113.05"/>
    <s v="Cash"/>
    <x v="0"/>
    <x v="0"/>
  </r>
  <r>
    <s v="CB0113"/>
    <x v="83"/>
    <d v="2025-05-11T00:00:00"/>
    <x v="1"/>
    <x v="4"/>
    <x v="1"/>
    <s v="Burger"/>
    <n v="1"/>
    <n v="388"/>
    <n v="0.15"/>
    <n v="329.8"/>
    <n v="65.959999999999994"/>
    <s v="UPI"/>
    <x v="1"/>
    <x v="0"/>
  </r>
  <r>
    <s v="CB0114"/>
    <x v="84"/>
    <d v="2024-09-06T00:00:00"/>
    <x v="0"/>
    <x v="1"/>
    <x v="1"/>
    <s v="Puff"/>
    <n v="3"/>
    <n v="307"/>
    <n v="0.1"/>
    <n v="828.9"/>
    <n v="207.22"/>
    <s v="Cash"/>
    <x v="0"/>
    <x v="0"/>
  </r>
  <r>
    <s v="CB0115"/>
    <x v="39"/>
    <d v="2025-09-16T00:00:00"/>
    <x v="1"/>
    <x v="3"/>
    <x v="2"/>
    <s v="Cappuccino"/>
    <n v="3"/>
    <n v="382"/>
    <n v="0.1"/>
    <n v="1031.4000000000001"/>
    <n v="206.28"/>
    <s v="Cash"/>
    <x v="0"/>
    <x v="0"/>
  </r>
  <r>
    <s v="CB0116"/>
    <x v="58"/>
    <d v="2024-02-01T00:00:00"/>
    <x v="0"/>
    <x v="2"/>
    <x v="1"/>
    <s v="Puff"/>
    <n v="3"/>
    <n v="416"/>
    <n v="0"/>
    <n v="1248"/>
    <n v="249.6"/>
    <s v="Cash"/>
    <x v="0"/>
    <x v="0"/>
  </r>
  <r>
    <s v="CB0117"/>
    <x v="85"/>
    <d v="2024-09-12T00:00:00"/>
    <x v="0"/>
    <x v="3"/>
    <x v="0"/>
    <s v="Brownie"/>
    <n v="3"/>
    <n v="446"/>
    <n v="0.05"/>
    <n v="1271.0999999999999"/>
    <n v="381.33"/>
    <s v="Cash"/>
    <x v="0"/>
    <x v="0"/>
  </r>
  <r>
    <s v="CB0118"/>
    <x v="86"/>
    <d v="2023-03-09T00:00:00"/>
    <x v="2"/>
    <x v="0"/>
    <x v="2"/>
    <s v="Coffee"/>
    <n v="2"/>
    <n v="400"/>
    <n v="0"/>
    <n v="800"/>
    <n v="160"/>
    <s v="UPI"/>
    <x v="1"/>
    <x v="0"/>
  </r>
  <r>
    <s v="CB0119"/>
    <x v="3"/>
    <d v="2023-09-06T00:00:00"/>
    <x v="2"/>
    <x v="3"/>
    <x v="1"/>
    <s v="Puff"/>
    <n v="2"/>
    <n v="434"/>
    <n v="0.05"/>
    <n v="824.6"/>
    <n v="164.92"/>
    <s v="Card"/>
    <x v="0"/>
    <x v="0"/>
  </r>
  <r>
    <s v="CB0120"/>
    <x v="57"/>
    <d v="2024-02-01T00:00:00"/>
    <x v="0"/>
    <x v="0"/>
    <x v="1"/>
    <s v="Fries"/>
    <n v="4"/>
    <n v="170"/>
    <n v="0.1"/>
    <n v="612"/>
    <n v="183.6"/>
    <s v="Cash"/>
    <x v="0"/>
    <x v="0"/>
  </r>
  <r>
    <s v="CB0121"/>
    <x v="87"/>
    <d v="2025-03-09T00:00:00"/>
    <x v="1"/>
    <x v="0"/>
    <x v="1"/>
    <s v="Burger"/>
    <n v="1"/>
    <n v="275"/>
    <n v="0"/>
    <n v="275"/>
    <n v="82.5"/>
    <s v="Card"/>
    <x v="0"/>
    <x v="0"/>
  </r>
  <r>
    <s v="CB0122"/>
    <x v="88"/>
    <d v="2023-04-09T00:00:00"/>
    <x v="2"/>
    <x v="4"/>
    <x v="1"/>
    <s v="Sandwich"/>
    <n v="1"/>
    <n v="109"/>
    <n v="0.05"/>
    <n v="103.55"/>
    <n v="25.89"/>
    <s v="UPI"/>
    <x v="0"/>
    <x v="0"/>
  </r>
  <r>
    <s v="CB0123"/>
    <x v="68"/>
    <d v="2024-10-16T00:00:00"/>
    <x v="0"/>
    <x v="1"/>
    <x v="0"/>
    <s v="Ice Cream"/>
    <n v="3"/>
    <n v="91"/>
    <n v="0.15"/>
    <n v="232.05"/>
    <n v="69.61"/>
    <s v="Cash"/>
    <x v="0"/>
    <x v="0"/>
  </r>
  <r>
    <s v="CB0124"/>
    <x v="27"/>
    <d v="2025-02-26T00:00:00"/>
    <x v="1"/>
    <x v="0"/>
    <x v="0"/>
    <s v="Brownie"/>
    <n v="1"/>
    <n v="130"/>
    <n v="0.1"/>
    <n v="117"/>
    <n v="29.25"/>
    <s v="UPI"/>
    <x v="1"/>
    <x v="0"/>
  </r>
  <r>
    <s v="CB0125"/>
    <x v="86"/>
    <d v="2025-11-19T00:00:00"/>
    <x v="1"/>
    <x v="1"/>
    <x v="2"/>
    <s v="Latte"/>
    <n v="1"/>
    <n v="249"/>
    <n v="0.05"/>
    <n v="236.55"/>
    <n v="59.14"/>
    <s v="Card"/>
    <x v="0"/>
    <x v="0"/>
  </r>
  <r>
    <s v="CB0126"/>
    <x v="47"/>
    <d v="2024-11-14T00:00:00"/>
    <x v="0"/>
    <x v="3"/>
    <x v="0"/>
    <s v="Muffin"/>
    <n v="2"/>
    <n v="246"/>
    <n v="0.1"/>
    <n v="442.8"/>
    <n v="110.7"/>
    <s v="Card"/>
    <x v="1"/>
    <x v="0"/>
  </r>
  <r>
    <s v="CB0127"/>
    <x v="89"/>
    <d v="2024-08-28T00:00:00"/>
    <x v="0"/>
    <x v="2"/>
    <x v="1"/>
    <s v="Burger"/>
    <n v="1"/>
    <n v="285"/>
    <n v="0.1"/>
    <n v="256.5"/>
    <n v="64.12"/>
    <s v="UPI"/>
    <x v="0"/>
    <x v="0"/>
  </r>
  <r>
    <s v="CB0128"/>
    <x v="60"/>
    <d v="2025-05-28T00:00:00"/>
    <x v="1"/>
    <x v="0"/>
    <x v="0"/>
    <s v="Ice Cream"/>
    <n v="2"/>
    <n v="338"/>
    <n v="0.1"/>
    <n v="608.4"/>
    <n v="182.52"/>
    <s v="Cash"/>
    <x v="1"/>
    <x v="0"/>
  </r>
  <r>
    <s v="CB0129"/>
    <x v="28"/>
    <d v="2024-05-23T00:00:00"/>
    <x v="0"/>
    <x v="3"/>
    <x v="1"/>
    <s v="Sandwich"/>
    <n v="3"/>
    <n v="308"/>
    <n v="0.15"/>
    <n v="785.4"/>
    <n v="196.35"/>
    <s v="Card"/>
    <x v="0"/>
    <x v="0"/>
  </r>
  <r>
    <s v="CB0130"/>
    <x v="90"/>
    <d v="2025-05-22T00:00:00"/>
    <x v="1"/>
    <x v="2"/>
    <x v="1"/>
    <s v="Puff"/>
    <n v="3"/>
    <n v="423"/>
    <n v="0.15"/>
    <n v="1078.6500000000001"/>
    <n v="215.73"/>
    <s v="Cash"/>
    <x v="1"/>
    <x v="0"/>
  </r>
  <r>
    <s v="CB0131"/>
    <x v="91"/>
    <d v="2024-02-01T00:00:00"/>
    <x v="0"/>
    <x v="4"/>
    <x v="0"/>
    <s v="Ice Cream"/>
    <n v="2"/>
    <n v="204"/>
    <n v="0"/>
    <n v="408"/>
    <n v="81.599999999999994"/>
    <s v="UPI"/>
    <x v="1"/>
    <x v="1"/>
  </r>
  <r>
    <s v="CB0132"/>
    <x v="92"/>
    <d v="2023-11-09T00:00:00"/>
    <x v="2"/>
    <x v="1"/>
    <x v="1"/>
    <s v="Burger"/>
    <n v="1"/>
    <n v="222"/>
    <n v="0.1"/>
    <n v="199.8"/>
    <n v="49.95"/>
    <s v="Cash"/>
    <x v="0"/>
    <x v="0"/>
  </r>
  <r>
    <s v="CB0133"/>
    <x v="93"/>
    <d v="2025-10-10T00:00:00"/>
    <x v="1"/>
    <x v="3"/>
    <x v="2"/>
    <s v="Cappuccino"/>
    <n v="3"/>
    <n v="228"/>
    <n v="0"/>
    <n v="684"/>
    <n v="171"/>
    <s v="Cash"/>
    <x v="0"/>
    <x v="0"/>
  </r>
  <r>
    <s v="CB0134"/>
    <x v="77"/>
    <d v="2024-07-04T00:00:00"/>
    <x v="0"/>
    <x v="0"/>
    <x v="1"/>
    <s v="Sandwich"/>
    <n v="4"/>
    <n v="215"/>
    <n v="0.05"/>
    <n v="817"/>
    <n v="204.25"/>
    <s v="Card"/>
    <x v="0"/>
    <x v="0"/>
  </r>
  <r>
    <s v="CB0135"/>
    <x v="93"/>
    <d v="2025-11-07T00:00:00"/>
    <x v="1"/>
    <x v="3"/>
    <x v="1"/>
    <s v="Burger"/>
    <n v="3"/>
    <n v="392"/>
    <n v="0.05"/>
    <n v="1117.2"/>
    <n v="279.3"/>
    <s v="Card"/>
    <x v="0"/>
    <x v="0"/>
  </r>
  <r>
    <s v="CB0136"/>
    <x v="94"/>
    <d v="2023-01-01T00:00:00"/>
    <x v="2"/>
    <x v="3"/>
    <x v="0"/>
    <s v="Muffin"/>
    <n v="3"/>
    <n v="144"/>
    <n v="0.15"/>
    <n v="367.2"/>
    <n v="91.8"/>
    <s v="Cash"/>
    <x v="1"/>
    <x v="0"/>
  </r>
  <r>
    <s v="CB0137"/>
    <x v="8"/>
    <d v="2023-02-23T00:00:00"/>
    <x v="2"/>
    <x v="4"/>
    <x v="1"/>
    <s v="Fries"/>
    <n v="4"/>
    <n v="236"/>
    <n v="0.15"/>
    <n v="802.4"/>
    <n v="240.72"/>
    <s v="UPI"/>
    <x v="1"/>
    <x v="0"/>
  </r>
  <r>
    <s v="CB0138"/>
    <x v="66"/>
    <d v="2024-04-08T00:00:00"/>
    <x v="0"/>
    <x v="4"/>
    <x v="0"/>
    <s v="Brownie"/>
    <n v="2"/>
    <n v="380"/>
    <n v="0.1"/>
    <n v="684"/>
    <n v="205.2"/>
    <s v="UPI"/>
    <x v="1"/>
    <x v="0"/>
  </r>
  <r>
    <s v="CB0139"/>
    <x v="57"/>
    <d v="2024-04-19T00:00:00"/>
    <x v="0"/>
    <x v="0"/>
    <x v="0"/>
    <s v="Ice Cream"/>
    <n v="3"/>
    <n v="259"/>
    <n v="0.15"/>
    <n v="660.45"/>
    <n v="132.09"/>
    <s v="Cash"/>
    <x v="1"/>
    <x v="0"/>
  </r>
  <r>
    <s v="CB0140"/>
    <x v="95"/>
    <d v="2023-08-19T00:00:00"/>
    <x v="2"/>
    <x v="4"/>
    <x v="1"/>
    <s v="Burger"/>
    <n v="1"/>
    <n v="299"/>
    <n v="0"/>
    <n v="299"/>
    <n v="59.8"/>
    <s v="Cash"/>
    <x v="0"/>
    <x v="0"/>
  </r>
  <r>
    <s v="CB0141"/>
    <x v="96"/>
    <d v="2024-12-23T00:00:00"/>
    <x v="0"/>
    <x v="1"/>
    <x v="0"/>
    <s v="Brownie"/>
    <n v="4"/>
    <n v="308"/>
    <n v="0"/>
    <n v="1232"/>
    <n v="308"/>
    <s v="Cash"/>
    <x v="1"/>
    <x v="0"/>
  </r>
  <r>
    <s v="CB0142"/>
    <x v="85"/>
    <d v="2025-11-16T00:00:00"/>
    <x v="1"/>
    <x v="2"/>
    <x v="1"/>
    <s v="Fries"/>
    <n v="1"/>
    <n v="264"/>
    <n v="0.1"/>
    <n v="237.6"/>
    <n v="47.52"/>
    <s v="UPI"/>
    <x v="0"/>
    <x v="0"/>
  </r>
  <r>
    <s v="CB0143"/>
    <x v="97"/>
    <d v="2025-12-30T00:00:00"/>
    <x v="1"/>
    <x v="1"/>
    <x v="2"/>
    <s v="Coffee"/>
    <n v="4"/>
    <n v="433"/>
    <n v="0"/>
    <n v="1732"/>
    <n v="519.6"/>
    <s v="Cash"/>
    <x v="1"/>
    <x v="1"/>
  </r>
  <r>
    <s v="CB0144"/>
    <x v="16"/>
    <d v="2023-05-04T00:00:00"/>
    <x v="2"/>
    <x v="4"/>
    <x v="2"/>
    <s v="Cappuccino"/>
    <n v="3"/>
    <n v="436"/>
    <n v="0.05"/>
    <n v="1242.5999999999999"/>
    <n v="372.78"/>
    <s v="Card"/>
    <x v="1"/>
    <x v="0"/>
  </r>
  <r>
    <s v="CB0145"/>
    <x v="98"/>
    <d v="2023-02-24T00:00:00"/>
    <x v="2"/>
    <x v="1"/>
    <x v="1"/>
    <s v="Fries"/>
    <n v="2"/>
    <n v="124"/>
    <n v="0"/>
    <n v="248"/>
    <n v="49.6"/>
    <s v="Card"/>
    <x v="0"/>
    <x v="0"/>
  </r>
  <r>
    <s v="CB0146"/>
    <x v="95"/>
    <d v="2025-02-12T00:00:00"/>
    <x v="1"/>
    <x v="4"/>
    <x v="2"/>
    <s v="Cold Coffee"/>
    <n v="3"/>
    <n v="81"/>
    <n v="0.15"/>
    <n v="206.55"/>
    <n v="41.31"/>
    <s v="Card"/>
    <x v="1"/>
    <x v="0"/>
  </r>
  <r>
    <s v="CB0147"/>
    <x v="87"/>
    <d v="2025-09-03T00:00:00"/>
    <x v="1"/>
    <x v="2"/>
    <x v="1"/>
    <s v="Fries"/>
    <n v="4"/>
    <n v="366"/>
    <n v="0.1"/>
    <n v="1317.6"/>
    <n v="329.4"/>
    <s v="UPI"/>
    <x v="0"/>
    <x v="0"/>
  </r>
  <r>
    <s v="CB0148"/>
    <x v="8"/>
    <d v="2024-08-20T00:00:00"/>
    <x v="0"/>
    <x v="2"/>
    <x v="2"/>
    <s v="Coffee"/>
    <n v="1"/>
    <n v="209"/>
    <n v="0"/>
    <n v="209"/>
    <n v="52.25"/>
    <s v="Card"/>
    <x v="0"/>
    <x v="0"/>
  </r>
  <r>
    <s v="CB0149"/>
    <x v="99"/>
    <d v="2025-09-17T00:00:00"/>
    <x v="1"/>
    <x v="1"/>
    <x v="0"/>
    <s v="Brownie"/>
    <n v="3"/>
    <n v="357"/>
    <n v="0.1"/>
    <n v="963.9"/>
    <n v="240.97"/>
    <s v="Card"/>
    <x v="1"/>
    <x v="1"/>
  </r>
  <r>
    <s v="CB0150"/>
    <x v="100"/>
    <d v="2023-10-27T00:00:00"/>
    <x v="2"/>
    <x v="1"/>
    <x v="2"/>
    <s v="Cold Coffee"/>
    <n v="2"/>
    <n v="262"/>
    <n v="0.15"/>
    <n v="445.4"/>
    <n v="89.08"/>
    <s v="Cash"/>
    <x v="0"/>
    <x v="1"/>
  </r>
  <r>
    <s v="CB0151"/>
    <x v="95"/>
    <d v="2025-06-25T00:00:00"/>
    <x v="1"/>
    <x v="2"/>
    <x v="0"/>
    <s v="Muffin"/>
    <n v="4"/>
    <n v="221"/>
    <n v="0.15"/>
    <n v="751.4"/>
    <n v="225.42"/>
    <s v="UPI"/>
    <x v="0"/>
    <x v="0"/>
  </r>
  <r>
    <s v="CB0152"/>
    <x v="101"/>
    <d v="2023-10-30T00:00:00"/>
    <x v="2"/>
    <x v="3"/>
    <x v="1"/>
    <s v="Puff"/>
    <n v="2"/>
    <n v="352"/>
    <n v="0.05"/>
    <n v="668.8"/>
    <n v="167.2"/>
    <s v="UPI"/>
    <x v="0"/>
    <x v="0"/>
  </r>
  <r>
    <s v="CB0153"/>
    <x v="102"/>
    <d v="2023-09-04T00:00:00"/>
    <x v="2"/>
    <x v="0"/>
    <x v="2"/>
    <s v="Coffee"/>
    <n v="2"/>
    <n v="434"/>
    <n v="0"/>
    <n v="868"/>
    <n v="260.39999999999998"/>
    <s v="Cash"/>
    <x v="1"/>
    <x v="0"/>
  </r>
  <r>
    <s v="CB0154"/>
    <x v="103"/>
    <d v="2024-08-02T00:00:00"/>
    <x v="0"/>
    <x v="3"/>
    <x v="2"/>
    <s v="Cappuccino"/>
    <n v="3"/>
    <n v="152"/>
    <n v="0.05"/>
    <n v="433.2"/>
    <n v="86.64"/>
    <s v="Cash"/>
    <x v="0"/>
    <x v="0"/>
  </r>
  <r>
    <s v="CB0155"/>
    <x v="58"/>
    <d v="2025-02-10T00:00:00"/>
    <x v="1"/>
    <x v="1"/>
    <x v="2"/>
    <s v="Coffee"/>
    <n v="3"/>
    <n v="389"/>
    <n v="0.15"/>
    <n v="991.95"/>
    <n v="198.39"/>
    <s v="Card"/>
    <x v="1"/>
    <x v="0"/>
  </r>
  <r>
    <s v="CB0156"/>
    <x v="66"/>
    <d v="2023-05-08T00:00:00"/>
    <x v="2"/>
    <x v="0"/>
    <x v="2"/>
    <s v="Cold Coffee"/>
    <n v="1"/>
    <n v="214"/>
    <n v="0.15"/>
    <n v="181.9"/>
    <n v="54.57"/>
    <s v="UPI"/>
    <x v="0"/>
    <x v="0"/>
  </r>
  <r>
    <s v="CB0157"/>
    <x v="85"/>
    <d v="2023-05-17T00:00:00"/>
    <x v="2"/>
    <x v="1"/>
    <x v="2"/>
    <s v="Tea"/>
    <n v="3"/>
    <n v="122"/>
    <n v="0"/>
    <n v="366"/>
    <n v="109.8"/>
    <s v="Cash"/>
    <x v="1"/>
    <x v="0"/>
  </r>
  <r>
    <s v="CB0158"/>
    <x v="16"/>
    <d v="2023-11-30T00:00:00"/>
    <x v="2"/>
    <x v="4"/>
    <x v="1"/>
    <s v="Sandwich"/>
    <n v="2"/>
    <n v="450"/>
    <n v="0.15"/>
    <n v="765"/>
    <n v="153"/>
    <s v="Cash"/>
    <x v="0"/>
    <x v="0"/>
  </r>
  <r>
    <s v="CB0159"/>
    <x v="76"/>
    <d v="2024-05-02T00:00:00"/>
    <x v="0"/>
    <x v="4"/>
    <x v="2"/>
    <s v="Latte"/>
    <n v="2"/>
    <n v="223"/>
    <n v="0"/>
    <n v="446"/>
    <n v="133.80000000000001"/>
    <s v="Card"/>
    <x v="1"/>
    <x v="0"/>
  </r>
  <r>
    <s v="CB0160"/>
    <x v="71"/>
    <d v="2024-12-12T00:00:00"/>
    <x v="0"/>
    <x v="4"/>
    <x v="2"/>
    <s v="Cold Coffee"/>
    <n v="2"/>
    <n v="349"/>
    <n v="0.05"/>
    <n v="663.1"/>
    <n v="198.93"/>
    <s v="Card"/>
    <x v="1"/>
    <x v="0"/>
  </r>
  <r>
    <s v="CB0161"/>
    <x v="104"/>
    <d v="2025-02-01T00:00:00"/>
    <x v="1"/>
    <x v="4"/>
    <x v="2"/>
    <s v="Tea"/>
    <n v="3"/>
    <n v="85"/>
    <n v="0.05"/>
    <n v="242.25"/>
    <n v="72.67"/>
    <s v="Cash"/>
    <x v="0"/>
    <x v="0"/>
  </r>
  <r>
    <s v="CB0162"/>
    <x v="23"/>
    <d v="2023-12-08T00:00:00"/>
    <x v="2"/>
    <x v="0"/>
    <x v="0"/>
    <s v="Ice Cream"/>
    <n v="3"/>
    <n v="254"/>
    <n v="0.1"/>
    <n v="685.8"/>
    <n v="137.16"/>
    <s v="UPI"/>
    <x v="0"/>
    <x v="0"/>
  </r>
  <r>
    <s v="CB0163"/>
    <x v="56"/>
    <d v="2023-03-06T00:00:00"/>
    <x v="2"/>
    <x v="0"/>
    <x v="2"/>
    <s v="Coffee"/>
    <n v="2"/>
    <n v="155"/>
    <n v="0.1"/>
    <n v="279"/>
    <n v="55.8"/>
    <s v="Card"/>
    <x v="1"/>
    <x v="0"/>
  </r>
  <r>
    <s v="CB0164"/>
    <x v="32"/>
    <d v="2023-05-01T00:00:00"/>
    <x v="2"/>
    <x v="4"/>
    <x v="2"/>
    <s v="Tea"/>
    <n v="4"/>
    <n v="253"/>
    <n v="0"/>
    <n v="1012"/>
    <n v="202.4"/>
    <s v="UPI"/>
    <x v="1"/>
    <x v="0"/>
  </r>
  <r>
    <s v="CB0165"/>
    <x v="16"/>
    <d v="2025-10-29T00:00:00"/>
    <x v="1"/>
    <x v="1"/>
    <x v="2"/>
    <s v="Cold Coffee"/>
    <n v="3"/>
    <n v="117"/>
    <n v="0.05"/>
    <n v="333.45"/>
    <n v="66.69"/>
    <s v="Card"/>
    <x v="0"/>
    <x v="0"/>
  </r>
  <r>
    <s v="CB0166"/>
    <x v="105"/>
    <d v="2024-03-02T00:00:00"/>
    <x v="0"/>
    <x v="3"/>
    <x v="0"/>
    <s v="Brownie"/>
    <n v="3"/>
    <n v="170"/>
    <n v="0.1"/>
    <n v="459"/>
    <n v="137.69999999999999"/>
    <s v="UPI"/>
    <x v="1"/>
    <x v="1"/>
  </r>
  <r>
    <s v="CB0167"/>
    <x v="34"/>
    <d v="2025-07-01T00:00:00"/>
    <x v="1"/>
    <x v="0"/>
    <x v="1"/>
    <s v="Puff"/>
    <n v="1"/>
    <n v="167"/>
    <n v="0.1"/>
    <n v="150.30000000000001"/>
    <n v="37.58"/>
    <s v="Card"/>
    <x v="0"/>
    <x v="0"/>
  </r>
  <r>
    <s v="CB0168"/>
    <x v="106"/>
    <d v="2024-05-09T00:00:00"/>
    <x v="0"/>
    <x v="4"/>
    <x v="2"/>
    <s v="Cappuccino"/>
    <n v="4"/>
    <n v="281"/>
    <n v="0.1"/>
    <n v="1011.6"/>
    <n v="202.32"/>
    <s v="UPI"/>
    <x v="1"/>
    <x v="0"/>
  </r>
  <r>
    <s v="CB0169"/>
    <x v="35"/>
    <d v="2024-06-14T00:00:00"/>
    <x v="0"/>
    <x v="2"/>
    <x v="1"/>
    <s v="Fries"/>
    <n v="4"/>
    <n v="370"/>
    <n v="0.05"/>
    <n v="1406"/>
    <n v="351.5"/>
    <s v="Cash"/>
    <x v="1"/>
    <x v="0"/>
  </r>
  <r>
    <s v="CB0170"/>
    <x v="107"/>
    <d v="2025-06-02T00:00:00"/>
    <x v="1"/>
    <x v="1"/>
    <x v="1"/>
    <s v="Fries"/>
    <n v="4"/>
    <n v="227"/>
    <n v="0.05"/>
    <n v="862.6"/>
    <n v="215.65"/>
    <s v="UPI"/>
    <x v="1"/>
    <x v="0"/>
  </r>
  <r>
    <s v="CB0171"/>
    <x v="25"/>
    <d v="2024-12-11T00:00:00"/>
    <x v="0"/>
    <x v="2"/>
    <x v="0"/>
    <s v="Ice Cream"/>
    <n v="2"/>
    <n v="378"/>
    <n v="0.1"/>
    <n v="680.4"/>
    <n v="204.12"/>
    <s v="UPI"/>
    <x v="0"/>
    <x v="0"/>
  </r>
  <r>
    <s v="CB0172"/>
    <x v="92"/>
    <d v="2025-07-12T00:00:00"/>
    <x v="1"/>
    <x v="1"/>
    <x v="2"/>
    <s v="Tea"/>
    <n v="2"/>
    <n v="448"/>
    <n v="0.1"/>
    <n v="806.4"/>
    <n v="201.6"/>
    <s v="UPI"/>
    <x v="0"/>
    <x v="0"/>
  </r>
  <r>
    <s v="CB0173"/>
    <x v="108"/>
    <d v="2025-02-13T00:00:00"/>
    <x v="1"/>
    <x v="1"/>
    <x v="0"/>
    <s v="Muffin"/>
    <n v="4"/>
    <n v="316"/>
    <n v="0.05"/>
    <n v="1200.8"/>
    <n v="360.24"/>
    <s v="Cash"/>
    <x v="0"/>
    <x v="0"/>
  </r>
  <r>
    <s v="CB0174"/>
    <x v="79"/>
    <d v="2023-03-29T00:00:00"/>
    <x v="2"/>
    <x v="3"/>
    <x v="1"/>
    <s v="Fries"/>
    <n v="3"/>
    <n v="311"/>
    <n v="0.1"/>
    <n v="839.7"/>
    <n v="209.93"/>
    <s v="Cash"/>
    <x v="0"/>
    <x v="0"/>
  </r>
  <r>
    <s v="CB0175"/>
    <x v="109"/>
    <d v="2023-08-05T00:00:00"/>
    <x v="2"/>
    <x v="2"/>
    <x v="2"/>
    <s v="Cold Coffee"/>
    <n v="1"/>
    <n v="235"/>
    <n v="0.15"/>
    <n v="199.75"/>
    <n v="59.92"/>
    <s v="Card"/>
    <x v="1"/>
    <x v="0"/>
  </r>
  <r>
    <s v="CB0176"/>
    <x v="66"/>
    <d v="2023-06-25T00:00:00"/>
    <x v="2"/>
    <x v="1"/>
    <x v="1"/>
    <s v="Puff"/>
    <n v="4"/>
    <n v="331"/>
    <n v="0"/>
    <n v="1324"/>
    <n v="397.2"/>
    <s v="Cash"/>
    <x v="1"/>
    <x v="0"/>
  </r>
  <r>
    <s v="CB0177"/>
    <x v="106"/>
    <d v="2025-01-01T00:00:00"/>
    <x v="1"/>
    <x v="2"/>
    <x v="1"/>
    <s v="Burger"/>
    <n v="1"/>
    <n v="242"/>
    <n v="0"/>
    <n v="242"/>
    <n v="60.5"/>
    <s v="Card"/>
    <x v="0"/>
    <x v="0"/>
  </r>
  <r>
    <s v="CB0178"/>
    <x v="110"/>
    <d v="2023-05-11T00:00:00"/>
    <x v="2"/>
    <x v="4"/>
    <x v="0"/>
    <s v="Cake"/>
    <n v="1"/>
    <n v="397"/>
    <n v="0.1"/>
    <n v="357.3"/>
    <n v="107.19"/>
    <s v="Card"/>
    <x v="0"/>
    <x v="1"/>
  </r>
  <r>
    <s v="CB0179"/>
    <x v="62"/>
    <d v="2024-08-01T00:00:00"/>
    <x v="0"/>
    <x v="0"/>
    <x v="0"/>
    <s v="Ice Cream"/>
    <n v="2"/>
    <n v="440"/>
    <n v="0"/>
    <n v="880"/>
    <n v="264"/>
    <s v="UPI"/>
    <x v="0"/>
    <x v="0"/>
  </r>
  <r>
    <s v="CB0180"/>
    <x v="89"/>
    <d v="2023-11-03T00:00:00"/>
    <x v="2"/>
    <x v="3"/>
    <x v="0"/>
    <s v="Ice Cream"/>
    <n v="2"/>
    <n v="381"/>
    <n v="0"/>
    <n v="762"/>
    <n v="190.5"/>
    <s v="Card"/>
    <x v="1"/>
    <x v="0"/>
  </r>
  <r>
    <s v="CB0181"/>
    <x v="69"/>
    <d v="2023-06-02T00:00:00"/>
    <x v="2"/>
    <x v="4"/>
    <x v="2"/>
    <s v="Latte"/>
    <n v="3"/>
    <n v="100"/>
    <n v="0.15"/>
    <n v="255"/>
    <n v="63.75"/>
    <s v="Cash"/>
    <x v="1"/>
    <x v="0"/>
  </r>
  <r>
    <s v="CB0182"/>
    <x v="111"/>
    <d v="2023-02-08T00:00:00"/>
    <x v="2"/>
    <x v="2"/>
    <x v="0"/>
    <s v="Brownie"/>
    <n v="4"/>
    <n v="80"/>
    <n v="0.15"/>
    <n v="272"/>
    <n v="68"/>
    <s v="Card"/>
    <x v="0"/>
    <x v="1"/>
  </r>
  <r>
    <s v="CB0183"/>
    <x v="70"/>
    <d v="2025-05-04T00:00:00"/>
    <x v="1"/>
    <x v="3"/>
    <x v="2"/>
    <s v="Coffee"/>
    <n v="1"/>
    <n v="108"/>
    <n v="0"/>
    <n v="108"/>
    <n v="21.6"/>
    <s v="Card"/>
    <x v="1"/>
    <x v="0"/>
  </r>
  <r>
    <s v="CB0184"/>
    <x v="112"/>
    <d v="2025-12-18T00:00:00"/>
    <x v="1"/>
    <x v="0"/>
    <x v="2"/>
    <s v="Cold Coffee"/>
    <n v="4"/>
    <n v="448"/>
    <n v="0.1"/>
    <n v="1612.8"/>
    <n v="483.84"/>
    <s v="Card"/>
    <x v="0"/>
    <x v="0"/>
  </r>
  <r>
    <s v="CB0185"/>
    <x v="113"/>
    <d v="2023-10-19T00:00:00"/>
    <x v="2"/>
    <x v="2"/>
    <x v="2"/>
    <s v="Cappuccino"/>
    <n v="2"/>
    <n v="448"/>
    <n v="0.1"/>
    <n v="806.4"/>
    <n v="161.28"/>
    <s v="Cash"/>
    <x v="0"/>
    <x v="1"/>
  </r>
  <r>
    <s v="CB0186"/>
    <x v="34"/>
    <d v="2024-03-17T00:00:00"/>
    <x v="0"/>
    <x v="3"/>
    <x v="2"/>
    <s v="Tea"/>
    <n v="3"/>
    <n v="125"/>
    <n v="0.05"/>
    <n v="356.25"/>
    <n v="106.88"/>
    <s v="Card"/>
    <x v="1"/>
    <x v="0"/>
  </r>
  <r>
    <s v="CB0187"/>
    <x v="98"/>
    <d v="2025-07-19T00:00:00"/>
    <x v="1"/>
    <x v="3"/>
    <x v="0"/>
    <s v="Cake"/>
    <n v="1"/>
    <n v="109"/>
    <n v="0.15"/>
    <n v="92.65"/>
    <n v="23.16"/>
    <s v="Cash"/>
    <x v="0"/>
    <x v="0"/>
  </r>
  <r>
    <s v="CB0188"/>
    <x v="66"/>
    <d v="2023-06-18T00:00:00"/>
    <x v="2"/>
    <x v="3"/>
    <x v="0"/>
    <s v="Brownie"/>
    <n v="3"/>
    <n v="357"/>
    <n v="0.05"/>
    <n v="1017.45"/>
    <n v="203.49"/>
    <s v="Card"/>
    <x v="1"/>
    <x v="0"/>
  </r>
  <r>
    <s v="CB0189"/>
    <x v="23"/>
    <d v="2024-10-19T00:00:00"/>
    <x v="0"/>
    <x v="3"/>
    <x v="2"/>
    <s v="Cappuccino"/>
    <n v="1"/>
    <n v="388"/>
    <n v="0"/>
    <n v="388"/>
    <n v="116.4"/>
    <s v="UPI"/>
    <x v="1"/>
    <x v="0"/>
  </r>
  <r>
    <s v="CB0190"/>
    <x v="114"/>
    <d v="2024-10-11T00:00:00"/>
    <x v="0"/>
    <x v="3"/>
    <x v="2"/>
    <s v="Cappuccino"/>
    <n v="2"/>
    <n v="201"/>
    <n v="0.05"/>
    <n v="381.9"/>
    <n v="76.38"/>
    <s v="Cash"/>
    <x v="0"/>
    <x v="1"/>
  </r>
  <r>
    <s v="CB0191"/>
    <x v="85"/>
    <d v="2023-01-21T00:00:00"/>
    <x v="2"/>
    <x v="2"/>
    <x v="0"/>
    <s v="Ice Cream"/>
    <n v="3"/>
    <n v="125"/>
    <n v="0.1"/>
    <n v="337.5"/>
    <n v="84.38"/>
    <s v="Card"/>
    <x v="1"/>
    <x v="0"/>
  </r>
  <r>
    <s v="CB0192"/>
    <x v="83"/>
    <d v="2023-08-25T00:00:00"/>
    <x v="2"/>
    <x v="2"/>
    <x v="2"/>
    <s v="Coffee"/>
    <n v="2"/>
    <n v="153"/>
    <n v="0.1"/>
    <n v="275.39999999999998"/>
    <n v="82.62"/>
    <s v="Card"/>
    <x v="0"/>
    <x v="0"/>
  </r>
  <r>
    <s v="CB0193"/>
    <x v="102"/>
    <d v="2024-11-15T00:00:00"/>
    <x v="0"/>
    <x v="4"/>
    <x v="0"/>
    <s v="Brownie"/>
    <n v="3"/>
    <n v="422"/>
    <n v="0.15"/>
    <n v="1076.0999999999999"/>
    <n v="215.22"/>
    <s v="UPI"/>
    <x v="0"/>
    <x v="0"/>
  </r>
  <r>
    <s v="CB0194"/>
    <x v="52"/>
    <d v="2024-01-20T00:00:00"/>
    <x v="0"/>
    <x v="4"/>
    <x v="2"/>
    <s v="Cappuccino"/>
    <n v="3"/>
    <n v="218"/>
    <n v="0.1"/>
    <n v="588.6"/>
    <n v="117.72"/>
    <s v="Cash"/>
    <x v="0"/>
    <x v="0"/>
  </r>
  <r>
    <s v="CB0195"/>
    <x v="71"/>
    <d v="2025-01-22T00:00:00"/>
    <x v="1"/>
    <x v="0"/>
    <x v="1"/>
    <s v="Burger"/>
    <n v="4"/>
    <n v="297"/>
    <n v="0.05"/>
    <n v="1128.5999999999999"/>
    <n v="225.72"/>
    <s v="Cash"/>
    <x v="1"/>
    <x v="0"/>
  </r>
  <r>
    <s v="CB0196"/>
    <x v="62"/>
    <d v="2024-06-02T00:00:00"/>
    <x v="0"/>
    <x v="0"/>
    <x v="0"/>
    <s v="Muffin"/>
    <n v="1"/>
    <n v="398"/>
    <n v="0"/>
    <n v="398"/>
    <n v="99.5"/>
    <s v="Cash"/>
    <x v="0"/>
    <x v="0"/>
  </r>
  <r>
    <s v="CB0197"/>
    <x v="77"/>
    <d v="2024-11-24T00:00:00"/>
    <x v="0"/>
    <x v="1"/>
    <x v="1"/>
    <s v="Puff"/>
    <n v="4"/>
    <n v="151"/>
    <n v="0.1"/>
    <n v="543.6"/>
    <n v="163.08000000000001"/>
    <s v="Card"/>
    <x v="0"/>
    <x v="0"/>
  </r>
  <r>
    <s v="CB0198"/>
    <x v="15"/>
    <d v="2024-08-19T00:00:00"/>
    <x v="0"/>
    <x v="0"/>
    <x v="1"/>
    <s v="Puff"/>
    <n v="1"/>
    <n v="128"/>
    <n v="0"/>
    <n v="128"/>
    <n v="38.4"/>
    <s v="Cash"/>
    <x v="0"/>
    <x v="0"/>
  </r>
  <r>
    <s v="CB0199"/>
    <x v="90"/>
    <d v="2023-11-24T00:00:00"/>
    <x v="2"/>
    <x v="1"/>
    <x v="1"/>
    <s v="Fries"/>
    <n v="2"/>
    <n v="258"/>
    <n v="0"/>
    <n v="516"/>
    <n v="129"/>
    <s v="Cash"/>
    <x v="0"/>
    <x v="0"/>
  </r>
  <r>
    <s v="CB0200"/>
    <x v="115"/>
    <d v="2025-03-29T00:00:00"/>
    <x v="1"/>
    <x v="4"/>
    <x v="1"/>
    <s v="Burger"/>
    <n v="3"/>
    <n v="234"/>
    <n v="0.15"/>
    <n v="596.70000000000005"/>
    <n v="179.01"/>
    <s v="Card"/>
    <x v="0"/>
    <x v="1"/>
  </r>
  <r>
    <s v="CB0201"/>
    <x v="116"/>
    <d v="2025-01-12T00:00:00"/>
    <x v="1"/>
    <x v="0"/>
    <x v="1"/>
    <s v="Fries"/>
    <n v="4"/>
    <n v="131"/>
    <n v="0.1"/>
    <n v="471.6"/>
    <n v="141.47999999999999"/>
    <s v="Cash"/>
    <x v="1"/>
    <x v="1"/>
  </r>
  <r>
    <s v="CB0202"/>
    <x v="117"/>
    <d v="2023-10-01T00:00:00"/>
    <x v="2"/>
    <x v="1"/>
    <x v="1"/>
    <s v="Puff"/>
    <n v="4"/>
    <n v="280"/>
    <n v="0.05"/>
    <n v="1064"/>
    <n v="212.8"/>
    <s v="Card"/>
    <x v="0"/>
    <x v="1"/>
  </r>
  <r>
    <s v="CB0203"/>
    <x v="23"/>
    <d v="2023-11-12T00:00:00"/>
    <x v="2"/>
    <x v="0"/>
    <x v="1"/>
    <s v="Puff"/>
    <n v="3"/>
    <n v="240"/>
    <n v="0.05"/>
    <n v="684"/>
    <n v="205.2"/>
    <s v="Cash"/>
    <x v="0"/>
    <x v="0"/>
  </r>
  <r>
    <s v="CB0204"/>
    <x v="74"/>
    <d v="2024-07-19T00:00:00"/>
    <x v="0"/>
    <x v="0"/>
    <x v="1"/>
    <s v="Sandwich"/>
    <n v="4"/>
    <n v="176"/>
    <n v="0.15"/>
    <n v="598.4"/>
    <n v="119.68"/>
    <s v="Cash"/>
    <x v="0"/>
    <x v="0"/>
  </r>
  <r>
    <s v="CB0205"/>
    <x v="34"/>
    <d v="2025-05-16T00:00:00"/>
    <x v="1"/>
    <x v="4"/>
    <x v="0"/>
    <s v="Cake"/>
    <n v="1"/>
    <n v="292"/>
    <n v="0.15"/>
    <n v="248.2"/>
    <n v="49.64"/>
    <s v="Card"/>
    <x v="1"/>
    <x v="0"/>
  </r>
  <r>
    <s v="CB0206"/>
    <x v="108"/>
    <d v="2023-08-22T00:00:00"/>
    <x v="2"/>
    <x v="3"/>
    <x v="2"/>
    <s v="Cold Coffee"/>
    <n v="4"/>
    <n v="444"/>
    <n v="0.15"/>
    <n v="1509.6"/>
    <n v="377.4"/>
    <s v="Cash"/>
    <x v="1"/>
    <x v="0"/>
  </r>
  <r>
    <s v="CB0207"/>
    <x v="79"/>
    <d v="2025-04-24T00:00:00"/>
    <x v="1"/>
    <x v="1"/>
    <x v="0"/>
    <s v="Brownie"/>
    <n v="3"/>
    <n v="288"/>
    <n v="0.05"/>
    <n v="820.8"/>
    <n v="205.2"/>
    <s v="Card"/>
    <x v="0"/>
    <x v="0"/>
  </r>
  <r>
    <s v="CB0208"/>
    <x v="107"/>
    <d v="2023-03-02T00:00:00"/>
    <x v="2"/>
    <x v="0"/>
    <x v="0"/>
    <s v="Cake"/>
    <n v="3"/>
    <n v="134"/>
    <n v="0.15"/>
    <n v="341.7"/>
    <n v="85.42"/>
    <s v="UPI"/>
    <x v="0"/>
    <x v="0"/>
  </r>
  <r>
    <s v="CB0209"/>
    <x v="3"/>
    <d v="2024-01-24T00:00:00"/>
    <x v="0"/>
    <x v="0"/>
    <x v="0"/>
    <s v="Ice Cream"/>
    <n v="1"/>
    <n v="173"/>
    <n v="0"/>
    <n v="173"/>
    <n v="51.9"/>
    <s v="UPI"/>
    <x v="1"/>
    <x v="0"/>
  </r>
  <r>
    <s v="CB0210"/>
    <x v="24"/>
    <d v="2024-01-18T00:00:00"/>
    <x v="0"/>
    <x v="4"/>
    <x v="0"/>
    <s v="Muffin"/>
    <n v="2"/>
    <n v="239"/>
    <n v="0.05"/>
    <n v="454.1"/>
    <n v="90.82"/>
    <s v="UPI"/>
    <x v="0"/>
    <x v="0"/>
  </r>
  <r>
    <s v="CB0211"/>
    <x v="94"/>
    <d v="2025-12-02T00:00:00"/>
    <x v="1"/>
    <x v="4"/>
    <x v="1"/>
    <s v="Sandwich"/>
    <n v="4"/>
    <n v="407"/>
    <n v="0.05"/>
    <n v="1546.6"/>
    <n v="386.65"/>
    <s v="Card"/>
    <x v="1"/>
    <x v="0"/>
  </r>
  <r>
    <s v="CB0212"/>
    <x v="79"/>
    <d v="2023-09-09T00:00:00"/>
    <x v="2"/>
    <x v="2"/>
    <x v="1"/>
    <s v="Puff"/>
    <n v="4"/>
    <n v="317"/>
    <n v="0.1"/>
    <n v="1141.2"/>
    <n v="285.3"/>
    <s v="Card"/>
    <x v="1"/>
    <x v="0"/>
  </r>
  <r>
    <s v="CB0213"/>
    <x v="82"/>
    <d v="2024-10-13T00:00:00"/>
    <x v="0"/>
    <x v="3"/>
    <x v="1"/>
    <s v="Fries"/>
    <n v="4"/>
    <n v="273"/>
    <n v="0.1"/>
    <n v="982.8"/>
    <n v="196.56"/>
    <s v="UPI"/>
    <x v="0"/>
    <x v="0"/>
  </r>
  <r>
    <s v="CB0214"/>
    <x v="9"/>
    <d v="2024-06-25T00:00:00"/>
    <x v="0"/>
    <x v="1"/>
    <x v="2"/>
    <s v="Cold Coffee"/>
    <n v="1"/>
    <n v="100"/>
    <n v="0.15"/>
    <n v="85"/>
    <n v="25.5"/>
    <s v="Card"/>
    <x v="0"/>
    <x v="0"/>
  </r>
  <r>
    <s v="CB0215"/>
    <x v="118"/>
    <d v="2025-11-29T00:00:00"/>
    <x v="1"/>
    <x v="4"/>
    <x v="0"/>
    <s v="Cake"/>
    <n v="2"/>
    <n v="313"/>
    <n v="0.05"/>
    <n v="594.70000000000005"/>
    <n v="178.41"/>
    <s v="UPI"/>
    <x v="1"/>
    <x v="0"/>
  </r>
  <r>
    <s v="CB0216"/>
    <x v="119"/>
    <d v="2023-04-04T00:00:00"/>
    <x v="2"/>
    <x v="0"/>
    <x v="0"/>
    <s v="Brownie"/>
    <n v="2"/>
    <n v="322"/>
    <n v="0"/>
    <n v="644"/>
    <n v="161"/>
    <s v="UPI"/>
    <x v="1"/>
    <x v="1"/>
  </r>
  <r>
    <s v="CB0217"/>
    <x v="52"/>
    <d v="2023-01-16T00:00:00"/>
    <x v="2"/>
    <x v="4"/>
    <x v="0"/>
    <s v="Cake"/>
    <n v="2"/>
    <n v="329"/>
    <n v="0.1"/>
    <n v="592.20000000000005"/>
    <n v="177.66"/>
    <s v="Card"/>
    <x v="1"/>
    <x v="0"/>
  </r>
  <r>
    <s v="CB0218"/>
    <x v="32"/>
    <d v="2023-06-19T00:00:00"/>
    <x v="2"/>
    <x v="3"/>
    <x v="0"/>
    <s v="Brownie"/>
    <n v="2"/>
    <n v="134"/>
    <n v="0.1"/>
    <n v="241.2"/>
    <n v="48.24"/>
    <s v="UPI"/>
    <x v="0"/>
    <x v="0"/>
  </r>
  <r>
    <s v="CB0219"/>
    <x v="60"/>
    <d v="2023-04-16T00:00:00"/>
    <x v="2"/>
    <x v="4"/>
    <x v="0"/>
    <s v="Ice Cream"/>
    <n v="2"/>
    <n v="164"/>
    <n v="0.15"/>
    <n v="278.8"/>
    <n v="83.64"/>
    <s v="Cash"/>
    <x v="1"/>
    <x v="0"/>
  </r>
  <r>
    <s v="CB0220"/>
    <x v="120"/>
    <d v="2024-10-23T00:00:00"/>
    <x v="0"/>
    <x v="1"/>
    <x v="0"/>
    <s v="Cake"/>
    <n v="3"/>
    <n v="170"/>
    <n v="0"/>
    <n v="510"/>
    <n v="153"/>
    <s v="UPI"/>
    <x v="0"/>
    <x v="1"/>
  </r>
  <r>
    <s v="CB0221"/>
    <x v="82"/>
    <d v="2025-07-06T00:00:00"/>
    <x v="1"/>
    <x v="2"/>
    <x v="0"/>
    <s v="Cake"/>
    <n v="1"/>
    <n v="104"/>
    <n v="0.1"/>
    <n v="93.6"/>
    <n v="28.08"/>
    <s v="UPI"/>
    <x v="1"/>
    <x v="0"/>
  </r>
  <r>
    <s v="CB0222"/>
    <x v="32"/>
    <d v="2025-02-13T00:00:00"/>
    <x v="1"/>
    <x v="3"/>
    <x v="0"/>
    <s v="Cake"/>
    <n v="1"/>
    <n v="334"/>
    <n v="0"/>
    <n v="334"/>
    <n v="83.5"/>
    <s v="UPI"/>
    <x v="1"/>
    <x v="0"/>
  </r>
  <r>
    <s v="CB0223"/>
    <x v="17"/>
    <d v="2023-05-04T00:00:00"/>
    <x v="2"/>
    <x v="2"/>
    <x v="2"/>
    <s v="Cappuccino"/>
    <n v="4"/>
    <n v="128"/>
    <n v="0.05"/>
    <n v="486.4"/>
    <n v="97.28"/>
    <s v="Cash"/>
    <x v="0"/>
    <x v="0"/>
  </r>
  <r>
    <s v="CB0224"/>
    <x v="90"/>
    <d v="2023-10-25T00:00:00"/>
    <x v="2"/>
    <x v="3"/>
    <x v="0"/>
    <s v="Ice Cream"/>
    <n v="4"/>
    <n v="319"/>
    <n v="0.1"/>
    <n v="1148.4000000000001"/>
    <n v="229.68"/>
    <s v="UPI"/>
    <x v="1"/>
    <x v="0"/>
  </r>
  <r>
    <s v="CB0225"/>
    <x v="75"/>
    <d v="2023-04-24T00:00:00"/>
    <x v="2"/>
    <x v="1"/>
    <x v="2"/>
    <s v="Coffee"/>
    <n v="4"/>
    <n v="220"/>
    <n v="0.1"/>
    <n v="792"/>
    <n v="237.6"/>
    <s v="UPI"/>
    <x v="0"/>
    <x v="0"/>
  </r>
  <r>
    <s v="CB0226"/>
    <x v="58"/>
    <d v="2023-10-28T00:00:00"/>
    <x v="2"/>
    <x v="4"/>
    <x v="0"/>
    <s v="Cake"/>
    <n v="3"/>
    <n v="244"/>
    <n v="0.1"/>
    <n v="658.8"/>
    <n v="164.7"/>
    <s v="Card"/>
    <x v="0"/>
    <x v="0"/>
  </r>
  <r>
    <s v="CB0227"/>
    <x v="121"/>
    <d v="2024-01-26T00:00:00"/>
    <x v="0"/>
    <x v="4"/>
    <x v="0"/>
    <s v="Brownie"/>
    <n v="4"/>
    <n v="330"/>
    <n v="0.05"/>
    <n v="1254"/>
    <n v="250.8"/>
    <s v="UPI"/>
    <x v="0"/>
    <x v="0"/>
  </r>
  <r>
    <s v="CB0228"/>
    <x v="26"/>
    <d v="2024-07-06T00:00:00"/>
    <x v="0"/>
    <x v="2"/>
    <x v="2"/>
    <s v="Coffee"/>
    <n v="1"/>
    <n v="351"/>
    <n v="0.15"/>
    <n v="298.35000000000002"/>
    <n v="74.59"/>
    <s v="Cash"/>
    <x v="0"/>
    <x v="0"/>
  </r>
  <r>
    <s v="CB0229"/>
    <x v="58"/>
    <d v="2025-07-01T00:00:00"/>
    <x v="1"/>
    <x v="1"/>
    <x v="2"/>
    <s v="Cappuccino"/>
    <n v="1"/>
    <n v="123"/>
    <n v="0.15"/>
    <n v="104.55"/>
    <n v="31.36"/>
    <s v="UPI"/>
    <x v="0"/>
    <x v="0"/>
  </r>
  <r>
    <s v="CB0230"/>
    <x v="73"/>
    <d v="2025-04-05T00:00:00"/>
    <x v="1"/>
    <x v="3"/>
    <x v="2"/>
    <s v="Coffee"/>
    <n v="1"/>
    <n v="446"/>
    <n v="0.05"/>
    <n v="423.7"/>
    <n v="105.92"/>
    <s v="Card"/>
    <x v="0"/>
    <x v="0"/>
  </r>
  <r>
    <s v="CB0231"/>
    <x v="122"/>
    <d v="2023-08-27T00:00:00"/>
    <x v="2"/>
    <x v="2"/>
    <x v="2"/>
    <s v="Latte"/>
    <n v="3"/>
    <n v="206"/>
    <n v="0"/>
    <n v="618"/>
    <n v="123.6"/>
    <s v="UPI"/>
    <x v="1"/>
    <x v="0"/>
  </r>
  <r>
    <s v="CB0232"/>
    <x v="123"/>
    <d v="2025-06-27T00:00:00"/>
    <x v="1"/>
    <x v="3"/>
    <x v="1"/>
    <s v="Puff"/>
    <n v="3"/>
    <n v="352"/>
    <n v="0.1"/>
    <n v="950.4"/>
    <n v="237.6"/>
    <s v="UPI"/>
    <x v="0"/>
    <x v="1"/>
  </r>
  <r>
    <s v="CB0233"/>
    <x v="71"/>
    <d v="2023-07-11T00:00:00"/>
    <x v="2"/>
    <x v="2"/>
    <x v="1"/>
    <s v="Fries"/>
    <n v="1"/>
    <n v="144"/>
    <n v="0"/>
    <n v="144"/>
    <n v="36"/>
    <s v="Card"/>
    <x v="0"/>
    <x v="0"/>
  </r>
  <r>
    <s v="CB0234"/>
    <x v="23"/>
    <d v="2024-05-19T00:00:00"/>
    <x v="0"/>
    <x v="3"/>
    <x v="1"/>
    <s v="Fries"/>
    <n v="1"/>
    <n v="131"/>
    <n v="0"/>
    <n v="131"/>
    <n v="32.75"/>
    <s v="Cash"/>
    <x v="1"/>
    <x v="0"/>
  </r>
  <r>
    <s v="CB0235"/>
    <x v="106"/>
    <d v="2023-04-08T00:00:00"/>
    <x v="2"/>
    <x v="3"/>
    <x v="1"/>
    <s v="Fries"/>
    <n v="1"/>
    <n v="406"/>
    <n v="0"/>
    <n v="406"/>
    <n v="101.5"/>
    <s v="Card"/>
    <x v="1"/>
    <x v="0"/>
  </r>
  <r>
    <s v="CB0236"/>
    <x v="17"/>
    <d v="2023-08-25T00:00:00"/>
    <x v="2"/>
    <x v="3"/>
    <x v="0"/>
    <s v="Cake"/>
    <n v="1"/>
    <n v="168"/>
    <n v="0.15"/>
    <n v="142.80000000000001"/>
    <n v="35.700000000000003"/>
    <s v="Card"/>
    <x v="0"/>
    <x v="0"/>
  </r>
  <r>
    <s v="CB0237"/>
    <x v="38"/>
    <d v="2023-06-13T00:00:00"/>
    <x v="2"/>
    <x v="0"/>
    <x v="0"/>
    <s v="Cake"/>
    <n v="3"/>
    <n v="253"/>
    <n v="0"/>
    <n v="759"/>
    <n v="189.75"/>
    <s v="Cash"/>
    <x v="1"/>
    <x v="0"/>
  </r>
  <r>
    <s v="CB0238"/>
    <x v="124"/>
    <d v="2023-04-10T00:00:00"/>
    <x v="2"/>
    <x v="2"/>
    <x v="2"/>
    <s v="Latte"/>
    <n v="4"/>
    <n v="448"/>
    <n v="0"/>
    <n v="1792"/>
    <n v="537.6"/>
    <s v="UPI"/>
    <x v="0"/>
    <x v="0"/>
  </r>
  <r>
    <s v="CB0239"/>
    <x v="125"/>
    <d v="2023-10-30T00:00:00"/>
    <x v="2"/>
    <x v="2"/>
    <x v="2"/>
    <s v="Cold Coffee"/>
    <n v="4"/>
    <n v="336"/>
    <n v="0.15"/>
    <n v="1142.4000000000001"/>
    <n v="342.72"/>
    <s v="Card"/>
    <x v="0"/>
    <x v="1"/>
  </r>
  <r>
    <s v="CB0240"/>
    <x v="38"/>
    <d v="2024-08-12T00:00:00"/>
    <x v="0"/>
    <x v="3"/>
    <x v="2"/>
    <s v="Cappuccino"/>
    <n v="1"/>
    <n v="166"/>
    <n v="0.15"/>
    <n v="141.1"/>
    <n v="42.33"/>
    <s v="Card"/>
    <x v="1"/>
    <x v="0"/>
  </r>
  <r>
    <s v="CB0241"/>
    <x v="38"/>
    <d v="2024-07-15T00:00:00"/>
    <x v="0"/>
    <x v="3"/>
    <x v="2"/>
    <s v="Cappuccino"/>
    <n v="2"/>
    <n v="407"/>
    <n v="0.1"/>
    <n v="732.6"/>
    <n v="183.15"/>
    <s v="UPI"/>
    <x v="1"/>
    <x v="0"/>
  </r>
  <r>
    <s v="CB0242"/>
    <x v="101"/>
    <d v="2025-12-27T00:00:00"/>
    <x v="1"/>
    <x v="2"/>
    <x v="1"/>
    <s v="Puff"/>
    <n v="1"/>
    <n v="414"/>
    <n v="0.05"/>
    <n v="393.3"/>
    <n v="78.66"/>
    <s v="Card"/>
    <x v="0"/>
    <x v="0"/>
  </r>
  <r>
    <s v="CB0243"/>
    <x v="10"/>
    <d v="2025-11-24T00:00:00"/>
    <x v="1"/>
    <x v="1"/>
    <x v="1"/>
    <s v="Sandwich"/>
    <n v="3"/>
    <n v="231"/>
    <n v="0.1"/>
    <n v="623.70000000000005"/>
    <n v="155.93"/>
    <s v="Card"/>
    <x v="0"/>
    <x v="0"/>
  </r>
  <r>
    <s v="CB0244"/>
    <x v="122"/>
    <d v="2024-05-13T00:00:00"/>
    <x v="0"/>
    <x v="3"/>
    <x v="2"/>
    <s v="Cold Coffee"/>
    <n v="1"/>
    <n v="240"/>
    <n v="0.05"/>
    <n v="228"/>
    <n v="57"/>
    <s v="Cash"/>
    <x v="1"/>
    <x v="0"/>
  </r>
  <r>
    <s v="CB0245"/>
    <x v="126"/>
    <d v="2025-03-28T00:00:00"/>
    <x v="1"/>
    <x v="1"/>
    <x v="0"/>
    <s v="Muffin"/>
    <n v="4"/>
    <n v="295"/>
    <n v="0.05"/>
    <n v="1121"/>
    <n v="280.25"/>
    <s v="UPI"/>
    <x v="1"/>
    <x v="1"/>
  </r>
  <r>
    <s v="CB0246"/>
    <x v="57"/>
    <d v="2023-01-26T00:00:00"/>
    <x v="2"/>
    <x v="4"/>
    <x v="1"/>
    <s v="Puff"/>
    <n v="2"/>
    <n v="281"/>
    <n v="0.05"/>
    <n v="533.9"/>
    <n v="106.78"/>
    <s v="Card"/>
    <x v="1"/>
    <x v="0"/>
  </r>
  <r>
    <s v="CB0247"/>
    <x v="76"/>
    <d v="2025-02-11T00:00:00"/>
    <x v="1"/>
    <x v="1"/>
    <x v="0"/>
    <s v="Muffin"/>
    <n v="1"/>
    <n v="343"/>
    <n v="0.15"/>
    <n v="291.55"/>
    <n v="87.47"/>
    <s v="Card"/>
    <x v="1"/>
    <x v="0"/>
  </r>
  <r>
    <s v="CB0248"/>
    <x v="127"/>
    <d v="2024-12-22T00:00:00"/>
    <x v="0"/>
    <x v="3"/>
    <x v="0"/>
    <s v="Ice Cream"/>
    <n v="2"/>
    <n v="162"/>
    <n v="0"/>
    <n v="324"/>
    <n v="97.2"/>
    <s v="Card"/>
    <x v="0"/>
    <x v="0"/>
  </r>
  <r>
    <s v="CB0249"/>
    <x v="75"/>
    <d v="2024-03-06T00:00:00"/>
    <x v="0"/>
    <x v="0"/>
    <x v="1"/>
    <s v="Fries"/>
    <n v="1"/>
    <n v="153"/>
    <n v="0"/>
    <n v="153"/>
    <n v="38.25"/>
    <s v="Card"/>
    <x v="0"/>
    <x v="0"/>
  </r>
  <r>
    <s v="CB0250"/>
    <x v="128"/>
    <d v="2024-06-27T00:00:00"/>
    <x v="0"/>
    <x v="2"/>
    <x v="0"/>
    <s v="Cake"/>
    <n v="2"/>
    <n v="276"/>
    <n v="0.1"/>
    <n v="496.8"/>
    <n v="124.2"/>
    <s v="Cash"/>
    <x v="0"/>
    <x v="1"/>
  </r>
  <r>
    <s v="CB0251"/>
    <x v="129"/>
    <d v="2024-04-20T00:00:00"/>
    <x v="0"/>
    <x v="1"/>
    <x v="0"/>
    <s v="Brownie"/>
    <n v="4"/>
    <n v="96"/>
    <n v="0.1"/>
    <n v="345.6"/>
    <n v="103.68"/>
    <s v="UPI"/>
    <x v="0"/>
    <x v="1"/>
  </r>
  <r>
    <s v="CB0252"/>
    <x v="90"/>
    <d v="2024-01-25T00:00:00"/>
    <x v="0"/>
    <x v="1"/>
    <x v="2"/>
    <s v="Latte"/>
    <n v="1"/>
    <n v="365"/>
    <n v="0.15"/>
    <n v="310.25"/>
    <n v="93.08"/>
    <s v="Cash"/>
    <x v="1"/>
    <x v="0"/>
  </r>
  <r>
    <s v="CB0253"/>
    <x v="76"/>
    <d v="2025-09-20T00:00:00"/>
    <x v="1"/>
    <x v="1"/>
    <x v="2"/>
    <s v="Cold Coffee"/>
    <n v="2"/>
    <n v="247"/>
    <n v="0.05"/>
    <n v="469.3"/>
    <n v="117.32"/>
    <s v="Card"/>
    <x v="0"/>
    <x v="0"/>
  </r>
  <r>
    <s v="CB0254"/>
    <x v="130"/>
    <d v="2023-09-16T00:00:00"/>
    <x v="2"/>
    <x v="3"/>
    <x v="0"/>
    <s v="Ice Cream"/>
    <n v="2"/>
    <n v="177"/>
    <n v="0.15"/>
    <n v="300.89999999999998"/>
    <n v="75.22"/>
    <s v="UPI"/>
    <x v="0"/>
    <x v="0"/>
  </r>
  <r>
    <s v="CB0255"/>
    <x v="131"/>
    <d v="2024-07-16T00:00:00"/>
    <x v="0"/>
    <x v="2"/>
    <x v="1"/>
    <s v="Fries"/>
    <n v="4"/>
    <n v="171"/>
    <n v="0.1"/>
    <n v="615.6"/>
    <n v="123.12"/>
    <s v="Card"/>
    <x v="0"/>
    <x v="1"/>
  </r>
  <r>
    <s v="CB0256"/>
    <x v="88"/>
    <d v="2025-04-03T00:00:00"/>
    <x v="1"/>
    <x v="3"/>
    <x v="2"/>
    <s v="Coffee"/>
    <n v="2"/>
    <n v="114"/>
    <n v="0.05"/>
    <n v="216.6"/>
    <n v="64.98"/>
    <s v="Cash"/>
    <x v="1"/>
    <x v="0"/>
  </r>
  <r>
    <s v="CB0257"/>
    <x v="8"/>
    <d v="2025-09-27T00:00:00"/>
    <x v="1"/>
    <x v="0"/>
    <x v="0"/>
    <s v="Ice Cream"/>
    <n v="4"/>
    <n v="208"/>
    <n v="0.1"/>
    <n v="748.8"/>
    <n v="187.2"/>
    <s v="Card"/>
    <x v="0"/>
    <x v="0"/>
  </r>
  <r>
    <s v="CB0258"/>
    <x v="49"/>
    <d v="2025-09-15T00:00:00"/>
    <x v="1"/>
    <x v="3"/>
    <x v="2"/>
    <s v="Coffee"/>
    <n v="3"/>
    <n v="255"/>
    <n v="0"/>
    <n v="765"/>
    <n v="153"/>
    <s v="Cash"/>
    <x v="1"/>
    <x v="0"/>
  </r>
  <r>
    <s v="CB0259"/>
    <x v="3"/>
    <d v="2023-03-12T00:00:00"/>
    <x v="2"/>
    <x v="4"/>
    <x v="0"/>
    <s v="Cake"/>
    <n v="3"/>
    <n v="404"/>
    <n v="0.15"/>
    <n v="1030.2"/>
    <n v="309.06"/>
    <s v="UPI"/>
    <x v="1"/>
    <x v="0"/>
  </r>
  <r>
    <s v="CB0260"/>
    <x v="132"/>
    <d v="2023-01-29T00:00:00"/>
    <x v="2"/>
    <x v="2"/>
    <x v="2"/>
    <s v="Cold Coffee"/>
    <n v="4"/>
    <n v="176"/>
    <n v="0.05"/>
    <n v="668.8"/>
    <n v="200.64"/>
    <s v="Cash"/>
    <x v="1"/>
    <x v="0"/>
  </r>
  <r>
    <s v="CB0261"/>
    <x v="32"/>
    <d v="2024-11-02T00:00:00"/>
    <x v="0"/>
    <x v="0"/>
    <x v="1"/>
    <s v="Fries"/>
    <n v="2"/>
    <n v="409"/>
    <n v="0.15"/>
    <n v="695.3"/>
    <n v="173.82"/>
    <s v="UPI"/>
    <x v="1"/>
    <x v="0"/>
  </r>
  <r>
    <s v="CB0262"/>
    <x v="51"/>
    <d v="2024-04-18T00:00:00"/>
    <x v="0"/>
    <x v="3"/>
    <x v="1"/>
    <s v="Puff"/>
    <n v="4"/>
    <n v="188"/>
    <n v="0.05"/>
    <n v="714.4"/>
    <n v="178.6"/>
    <s v="Cash"/>
    <x v="0"/>
    <x v="0"/>
  </r>
  <r>
    <s v="CB0263"/>
    <x v="71"/>
    <d v="2023-11-13T00:00:00"/>
    <x v="2"/>
    <x v="3"/>
    <x v="1"/>
    <s v="Puff"/>
    <n v="2"/>
    <n v="392"/>
    <n v="0.1"/>
    <n v="705.6"/>
    <n v="211.68"/>
    <s v="Card"/>
    <x v="1"/>
    <x v="0"/>
  </r>
  <r>
    <s v="CB0264"/>
    <x v="11"/>
    <d v="2025-08-05T00:00:00"/>
    <x v="1"/>
    <x v="4"/>
    <x v="2"/>
    <s v="Cold Coffee"/>
    <n v="4"/>
    <n v="88"/>
    <n v="0.05"/>
    <n v="334.4"/>
    <n v="66.88"/>
    <s v="Card"/>
    <x v="1"/>
    <x v="0"/>
  </r>
  <r>
    <s v="CB0265"/>
    <x v="133"/>
    <d v="2025-02-01T00:00:00"/>
    <x v="1"/>
    <x v="2"/>
    <x v="1"/>
    <s v="Sandwich"/>
    <n v="4"/>
    <n v="101"/>
    <n v="0.05"/>
    <n v="383.8"/>
    <n v="115.14"/>
    <s v="Cash"/>
    <x v="0"/>
    <x v="1"/>
  </r>
  <r>
    <s v="CB0266"/>
    <x v="75"/>
    <d v="2024-11-27T00:00:00"/>
    <x v="0"/>
    <x v="4"/>
    <x v="2"/>
    <s v="Coffee"/>
    <n v="3"/>
    <n v="149"/>
    <n v="0.15"/>
    <n v="379.95"/>
    <n v="75.989999999999995"/>
    <s v="Cash"/>
    <x v="1"/>
    <x v="0"/>
  </r>
  <r>
    <s v="CB0267"/>
    <x v="134"/>
    <d v="2023-10-18T00:00:00"/>
    <x v="2"/>
    <x v="1"/>
    <x v="1"/>
    <s v="Puff"/>
    <n v="2"/>
    <n v="407"/>
    <n v="0.1"/>
    <n v="732.6"/>
    <n v="146.52000000000001"/>
    <s v="Card"/>
    <x v="1"/>
    <x v="1"/>
  </r>
  <r>
    <s v="CB0268"/>
    <x v="135"/>
    <d v="2025-09-16T00:00:00"/>
    <x v="1"/>
    <x v="4"/>
    <x v="1"/>
    <s v="Puff"/>
    <n v="2"/>
    <n v="431"/>
    <n v="0.05"/>
    <n v="818.9"/>
    <n v="163.78"/>
    <s v="UPI"/>
    <x v="1"/>
    <x v="0"/>
  </r>
  <r>
    <s v="CB0269"/>
    <x v="38"/>
    <d v="2023-12-15T00:00:00"/>
    <x v="2"/>
    <x v="1"/>
    <x v="0"/>
    <s v="Ice Cream"/>
    <n v="1"/>
    <n v="448"/>
    <n v="0.15"/>
    <n v="380.8"/>
    <n v="114.24"/>
    <s v="Card"/>
    <x v="1"/>
    <x v="0"/>
  </r>
  <r>
    <s v="CB0270"/>
    <x v="130"/>
    <d v="2023-06-02T00:00:00"/>
    <x v="2"/>
    <x v="3"/>
    <x v="0"/>
    <s v="Brownie"/>
    <n v="1"/>
    <n v="314"/>
    <n v="0.15"/>
    <n v="266.89999999999998"/>
    <n v="80.069999999999993"/>
    <s v="Card"/>
    <x v="0"/>
    <x v="0"/>
  </r>
  <r>
    <s v="CB0271"/>
    <x v="132"/>
    <d v="2023-01-25T00:00:00"/>
    <x v="2"/>
    <x v="2"/>
    <x v="2"/>
    <s v="Cold Coffee"/>
    <n v="4"/>
    <n v="431"/>
    <n v="0"/>
    <n v="1724"/>
    <n v="431"/>
    <s v="UPI"/>
    <x v="1"/>
    <x v="0"/>
  </r>
  <r>
    <s v="CB0272"/>
    <x v="104"/>
    <d v="2023-05-20T00:00:00"/>
    <x v="2"/>
    <x v="0"/>
    <x v="1"/>
    <s v="Puff"/>
    <n v="3"/>
    <n v="134"/>
    <n v="0"/>
    <n v="402"/>
    <n v="100.5"/>
    <s v="UPI"/>
    <x v="1"/>
    <x v="0"/>
  </r>
  <r>
    <s v="CB0273"/>
    <x v="7"/>
    <d v="2024-01-09T00:00:00"/>
    <x v="0"/>
    <x v="4"/>
    <x v="2"/>
    <s v="Coffee"/>
    <n v="3"/>
    <n v="245"/>
    <n v="0"/>
    <n v="735"/>
    <n v="220.5"/>
    <s v="UPI"/>
    <x v="0"/>
    <x v="0"/>
  </r>
  <r>
    <s v="CB0274"/>
    <x v="30"/>
    <d v="2024-12-23T00:00:00"/>
    <x v="0"/>
    <x v="1"/>
    <x v="2"/>
    <s v="Tea"/>
    <n v="4"/>
    <n v="111"/>
    <n v="0"/>
    <n v="444"/>
    <n v="133.19999999999999"/>
    <s v="Cash"/>
    <x v="1"/>
    <x v="0"/>
  </r>
  <r>
    <s v="CB0275"/>
    <x v="135"/>
    <d v="2023-03-04T00:00:00"/>
    <x v="2"/>
    <x v="0"/>
    <x v="1"/>
    <s v="Burger"/>
    <n v="2"/>
    <n v="316"/>
    <n v="0.15"/>
    <n v="537.20000000000005"/>
    <n v="134.30000000000001"/>
    <s v="UPI"/>
    <x v="0"/>
    <x v="0"/>
  </r>
  <r>
    <s v="CB0276"/>
    <x v="23"/>
    <d v="2025-07-16T00:00:00"/>
    <x v="1"/>
    <x v="1"/>
    <x v="2"/>
    <s v="Coffee"/>
    <n v="1"/>
    <n v="233"/>
    <n v="0.15"/>
    <n v="198.05"/>
    <n v="49.51"/>
    <s v="Cash"/>
    <x v="1"/>
    <x v="0"/>
  </r>
  <r>
    <s v="CB0277"/>
    <x v="103"/>
    <d v="2023-02-01T00:00:00"/>
    <x v="2"/>
    <x v="0"/>
    <x v="0"/>
    <s v="Ice Cream"/>
    <n v="1"/>
    <n v="313"/>
    <n v="0.1"/>
    <n v="281.7"/>
    <n v="84.51"/>
    <s v="Card"/>
    <x v="1"/>
    <x v="0"/>
  </r>
  <r>
    <s v="CB0278"/>
    <x v="112"/>
    <d v="2025-07-25T00:00:00"/>
    <x v="1"/>
    <x v="1"/>
    <x v="0"/>
    <s v="Brownie"/>
    <n v="4"/>
    <n v="159"/>
    <n v="0.05"/>
    <n v="604.20000000000005"/>
    <n v="151.05000000000001"/>
    <s v="Card"/>
    <x v="1"/>
    <x v="0"/>
  </r>
  <r>
    <s v="CB0279"/>
    <x v="27"/>
    <d v="2024-06-07T00:00:00"/>
    <x v="0"/>
    <x v="3"/>
    <x v="2"/>
    <s v="Tea"/>
    <n v="2"/>
    <n v="276"/>
    <n v="0.1"/>
    <n v="496.8"/>
    <n v="124.2"/>
    <s v="Cash"/>
    <x v="1"/>
    <x v="0"/>
  </r>
  <r>
    <s v="CB0280"/>
    <x v="65"/>
    <d v="2023-10-12T00:00:00"/>
    <x v="2"/>
    <x v="4"/>
    <x v="2"/>
    <s v="Tea"/>
    <n v="3"/>
    <n v="444"/>
    <n v="0"/>
    <n v="1332"/>
    <n v="266.39999999999998"/>
    <s v="Card"/>
    <x v="1"/>
    <x v="0"/>
  </r>
  <r>
    <s v="CB0281"/>
    <x v="101"/>
    <d v="2023-06-30T00:00:00"/>
    <x v="2"/>
    <x v="3"/>
    <x v="0"/>
    <s v="Muffin"/>
    <n v="1"/>
    <n v="138"/>
    <n v="0.15"/>
    <n v="117.3"/>
    <n v="29.32"/>
    <s v="UPI"/>
    <x v="1"/>
    <x v="0"/>
  </r>
  <r>
    <s v="CB0282"/>
    <x v="66"/>
    <d v="2023-05-09T00:00:00"/>
    <x v="2"/>
    <x v="0"/>
    <x v="1"/>
    <s v="Sandwich"/>
    <n v="1"/>
    <n v="370"/>
    <n v="0.15"/>
    <n v="314.5"/>
    <n v="94.35"/>
    <s v="UPI"/>
    <x v="0"/>
    <x v="0"/>
  </r>
  <r>
    <s v="CB0283"/>
    <x v="32"/>
    <d v="2023-09-21T00:00:00"/>
    <x v="2"/>
    <x v="1"/>
    <x v="1"/>
    <s v="Sandwich"/>
    <n v="3"/>
    <n v="279"/>
    <n v="0"/>
    <n v="837"/>
    <n v="209.25"/>
    <s v="UPI"/>
    <x v="0"/>
    <x v="0"/>
  </r>
  <r>
    <s v="CB0284"/>
    <x v="46"/>
    <d v="2024-12-24T00:00:00"/>
    <x v="0"/>
    <x v="2"/>
    <x v="2"/>
    <s v="Cappuccino"/>
    <n v="1"/>
    <n v="447"/>
    <n v="0.05"/>
    <n v="424.65"/>
    <n v="84.93"/>
    <s v="UPI"/>
    <x v="0"/>
    <x v="0"/>
  </r>
  <r>
    <s v="CB0285"/>
    <x v="95"/>
    <d v="2025-02-19T00:00:00"/>
    <x v="1"/>
    <x v="1"/>
    <x v="0"/>
    <s v="Muffin"/>
    <n v="3"/>
    <n v="339"/>
    <n v="0"/>
    <n v="1017"/>
    <n v="254.25"/>
    <s v="Cash"/>
    <x v="0"/>
    <x v="0"/>
  </r>
  <r>
    <s v="CB0286"/>
    <x v="47"/>
    <d v="2023-09-03T00:00:00"/>
    <x v="2"/>
    <x v="2"/>
    <x v="1"/>
    <s v="Burger"/>
    <n v="1"/>
    <n v="112"/>
    <n v="0.1"/>
    <n v="100.8"/>
    <n v="25.2"/>
    <s v="Card"/>
    <x v="0"/>
    <x v="0"/>
  </r>
  <r>
    <s v="CB0287"/>
    <x v="7"/>
    <d v="2024-11-16T00:00:00"/>
    <x v="0"/>
    <x v="0"/>
    <x v="1"/>
    <s v="Sandwich"/>
    <n v="3"/>
    <n v="102"/>
    <n v="0.1"/>
    <n v="275.39999999999998"/>
    <n v="55.08"/>
    <s v="Card"/>
    <x v="1"/>
    <x v="0"/>
  </r>
  <r>
    <s v="CB0288"/>
    <x v="75"/>
    <d v="2024-11-03T00:00:00"/>
    <x v="0"/>
    <x v="2"/>
    <x v="0"/>
    <s v="Muffin"/>
    <n v="3"/>
    <n v="300"/>
    <n v="0.1"/>
    <n v="810"/>
    <n v="162"/>
    <s v="Cash"/>
    <x v="0"/>
    <x v="0"/>
  </r>
  <r>
    <s v="CB0289"/>
    <x v="96"/>
    <d v="2023-01-21T00:00:00"/>
    <x v="2"/>
    <x v="1"/>
    <x v="0"/>
    <s v="Brownie"/>
    <n v="2"/>
    <n v="435"/>
    <n v="0.1"/>
    <n v="783"/>
    <n v="156.6"/>
    <s v="Card"/>
    <x v="1"/>
    <x v="0"/>
  </r>
  <r>
    <s v="CB0290"/>
    <x v="60"/>
    <d v="2024-10-04T00:00:00"/>
    <x v="0"/>
    <x v="1"/>
    <x v="1"/>
    <s v="Puff"/>
    <n v="3"/>
    <n v="230"/>
    <n v="0.15"/>
    <n v="586.5"/>
    <n v="146.62"/>
    <s v="UPI"/>
    <x v="0"/>
    <x v="0"/>
  </r>
  <r>
    <s v="CB0291"/>
    <x v="136"/>
    <d v="2023-06-20T00:00:00"/>
    <x v="2"/>
    <x v="0"/>
    <x v="2"/>
    <s v="Latte"/>
    <n v="2"/>
    <n v="130"/>
    <n v="0"/>
    <n v="260"/>
    <n v="78"/>
    <s v="Cash"/>
    <x v="1"/>
    <x v="0"/>
  </r>
  <r>
    <s v="CB0292"/>
    <x v="136"/>
    <d v="2024-10-03T00:00:00"/>
    <x v="0"/>
    <x v="1"/>
    <x v="0"/>
    <s v="Muffin"/>
    <n v="3"/>
    <n v="167"/>
    <n v="0.15"/>
    <n v="425.85"/>
    <n v="85.17"/>
    <s v="Cash"/>
    <x v="1"/>
    <x v="0"/>
  </r>
  <r>
    <s v="CB0293"/>
    <x v="15"/>
    <d v="2024-08-21T00:00:00"/>
    <x v="0"/>
    <x v="3"/>
    <x v="0"/>
    <s v="Brownie"/>
    <n v="3"/>
    <n v="162"/>
    <n v="0.05"/>
    <n v="461.7"/>
    <n v="92.34"/>
    <s v="Cash"/>
    <x v="1"/>
    <x v="0"/>
  </r>
  <r>
    <s v="CB0294"/>
    <x v="137"/>
    <d v="2025-11-24T00:00:00"/>
    <x v="1"/>
    <x v="4"/>
    <x v="2"/>
    <s v="Latte"/>
    <n v="2"/>
    <n v="374"/>
    <n v="0.05"/>
    <n v="710.6"/>
    <n v="177.65"/>
    <s v="UPI"/>
    <x v="1"/>
    <x v="0"/>
  </r>
  <r>
    <s v="CB0295"/>
    <x v="33"/>
    <d v="2024-08-26T00:00:00"/>
    <x v="0"/>
    <x v="0"/>
    <x v="2"/>
    <s v="Cappuccino"/>
    <n v="2"/>
    <n v="123"/>
    <n v="0"/>
    <n v="246"/>
    <n v="49.2"/>
    <s v="Card"/>
    <x v="0"/>
    <x v="0"/>
  </r>
  <r>
    <s v="CB0296"/>
    <x v="92"/>
    <d v="2024-08-30T00:00:00"/>
    <x v="0"/>
    <x v="4"/>
    <x v="1"/>
    <s v="Puff"/>
    <n v="3"/>
    <n v="386"/>
    <n v="0.15"/>
    <n v="984.3"/>
    <n v="246.07"/>
    <s v="Card"/>
    <x v="0"/>
    <x v="0"/>
  </r>
  <r>
    <s v="CB0297"/>
    <x v="51"/>
    <d v="2023-10-29T00:00:00"/>
    <x v="2"/>
    <x v="3"/>
    <x v="1"/>
    <s v="Sandwich"/>
    <n v="3"/>
    <n v="328"/>
    <n v="0"/>
    <n v="984"/>
    <n v="196.8"/>
    <s v="UPI"/>
    <x v="0"/>
    <x v="0"/>
  </r>
  <r>
    <s v="CB0298"/>
    <x v="138"/>
    <d v="2025-05-11T00:00:00"/>
    <x v="1"/>
    <x v="2"/>
    <x v="1"/>
    <s v="Fries"/>
    <n v="2"/>
    <n v="212"/>
    <n v="0.1"/>
    <n v="381.6"/>
    <n v="114.48"/>
    <s v="Cash"/>
    <x v="0"/>
    <x v="1"/>
  </r>
  <r>
    <s v="CB0299"/>
    <x v="32"/>
    <d v="2023-01-15T00:00:00"/>
    <x v="2"/>
    <x v="1"/>
    <x v="0"/>
    <s v="Brownie"/>
    <n v="2"/>
    <n v="383"/>
    <n v="0"/>
    <n v="766"/>
    <n v="229.8"/>
    <s v="Cash"/>
    <x v="0"/>
    <x v="0"/>
  </r>
  <r>
    <s v="CB0300"/>
    <x v="44"/>
    <d v="2025-09-09T00:00:00"/>
    <x v="1"/>
    <x v="3"/>
    <x v="2"/>
    <s v="Cold Coffee"/>
    <n v="4"/>
    <n v="134"/>
    <n v="0.05"/>
    <n v="509.2"/>
    <n v="127.3"/>
    <s v="UPI"/>
    <x v="1"/>
    <x v="0"/>
  </r>
  <r>
    <s v="CB0301"/>
    <x v="101"/>
    <d v="2025-07-20T00:00:00"/>
    <x v="1"/>
    <x v="2"/>
    <x v="1"/>
    <s v="Fries"/>
    <n v="1"/>
    <n v="205"/>
    <n v="0.05"/>
    <n v="194.75"/>
    <n v="58.42"/>
    <s v="UPI"/>
    <x v="0"/>
    <x v="0"/>
  </r>
  <r>
    <s v="CB0302"/>
    <x v="15"/>
    <d v="2024-12-28T00:00:00"/>
    <x v="0"/>
    <x v="4"/>
    <x v="2"/>
    <s v="Coffee"/>
    <n v="1"/>
    <n v="295"/>
    <n v="0.15"/>
    <n v="250.75"/>
    <n v="50.15"/>
    <s v="Cash"/>
    <x v="1"/>
    <x v="0"/>
  </r>
  <r>
    <s v="CB0303"/>
    <x v="47"/>
    <d v="2024-03-29T00:00:00"/>
    <x v="0"/>
    <x v="2"/>
    <x v="0"/>
    <s v="Muffin"/>
    <n v="1"/>
    <n v="240"/>
    <n v="0.05"/>
    <n v="228"/>
    <n v="45.6"/>
    <s v="UPI"/>
    <x v="1"/>
    <x v="0"/>
  </r>
  <r>
    <s v="CB0304"/>
    <x v="139"/>
    <d v="2024-07-03T00:00:00"/>
    <x v="0"/>
    <x v="2"/>
    <x v="1"/>
    <s v="Burger"/>
    <n v="4"/>
    <n v="412"/>
    <n v="0.1"/>
    <n v="1483.2"/>
    <n v="444.96"/>
    <s v="Card"/>
    <x v="1"/>
    <x v="1"/>
  </r>
  <r>
    <s v="CB0305"/>
    <x v="71"/>
    <d v="2025-11-28T00:00:00"/>
    <x v="1"/>
    <x v="2"/>
    <x v="1"/>
    <s v="Burger"/>
    <n v="3"/>
    <n v="91"/>
    <n v="0.1"/>
    <n v="245.7"/>
    <n v="61.43"/>
    <s v="Card"/>
    <x v="0"/>
    <x v="0"/>
  </r>
  <r>
    <s v="CB0306"/>
    <x v="93"/>
    <d v="2025-02-19T00:00:00"/>
    <x v="1"/>
    <x v="2"/>
    <x v="0"/>
    <s v="Muffin"/>
    <n v="4"/>
    <n v="99"/>
    <n v="0.05"/>
    <n v="376.2"/>
    <n v="94.05"/>
    <s v="Card"/>
    <x v="0"/>
    <x v="0"/>
  </r>
  <r>
    <s v="CB0307"/>
    <x v="89"/>
    <d v="2025-07-21T00:00:00"/>
    <x v="1"/>
    <x v="4"/>
    <x v="0"/>
    <s v="Cake"/>
    <n v="3"/>
    <n v="93"/>
    <n v="0"/>
    <n v="279"/>
    <n v="83.7"/>
    <s v="Cash"/>
    <x v="0"/>
    <x v="0"/>
  </r>
  <r>
    <s v="CB0308"/>
    <x v="32"/>
    <d v="2025-03-16T00:00:00"/>
    <x v="1"/>
    <x v="0"/>
    <x v="0"/>
    <s v="Cake"/>
    <n v="2"/>
    <n v="231"/>
    <n v="0.05"/>
    <n v="438.9"/>
    <n v="87.78"/>
    <s v="Card"/>
    <x v="0"/>
    <x v="0"/>
  </r>
  <r>
    <s v="CB0309"/>
    <x v="52"/>
    <d v="2025-11-10T00:00:00"/>
    <x v="1"/>
    <x v="1"/>
    <x v="2"/>
    <s v="Cappuccino"/>
    <n v="3"/>
    <n v="417"/>
    <n v="0.05"/>
    <n v="1188.45"/>
    <n v="356.54"/>
    <s v="Cash"/>
    <x v="1"/>
    <x v="0"/>
  </r>
  <r>
    <s v="CB0310"/>
    <x v="58"/>
    <d v="2024-07-17T00:00:00"/>
    <x v="0"/>
    <x v="4"/>
    <x v="2"/>
    <s v="Cold Coffee"/>
    <n v="2"/>
    <n v="189"/>
    <n v="0.15"/>
    <n v="321.3"/>
    <n v="96.39"/>
    <s v="Cash"/>
    <x v="1"/>
    <x v="0"/>
  </r>
  <r>
    <s v="CB0311"/>
    <x v="84"/>
    <d v="2025-06-24T00:00:00"/>
    <x v="1"/>
    <x v="0"/>
    <x v="0"/>
    <s v="Muffin"/>
    <n v="4"/>
    <n v="386"/>
    <n v="0.15"/>
    <n v="1312.4"/>
    <n v="262.48"/>
    <s v="Card"/>
    <x v="1"/>
    <x v="0"/>
  </r>
  <r>
    <s v="CB0312"/>
    <x v="76"/>
    <d v="2025-12-29T00:00:00"/>
    <x v="1"/>
    <x v="1"/>
    <x v="1"/>
    <s v="Puff"/>
    <n v="1"/>
    <n v="148"/>
    <n v="0"/>
    <n v="148"/>
    <n v="29.6"/>
    <s v="Card"/>
    <x v="0"/>
    <x v="0"/>
  </r>
  <r>
    <s v="CB0313"/>
    <x v="65"/>
    <d v="2024-01-01T00:00:00"/>
    <x v="0"/>
    <x v="2"/>
    <x v="2"/>
    <s v="Cold Coffee"/>
    <n v="1"/>
    <n v="133"/>
    <n v="0.05"/>
    <n v="126.35"/>
    <n v="31.59"/>
    <s v="Cash"/>
    <x v="0"/>
    <x v="0"/>
  </r>
  <r>
    <s v="CB0314"/>
    <x v="42"/>
    <d v="2023-03-11T00:00:00"/>
    <x v="2"/>
    <x v="4"/>
    <x v="2"/>
    <s v="Tea"/>
    <n v="1"/>
    <n v="324"/>
    <n v="0"/>
    <n v="324"/>
    <n v="64.8"/>
    <s v="Card"/>
    <x v="0"/>
    <x v="0"/>
  </r>
  <r>
    <s v="CB0315"/>
    <x v="109"/>
    <d v="2024-11-15T00:00:00"/>
    <x v="0"/>
    <x v="1"/>
    <x v="2"/>
    <s v="Cold Coffee"/>
    <n v="3"/>
    <n v="435"/>
    <n v="0.15"/>
    <n v="1109.25"/>
    <n v="277.31"/>
    <s v="UPI"/>
    <x v="1"/>
    <x v="0"/>
  </r>
  <r>
    <s v="CB0316"/>
    <x v="68"/>
    <d v="2024-08-14T00:00:00"/>
    <x v="0"/>
    <x v="4"/>
    <x v="2"/>
    <s v="Cappuccino"/>
    <n v="4"/>
    <n v="305"/>
    <n v="0.15"/>
    <n v="1037"/>
    <n v="207.4"/>
    <s v="UPI"/>
    <x v="1"/>
    <x v="0"/>
  </r>
  <r>
    <s v="CB0317"/>
    <x v="98"/>
    <d v="2023-04-15T00:00:00"/>
    <x v="2"/>
    <x v="0"/>
    <x v="0"/>
    <s v="Muffin"/>
    <n v="4"/>
    <n v="132"/>
    <n v="0.15"/>
    <n v="448.8"/>
    <n v="134.63999999999999"/>
    <s v="UPI"/>
    <x v="0"/>
    <x v="0"/>
  </r>
  <r>
    <s v="CB0318"/>
    <x v="127"/>
    <d v="2025-05-07T00:00:00"/>
    <x v="1"/>
    <x v="2"/>
    <x v="1"/>
    <s v="Puff"/>
    <n v="3"/>
    <n v="89"/>
    <n v="0.1"/>
    <n v="240.3"/>
    <n v="60.08"/>
    <s v="Cash"/>
    <x v="1"/>
    <x v="0"/>
  </r>
  <r>
    <s v="CB0319"/>
    <x v="62"/>
    <d v="2025-02-23T00:00:00"/>
    <x v="1"/>
    <x v="4"/>
    <x v="1"/>
    <s v="Burger"/>
    <n v="3"/>
    <n v="337"/>
    <n v="0"/>
    <n v="1011"/>
    <n v="202.2"/>
    <s v="Cash"/>
    <x v="1"/>
    <x v="0"/>
  </r>
  <r>
    <s v="CB0320"/>
    <x v="137"/>
    <d v="2025-09-02T00:00:00"/>
    <x v="1"/>
    <x v="4"/>
    <x v="1"/>
    <s v="Puff"/>
    <n v="2"/>
    <n v="277"/>
    <n v="0.1"/>
    <n v="498.6"/>
    <n v="124.65"/>
    <s v="Card"/>
    <x v="1"/>
    <x v="0"/>
  </r>
  <r>
    <s v="CB0321"/>
    <x v="54"/>
    <d v="2023-06-15T00:00:00"/>
    <x v="2"/>
    <x v="1"/>
    <x v="1"/>
    <s v="Puff"/>
    <n v="3"/>
    <n v="117"/>
    <n v="0.15"/>
    <n v="298.35000000000002"/>
    <n v="89.5"/>
    <s v="UPI"/>
    <x v="0"/>
    <x v="0"/>
  </r>
  <r>
    <s v="CB0322"/>
    <x v="78"/>
    <d v="2023-09-28T00:00:00"/>
    <x v="2"/>
    <x v="1"/>
    <x v="1"/>
    <s v="Sandwich"/>
    <n v="4"/>
    <n v="128"/>
    <n v="0"/>
    <n v="512"/>
    <n v="128"/>
    <s v="Card"/>
    <x v="1"/>
    <x v="0"/>
  </r>
  <r>
    <s v="CB0323"/>
    <x v="42"/>
    <d v="2024-08-24T00:00:00"/>
    <x v="0"/>
    <x v="1"/>
    <x v="2"/>
    <s v="Cold Coffee"/>
    <n v="4"/>
    <n v="198"/>
    <n v="0"/>
    <n v="792"/>
    <n v="198"/>
    <s v="UPI"/>
    <x v="0"/>
    <x v="0"/>
  </r>
  <r>
    <s v="CB0324"/>
    <x v="122"/>
    <d v="2023-01-03T00:00:00"/>
    <x v="2"/>
    <x v="0"/>
    <x v="1"/>
    <s v="Burger"/>
    <n v="3"/>
    <n v="242"/>
    <n v="0.15"/>
    <n v="617.1"/>
    <n v="185.13"/>
    <s v="Cash"/>
    <x v="1"/>
    <x v="0"/>
  </r>
  <r>
    <s v="CB0325"/>
    <x v="140"/>
    <d v="2025-08-29T00:00:00"/>
    <x v="1"/>
    <x v="2"/>
    <x v="0"/>
    <s v="Muffin"/>
    <n v="2"/>
    <n v="205"/>
    <n v="0.15"/>
    <n v="348.5"/>
    <n v="87.12"/>
    <s v="Cash"/>
    <x v="0"/>
    <x v="1"/>
  </r>
  <r>
    <s v="CB0326"/>
    <x v="39"/>
    <d v="2023-01-18T00:00:00"/>
    <x v="2"/>
    <x v="2"/>
    <x v="1"/>
    <s v="Burger"/>
    <n v="2"/>
    <n v="133"/>
    <n v="0.1"/>
    <n v="239.4"/>
    <n v="59.85"/>
    <s v="Card"/>
    <x v="0"/>
    <x v="0"/>
  </r>
  <r>
    <s v="CB0327"/>
    <x v="75"/>
    <d v="2024-02-09T00:00:00"/>
    <x v="0"/>
    <x v="3"/>
    <x v="0"/>
    <s v="Brownie"/>
    <n v="3"/>
    <n v="284"/>
    <n v="0.15"/>
    <n v="724.2"/>
    <n v="181.05"/>
    <s v="Card"/>
    <x v="0"/>
    <x v="0"/>
  </r>
  <r>
    <s v="CB0328"/>
    <x v="76"/>
    <d v="2023-11-12T00:00:00"/>
    <x v="2"/>
    <x v="3"/>
    <x v="0"/>
    <s v="Ice Cream"/>
    <n v="1"/>
    <n v="356"/>
    <n v="0.05"/>
    <n v="338.2"/>
    <n v="101.46"/>
    <s v="Card"/>
    <x v="0"/>
    <x v="0"/>
  </r>
  <r>
    <s v="CB0329"/>
    <x v="108"/>
    <d v="2024-02-12T00:00:00"/>
    <x v="0"/>
    <x v="1"/>
    <x v="2"/>
    <s v="Latte"/>
    <n v="1"/>
    <n v="205"/>
    <n v="0.1"/>
    <n v="184.5"/>
    <n v="46.12"/>
    <s v="Card"/>
    <x v="0"/>
    <x v="0"/>
  </r>
  <r>
    <s v="CB0330"/>
    <x v="66"/>
    <d v="2024-10-28T00:00:00"/>
    <x v="0"/>
    <x v="2"/>
    <x v="2"/>
    <s v="Coffee"/>
    <n v="4"/>
    <n v="424"/>
    <n v="0.05"/>
    <n v="1611.2"/>
    <n v="402.8"/>
    <s v="Card"/>
    <x v="0"/>
    <x v="0"/>
  </r>
  <r>
    <s v="CB0331"/>
    <x v="92"/>
    <d v="2025-03-15T00:00:00"/>
    <x v="1"/>
    <x v="1"/>
    <x v="1"/>
    <s v="Burger"/>
    <n v="1"/>
    <n v="197"/>
    <n v="0.15"/>
    <n v="167.45"/>
    <n v="41.86"/>
    <s v="Cash"/>
    <x v="1"/>
    <x v="0"/>
  </r>
  <r>
    <s v="CB0332"/>
    <x v="65"/>
    <d v="2024-03-03T00:00:00"/>
    <x v="0"/>
    <x v="3"/>
    <x v="0"/>
    <s v="Cake"/>
    <n v="2"/>
    <n v="109"/>
    <n v="0.05"/>
    <n v="207.1"/>
    <n v="51.77"/>
    <s v="UPI"/>
    <x v="0"/>
    <x v="0"/>
  </r>
  <r>
    <s v="CB0333"/>
    <x v="141"/>
    <d v="2024-06-21T00:00:00"/>
    <x v="0"/>
    <x v="0"/>
    <x v="1"/>
    <s v="Fries"/>
    <n v="4"/>
    <n v="212"/>
    <n v="0"/>
    <n v="848"/>
    <n v="254.4"/>
    <s v="Card"/>
    <x v="0"/>
    <x v="1"/>
  </r>
  <r>
    <s v="CB0334"/>
    <x v="121"/>
    <d v="2023-12-10T00:00:00"/>
    <x v="2"/>
    <x v="2"/>
    <x v="1"/>
    <s v="Sandwich"/>
    <n v="1"/>
    <n v="355"/>
    <n v="0.1"/>
    <n v="319.5"/>
    <n v="79.88"/>
    <s v="Cash"/>
    <x v="0"/>
    <x v="0"/>
  </r>
  <r>
    <s v="CB0335"/>
    <x v="85"/>
    <d v="2024-03-24T00:00:00"/>
    <x v="0"/>
    <x v="2"/>
    <x v="2"/>
    <s v="Coffee"/>
    <n v="2"/>
    <n v="153"/>
    <n v="0"/>
    <n v="306"/>
    <n v="76.5"/>
    <s v="Card"/>
    <x v="0"/>
    <x v="0"/>
  </r>
  <r>
    <s v="CB0336"/>
    <x v="90"/>
    <d v="2024-06-27T00:00:00"/>
    <x v="0"/>
    <x v="3"/>
    <x v="0"/>
    <s v="Muffin"/>
    <n v="2"/>
    <n v="126"/>
    <n v="0.05"/>
    <n v="239.4"/>
    <n v="71.819999999999993"/>
    <s v="UPI"/>
    <x v="0"/>
    <x v="0"/>
  </r>
  <r>
    <s v="CB0337"/>
    <x v="68"/>
    <d v="2025-02-23T00:00:00"/>
    <x v="1"/>
    <x v="4"/>
    <x v="1"/>
    <s v="Sandwich"/>
    <n v="2"/>
    <n v="171"/>
    <n v="0.1"/>
    <n v="307.8"/>
    <n v="92.34"/>
    <s v="Cash"/>
    <x v="0"/>
    <x v="0"/>
  </r>
  <r>
    <s v="CB0338"/>
    <x v="18"/>
    <d v="2025-07-18T00:00:00"/>
    <x v="1"/>
    <x v="4"/>
    <x v="2"/>
    <s v="Latte"/>
    <n v="3"/>
    <n v="90"/>
    <n v="0.1"/>
    <n v="243"/>
    <n v="72.900000000000006"/>
    <s v="Card"/>
    <x v="0"/>
    <x v="0"/>
  </r>
  <r>
    <s v="CB0339"/>
    <x v="59"/>
    <d v="2023-02-21T00:00:00"/>
    <x v="2"/>
    <x v="1"/>
    <x v="1"/>
    <s v="Fries"/>
    <n v="3"/>
    <n v="286"/>
    <n v="0.05"/>
    <n v="815.1"/>
    <n v="203.77"/>
    <s v="Card"/>
    <x v="0"/>
    <x v="0"/>
  </r>
  <r>
    <s v="CB0340"/>
    <x v="51"/>
    <d v="2024-10-09T00:00:00"/>
    <x v="0"/>
    <x v="0"/>
    <x v="2"/>
    <s v="Cappuccino"/>
    <n v="1"/>
    <n v="337"/>
    <n v="0.15"/>
    <n v="286.45"/>
    <n v="71.61"/>
    <s v="Card"/>
    <x v="0"/>
    <x v="0"/>
  </r>
  <r>
    <s v="CB0341"/>
    <x v="39"/>
    <d v="2023-11-22T00:00:00"/>
    <x v="2"/>
    <x v="1"/>
    <x v="0"/>
    <s v="Muffin"/>
    <n v="4"/>
    <n v="231"/>
    <n v="0.1"/>
    <n v="831.6"/>
    <n v="166.32"/>
    <s v="Card"/>
    <x v="0"/>
    <x v="0"/>
  </r>
  <r>
    <s v="CB0342"/>
    <x v="23"/>
    <d v="2024-05-24T00:00:00"/>
    <x v="0"/>
    <x v="3"/>
    <x v="0"/>
    <s v="Brownie"/>
    <n v="3"/>
    <n v="134"/>
    <n v="0"/>
    <n v="402"/>
    <n v="120.6"/>
    <s v="Cash"/>
    <x v="0"/>
    <x v="0"/>
  </r>
  <r>
    <s v="CB0343"/>
    <x v="16"/>
    <d v="2024-08-15T00:00:00"/>
    <x v="0"/>
    <x v="2"/>
    <x v="2"/>
    <s v="Cappuccino"/>
    <n v="2"/>
    <n v="161"/>
    <n v="0.15"/>
    <n v="273.7"/>
    <n v="68.42"/>
    <s v="Cash"/>
    <x v="1"/>
    <x v="0"/>
  </r>
  <r>
    <s v="CB0344"/>
    <x v="124"/>
    <d v="2024-06-16T00:00:00"/>
    <x v="0"/>
    <x v="4"/>
    <x v="2"/>
    <s v="Tea"/>
    <n v="1"/>
    <n v="444"/>
    <n v="0.1"/>
    <n v="399.6"/>
    <n v="119.88"/>
    <s v="Cash"/>
    <x v="1"/>
    <x v="0"/>
  </r>
  <r>
    <s v="CB0345"/>
    <x v="69"/>
    <d v="2023-02-14T00:00:00"/>
    <x v="2"/>
    <x v="1"/>
    <x v="2"/>
    <s v="Tea"/>
    <n v="3"/>
    <n v="257"/>
    <n v="0.15"/>
    <n v="655.35"/>
    <n v="196.6"/>
    <s v="Cash"/>
    <x v="0"/>
    <x v="0"/>
  </r>
  <r>
    <s v="CB0346"/>
    <x v="87"/>
    <d v="2024-09-20T00:00:00"/>
    <x v="0"/>
    <x v="0"/>
    <x v="1"/>
    <s v="Sandwich"/>
    <n v="1"/>
    <n v="287"/>
    <n v="0.1"/>
    <n v="258.3"/>
    <n v="51.66"/>
    <s v="UPI"/>
    <x v="1"/>
    <x v="0"/>
  </r>
  <r>
    <s v="CB0347"/>
    <x v="94"/>
    <d v="2025-11-22T00:00:00"/>
    <x v="1"/>
    <x v="3"/>
    <x v="2"/>
    <s v="Tea"/>
    <n v="2"/>
    <n v="333"/>
    <n v="0"/>
    <n v="666"/>
    <n v="166.5"/>
    <s v="Card"/>
    <x v="0"/>
    <x v="0"/>
  </r>
  <r>
    <s v="CB0348"/>
    <x v="72"/>
    <d v="2024-01-04T00:00:00"/>
    <x v="0"/>
    <x v="0"/>
    <x v="1"/>
    <s v="Puff"/>
    <n v="2"/>
    <n v="284"/>
    <n v="0"/>
    <n v="568"/>
    <n v="142"/>
    <s v="UPI"/>
    <x v="1"/>
    <x v="0"/>
  </r>
  <r>
    <s v="CB0349"/>
    <x v="2"/>
    <d v="2025-08-22T00:00:00"/>
    <x v="1"/>
    <x v="1"/>
    <x v="1"/>
    <s v="Burger"/>
    <n v="3"/>
    <n v="334"/>
    <n v="0"/>
    <n v="1002"/>
    <n v="300.60000000000002"/>
    <s v="Cash"/>
    <x v="0"/>
    <x v="0"/>
  </r>
  <r>
    <s v="CB0350"/>
    <x v="118"/>
    <d v="2025-04-14T00:00:00"/>
    <x v="1"/>
    <x v="4"/>
    <x v="2"/>
    <s v="Cappuccino"/>
    <n v="2"/>
    <n v="149"/>
    <n v="0.05"/>
    <n v="283.10000000000002"/>
    <n v="56.62"/>
    <s v="Cash"/>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CB0001"/>
    <s v="C400"/>
    <d v="2024-05-10T00:00:00"/>
    <s v="Ahmedabad"/>
    <x v="0"/>
    <s v="Cake"/>
    <n v="2"/>
    <n v="272"/>
    <n v="0"/>
    <n v="544"/>
    <n v="108.8"/>
    <s v="Card"/>
    <s v="Takeaway"/>
    <s v="Repeat"/>
    <x v="0"/>
  </r>
  <r>
    <s v="CB0002"/>
    <s v="C177"/>
    <d v="2024-10-14T00:00:00"/>
    <s v="Mumbai"/>
    <x v="1"/>
    <s v="Fries"/>
    <n v="2"/>
    <n v="270"/>
    <n v="0"/>
    <n v="540"/>
    <n v="162"/>
    <s v="UPI"/>
    <s v="Dine-In"/>
    <s v="New"/>
    <x v="0"/>
  </r>
  <r>
    <s v="CB0003"/>
    <s v="C607"/>
    <d v="2025-11-25T00:00:00"/>
    <s v="Mumbai"/>
    <x v="1"/>
    <s v="Burger"/>
    <n v="1"/>
    <n v="226"/>
    <n v="0.15"/>
    <n v="192.1"/>
    <n v="57.63"/>
    <s v="Card"/>
    <s v="Dine-In"/>
    <s v="Repeat"/>
    <x v="1"/>
  </r>
  <r>
    <s v="CB0004"/>
    <s v="C672"/>
    <d v="2023-12-09T00:00:00"/>
    <s v="Ahmedabad"/>
    <x v="2"/>
    <s v="Tea"/>
    <n v="2"/>
    <n v="349"/>
    <n v="0.1"/>
    <n v="628.20000000000005"/>
    <n v="157.05000000000001"/>
    <s v="Card"/>
    <s v="Takeaway"/>
    <s v="Repeat"/>
    <x v="2"/>
  </r>
  <r>
    <s v="CB0005"/>
    <s v="C201"/>
    <d v="2023-01-27T00:00:00"/>
    <s v="Rajkot"/>
    <x v="2"/>
    <s v="Cold Coffee"/>
    <n v="3"/>
    <n v="231"/>
    <n v="0.05"/>
    <n v="658.35"/>
    <n v="164.59"/>
    <s v="Cash"/>
    <s v="Takeaway"/>
    <s v="New"/>
    <x v="2"/>
  </r>
  <r>
    <s v="CB0006"/>
    <s v="C202"/>
    <d v="2023-10-11T00:00:00"/>
    <s v="Mumbai"/>
    <x v="2"/>
    <s v="Cold Coffee"/>
    <n v="1"/>
    <n v="292"/>
    <n v="0.1"/>
    <n v="262.8"/>
    <n v="52.56"/>
    <s v="UPI"/>
    <s v="Dine-In"/>
    <s v="New"/>
    <x v="2"/>
  </r>
  <r>
    <s v="CB0007"/>
    <s v="C203"/>
    <d v="2025-07-12T00:00:00"/>
    <s v="Surat"/>
    <x v="2"/>
    <s v="Coffee"/>
    <n v="3"/>
    <n v="361"/>
    <n v="0.15"/>
    <n v="920.55"/>
    <n v="230.14"/>
    <s v="UPI"/>
    <s v="Dine-In"/>
    <s v="New"/>
    <x v="1"/>
  </r>
  <r>
    <s v="CB0008"/>
    <s v="C204"/>
    <d v="2024-03-16T00:00:00"/>
    <s v="Ahmedabad"/>
    <x v="0"/>
    <s v="Brownie"/>
    <n v="2"/>
    <n v="111"/>
    <n v="0"/>
    <n v="222"/>
    <n v="66.599999999999994"/>
    <s v="Card"/>
    <s v="Dine-In"/>
    <s v="Repeat"/>
    <x v="0"/>
  </r>
  <r>
    <s v="CB0009"/>
    <s v="C914"/>
    <d v="2023-08-19T00:00:00"/>
    <s v="Ahmedabad"/>
    <x v="1"/>
    <s v="Puff"/>
    <n v="1"/>
    <n v="325"/>
    <n v="0.05"/>
    <n v="308.75"/>
    <n v="77.19"/>
    <s v="Card"/>
    <s v="Takeaway"/>
    <s v="Repeat"/>
    <x v="2"/>
  </r>
  <r>
    <s v="CB0010"/>
    <s v="C376"/>
    <d v="2024-06-17T00:00:00"/>
    <s v="Mumbai"/>
    <x v="2"/>
    <s v="Tea"/>
    <n v="3"/>
    <n v="274"/>
    <n v="0.1"/>
    <n v="739.8"/>
    <n v="147.96"/>
    <s v="UPI"/>
    <s v="Takeaway"/>
    <s v="Repeat"/>
    <x v="0"/>
  </r>
  <r>
    <s v="CB0011"/>
    <s v="C371"/>
    <d v="2023-03-05T00:00:00"/>
    <s v="Mumbai"/>
    <x v="2"/>
    <s v="Tea"/>
    <n v="1"/>
    <n v="177"/>
    <n v="0.05"/>
    <n v="168.15"/>
    <n v="50.45"/>
    <s v="Card"/>
    <s v="Dine-In"/>
    <s v="Repeat"/>
    <x v="2"/>
  </r>
  <r>
    <s v="CB0012"/>
    <s v="C414"/>
    <d v="2023-12-05T00:00:00"/>
    <s v="Rajkot"/>
    <x v="2"/>
    <s v="Tea"/>
    <n v="3"/>
    <n v="299"/>
    <n v="0.15"/>
    <n v="762.45"/>
    <n v="228.73"/>
    <s v="UPI"/>
    <s v="Dine-In"/>
    <s v="Repeat"/>
    <x v="2"/>
  </r>
  <r>
    <s v="CB0013"/>
    <s v="C400"/>
    <d v="2023-06-09T00:00:00"/>
    <s v="Rajkot"/>
    <x v="0"/>
    <s v="Muffin"/>
    <n v="1"/>
    <n v="327"/>
    <n v="0.1"/>
    <n v="294.3"/>
    <n v="88.29"/>
    <s v="UPI"/>
    <s v="Dine-In"/>
    <s v="Repeat"/>
    <x v="2"/>
  </r>
  <r>
    <s v="CB0014"/>
    <s v="C401"/>
    <d v="2023-12-08T00:00:00"/>
    <s v="Surat"/>
    <x v="1"/>
    <s v="Fries"/>
    <n v="3"/>
    <n v="100"/>
    <n v="0.05"/>
    <n v="285"/>
    <n v="71.25"/>
    <s v="Cash"/>
    <s v="Dine-In"/>
    <s v="New"/>
    <x v="2"/>
  </r>
  <r>
    <s v="CB0015"/>
    <s v="C402"/>
    <d v="2023-09-15T00:00:00"/>
    <s v="Vadodara"/>
    <x v="0"/>
    <s v="Muffin"/>
    <n v="4"/>
    <n v="239"/>
    <n v="0"/>
    <n v="956"/>
    <n v="191.2"/>
    <s v="Card"/>
    <s v="Dine-In"/>
    <s v="New"/>
    <x v="2"/>
  </r>
  <r>
    <s v="CB0016"/>
    <s v="C403"/>
    <d v="2024-01-07T00:00:00"/>
    <s v="Vadodara"/>
    <x v="2"/>
    <s v="Cappuccino"/>
    <n v="3"/>
    <n v="262"/>
    <n v="0"/>
    <n v="786"/>
    <n v="196.5"/>
    <s v="Card"/>
    <s v="Takeaway"/>
    <s v="New"/>
    <x v="0"/>
  </r>
  <r>
    <s v="CB0017"/>
    <s v="C519"/>
    <d v="2023-07-20T00:00:00"/>
    <s v="Rajkot"/>
    <x v="2"/>
    <s v="Cappuccino"/>
    <n v="1"/>
    <n v="316"/>
    <n v="0.1"/>
    <n v="284.39999999999998"/>
    <n v="85.32"/>
    <s v="Card"/>
    <s v="Dine-In"/>
    <s v="Repeat"/>
    <x v="2"/>
  </r>
  <r>
    <s v="CB0018"/>
    <s v="C846"/>
    <d v="2025-08-01T00:00:00"/>
    <s v="Ahmedabad"/>
    <x v="2"/>
    <s v="Latte"/>
    <n v="3"/>
    <n v="380"/>
    <n v="0.1"/>
    <n v="1026"/>
    <n v="307.8"/>
    <s v="UPI"/>
    <s v="Dine-In"/>
    <s v="Repeat"/>
    <x v="1"/>
  </r>
  <r>
    <s v="CB0019"/>
    <s v="C596"/>
    <d v="2024-07-20T00:00:00"/>
    <s v="Surat"/>
    <x v="0"/>
    <s v="Cake"/>
    <n v="1"/>
    <n v="201"/>
    <n v="0.15"/>
    <n v="170.85"/>
    <n v="42.71"/>
    <s v="Card"/>
    <s v="Dine-In"/>
    <s v="Repeat"/>
    <x v="0"/>
  </r>
  <r>
    <s v="CB0020"/>
    <s v="C350"/>
    <d v="2024-06-19T00:00:00"/>
    <s v="Surat"/>
    <x v="1"/>
    <s v="Burger"/>
    <n v="4"/>
    <n v="170"/>
    <n v="0.15"/>
    <n v="578"/>
    <n v="173.4"/>
    <s v="Cash"/>
    <s v="Takeaway"/>
    <s v="Repeat"/>
    <x v="0"/>
  </r>
  <r>
    <s v="CB0021"/>
    <s v="C287"/>
    <d v="2025-09-08T00:00:00"/>
    <s v="Rajkot"/>
    <x v="0"/>
    <s v="Ice Cream"/>
    <n v="3"/>
    <n v="142"/>
    <n v="0.15"/>
    <n v="362.1"/>
    <n v="72.42"/>
    <s v="Cash"/>
    <s v="Dine-In"/>
    <s v="Repeat"/>
    <x v="1"/>
  </r>
  <r>
    <s v="CB0022"/>
    <s v="C111"/>
    <d v="2023-12-02T00:00:00"/>
    <s v="Vadodara"/>
    <x v="2"/>
    <s v="Tea"/>
    <n v="1"/>
    <n v="433"/>
    <n v="0"/>
    <n v="433"/>
    <n v="86.6"/>
    <s v="UPI"/>
    <s v="Dine-In"/>
    <s v="New"/>
    <x v="2"/>
  </r>
  <r>
    <s v="CB0023"/>
    <s v="C100"/>
    <d v="2024-10-28T00:00:00"/>
    <s v="Surat"/>
    <x v="2"/>
    <s v="Cold Coffee"/>
    <n v="2"/>
    <n v="362"/>
    <n v="0.1"/>
    <n v="651.6"/>
    <n v="162.9"/>
    <s v="Cash"/>
    <s v="Takeaway"/>
    <s v="New"/>
    <x v="0"/>
  </r>
  <r>
    <s v="CB0024"/>
    <s v="C300"/>
    <d v="2025-10-12T00:00:00"/>
    <s v="Mumbai"/>
    <x v="1"/>
    <s v="Fries"/>
    <n v="2"/>
    <n v="239"/>
    <n v="0"/>
    <n v="478"/>
    <n v="95.6"/>
    <s v="UPI"/>
    <s v="Takeaway"/>
    <s v="New"/>
    <x v="1"/>
  </r>
  <r>
    <s v="CB0025"/>
    <s v="C147"/>
    <d v="2023-05-16T00:00:00"/>
    <s v="Vadodara"/>
    <x v="0"/>
    <s v="Ice Cream"/>
    <n v="4"/>
    <n v="331"/>
    <n v="0.1"/>
    <n v="1191.5999999999999"/>
    <n v="297.89999999999998"/>
    <s v="Cash"/>
    <s v="Dine-In"/>
    <s v="Repeat"/>
    <x v="2"/>
  </r>
  <r>
    <s v="CB0026"/>
    <s v="C540"/>
    <d v="2024-03-05T00:00:00"/>
    <s v="Rajkot"/>
    <x v="0"/>
    <s v="Muffin"/>
    <n v="1"/>
    <n v="157"/>
    <n v="0.15"/>
    <n v="133.44999999999999"/>
    <n v="26.69"/>
    <s v="Card"/>
    <s v="Takeaway"/>
    <s v="Repeat"/>
    <x v="0"/>
  </r>
  <r>
    <s v="CB0027"/>
    <s v="C204"/>
    <d v="2024-10-08T00:00:00"/>
    <s v="Rajkot"/>
    <x v="0"/>
    <s v="Brownie"/>
    <n v="2"/>
    <n v="280"/>
    <n v="0.05"/>
    <n v="532"/>
    <n v="159.6"/>
    <s v="Cash"/>
    <s v="Takeaway"/>
    <s v="Repeat"/>
    <x v="0"/>
  </r>
  <r>
    <s v="CB0028"/>
    <s v="C483"/>
    <d v="2023-02-08T00:00:00"/>
    <s v="Ahmedabad"/>
    <x v="0"/>
    <s v="Cake"/>
    <n v="1"/>
    <n v="104"/>
    <n v="0.15"/>
    <n v="88.4"/>
    <n v="26.52"/>
    <s v="Cash"/>
    <s v="Dine-In"/>
    <s v="Repeat"/>
    <x v="2"/>
  </r>
  <r>
    <s v="CB0029"/>
    <s v="C523"/>
    <d v="2024-01-31T00:00:00"/>
    <s v="Rajkot"/>
    <x v="1"/>
    <s v="Burger"/>
    <n v="4"/>
    <n v="278"/>
    <n v="0.15"/>
    <n v="945.2"/>
    <n v="189.04"/>
    <s v="UPI"/>
    <s v="Takeaway"/>
    <s v="Repeat"/>
    <x v="0"/>
  </r>
  <r>
    <s v="CB0030"/>
    <s v="C739"/>
    <d v="2023-11-13T00:00:00"/>
    <s v="Surat"/>
    <x v="1"/>
    <s v="Fries"/>
    <n v="4"/>
    <n v="147"/>
    <n v="0.15"/>
    <n v="499.8"/>
    <n v="124.95"/>
    <s v="Cash"/>
    <s v="Takeaway"/>
    <s v="Repeat"/>
    <x v="2"/>
  </r>
  <r>
    <s v="CB0031"/>
    <s v="C432"/>
    <d v="2023-04-06T00:00:00"/>
    <s v="Vadodara"/>
    <x v="2"/>
    <s v="Cappuccino"/>
    <n v="3"/>
    <n v="330"/>
    <n v="0.15"/>
    <n v="841.5"/>
    <n v="210.38"/>
    <s v="Card"/>
    <s v="Takeaway"/>
    <s v="Repeat"/>
    <x v="2"/>
  </r>
  <r>
    <s v="CB0032"/>
    <s v="C735"/>
    <d v="2023-08-04T00:00:00"/>
    <s v="Ahmedabad"/>
    <x v="0"/>
    <s v="Muffin"/>
    <n v="2"/>
    <n v="332"/>
    <n v="0.15"/>
    <n v="564.4"/>
    <n v="141.1"/>
    <s v="Card"/>
    <s v="Takeaway"/>
    <s v="New"/>
    <x v="2"/>
  </r>
  <r>
    <s v="CB0033"/>
    <s v="C285"/>
    <d v="2023-10-11T00:00:00"/>
    <s v="Surat"/>
    <x v="0"/>
    <s v="Muffin"/>
    <n v="1"/>
    <n v="250"/>
    <n v="0"/>
    <n v="250"/>
    <n v="75"/>
    <s v="Card"/>
    <s v="Takeaway"/>
    <s v="Repeat"/>
    <x v="2"/>
  </r>
  <r>
    <s v="CB0034"/>
    <s v="C318"/>
    <d v="2023-12-06T00:00:00"/>
    <s v="Mumbai"/>
    <x v="2"/>
    <s v="Cold Coffee"/>
    <n v="3"/>
    <n v="332"/>
    <n v="0.15"/>
    <n v="846.6"/>
    <n v="169.32"/>
    <s v="UPI"/>
    <s v="Takeaway"/>
    <s v="New"/>
    <x v="2"/>
  </r>
  <r>
    <s v="CB0035"/>
    <s v="C674"/>
    <d v="2025-03-25T00:00:00"/>
    <s v="Rajkot"/>
    <x v="0"/>
    <s v="Brownie"/>
    <n v="2"/>
    <n v="328"/>
    <n v="0.1"/>
    <n v="590.4"/>
    <n v="177.12"/>
    <s v="Card"/>
    <s v="Dine-In"/>
    <s v="Repeat"/>
    <x v="1"/>
  </r>
  <r>
    <s v="CB0036"/>
    <s v="C657"/>
    <d v="2025-02-23T00:00:00"/>
    <s v="Rajkot"/>
    <x v="1"/>
    <s v="Sandwich"/>
    <n v="1"/>
    <n v="231"/>
    <n v="0"/>
    <n v="231"/>
    <n v="57.75"/>
    <s v="UPI"/>
    <s v="Dine-In"/>
    <s v="Repeat"/>
    <x v="1"/>
  </r>
  <r>
    <s v="CB0037"/>
    <s v="C607"/>
    <d v="2025-05-17T00:00:00"/>
    <s v="Surat"/>
    <x v="0"/>
    <s v="Brownie"/>
    <n v="3"/>
    <n v="285"/>
    <n v="0.15"/>
    <n v="726.75"/>
    <n v="145.35"/>
    <s v="Cash"/>
    <s v="Takeaway"/>
    <s v="Repeat"/>
    <x v="1"/>
  </r>
  <r>
    <s v="CB0038"/>
    <s v="C205"/>
    <d v="2024-03-18T00:00:00"/>
    <s v="Rajkot"/>
    <x v="2"/>
    <s v="Cold Coffee"/>
    <n v="3"/>
    <n v="181"/>
    <n v="0.05"/>
    <n v="515.85"/>
    <n v="103.17"/>
    <s v="Card"/>
    <s v="Takeaway"/>
    <s v="Repeat"/>
    <x v="0"/>
  </r>
  <r>
    <s v="CB0039"/>
    <s v="C854"/>
    <d v="2024-07-26T00:00:00"/>
    <s v="Vadodara"/>
    <x v="1"/>
    <s v="Fries"/>
    <n v="2"/>
    <n v="290"/>
    <n v="0.05"/>
    <n v="551"/>
    <n v="165.3"/>
    <s v="Card"/>
    <s v="Dine-In"/>
    <s v="Repeat"/>
    <x v="0"/>
  </r>
  <r>
    <s v="CB0040"/>
    <s v="C900"/>
    <d v="2025-08-14T00:00:00"/>
    <s v="Surat"/>
    <x v="2"/>
    <s v="Cappuccino"/>
    <n v="4"/>
    <n v="285"/>
    <n v="0"/>
    <n v="1140"/>
    <n v="228"/>
    <s v="UPI"/>
    <s v="Dine-In"/>
    <s v="New"/>
    <x v="1"/>
  </r>
  <r>
    <s v="CB0041"/>
    <s v="C901"/>
    <d v="2023-07-16T00:00:00"/>
    <s v="Rajkot"/>
    <x v="2"/>
    <s v="Cold Coffee"/>
    <n v="4"/>
    <n v="214"/>
    <n v="0"/>
    <n v="856"/>
    <n v="171.2"/>
    <s v="UPI"/>
    <s v="Dine-In"/>
    <s v="New"/>
    <x v="2"/>
  </r>
  <r>
    <s v="CB0042"/>
    <s v="C902"/>
    <d v="2023-04-02T00:00:00"/>
    <s v="Ahmedabad"/>
    <x v="2"/>
    <s v="Cold Coffee"/>
    <n v="3"/>
    <n v="182"/>
    <n v="0.05"/>
    <n v="518.70000000000005"/>
    <n v="129.66999999999999"/>
    <s v="Cash"/>
    <s v="Takeaway"/>
    <s v="Repeat"/>
    <x v="2"/>
  </r>
  <r>
    <s v="CB0043"/>
    <s v="C903"/>
    <d v="2023-03-30T00:00:00"/>
    <s v="Rajkot"/>
    <x v="0"/>
    <s v="Ice Cream"/>
    <n v="3"/>
    <n v="106"/>
    <n v="0"/>
    <n v="318"/>
    <n v="63.6"/>
    <s v="Cash"/>
    <s v="Dine-In"/>
    <s v="Repeat"/>
    <x v="2"/>
  </r>
  <r>
    <s v="CB0044"/>
    <s v="C904"/>
    <d v="2024-04-14T00:00:00"/>
    <s v="Surat"/>
    <x v="0"/>
    <s v="Cake"/>
    <n v="2"/>
    <n v="248"/>
    <n v="0.1"/>
    <n v="446.4"/>
    <n v="111.6"/>
    <s v="Card"/>
    <s v="Takeaway"/>
    <s v="New"/>
    <x v="0"/>
  </r>
  <r>
    <s v="CB0045"/>
    <s v="C841"/>
    <d v="2023-03-08T00:00:00"/>
    <s v="Vadodara"/>
    <x v="1"/>
    <s v="Sandwich"/>
    <n v="3"/>
    <n v="171"/>
    <n v="0"/>
    <n v="513"/>
    <n v="102.6"/>
    <s v="Card"/>
    <s v="Takeaway"/>
    <s v="New"/>
    <x v="2"/>
  </r>
  <r>
    <s v="CB0046"/>
    <s v="C353"/>
    <d v="2025-07-16T00:00:00"/>
    <s v="Ahmedabad"/>
    <x v="1"/>
    <s v="Puff"/>
    <n v="3"/>
    <n v="262"/>
    <n v="0.1"/>
    <n v="707.4"/>
    <n v="176.85"/>
    <s v="UPI"/>
    <s v="Dine-In"/>
    <s v="Repeat"/>
    <x v="1"/>
  </r>
  <r>
    <s v="CB0047"/>
    <s v="C521"/>
    <d v="2025-04-23T00:00:00"/>
    <s v="Ahmedabad"/>
    <x v="1"/>
    <s v="Burger"/>
    <n v="4"/>
    <n v="217"/>
    <n v="0.05"/>
    <n v="824.6"/>
    <n v="164.92"/>
    <s v="Cash"/>
    <s v="Dine-In"/>
    <s v="New"/>
    <x v="1"/>
  </r>
  <r>
    <s v="CB0048"/>
    <s v="C607"/>
    <d v="2025-05-19T00:00:00"/>
    <s v="Vadodara"/>
    <x v="0"/>
    <s v="Brownie"/>
    <n v="1"/>
    <n v="297"/>
    <n v="0"/>
    <n v="297"/>
    <n v="59.4"/>
    <s v="UPI"/>
    <s v="Dine-In"/>
    <s v="Repeat"/>
    <x v="1"/>
  </r>
  <r>
    <s v="CB0049"/>
    <s v="C566"/>
    <d v="2023-03-15T00:00:00"/>
    <s v="Vadodara"/>
    <x v="2"/>
    <s v="Latte"/>
    <n v="3"/>
    <n v="96"/>
    <n v="0.05"/>
    <n v="273.60000000000002"/>
    <n v="82.08"/>
    <s v="UPI"/>
    <s v="Dine-In"/>
    <s v="Repeat"/>
    <x v="2"/>
  </r>
  <r>
    <s v="CB0050"/>
    <s v="C453"/>
    <d v="2024-07-17T00:00:00"/>
    <s v="Ahmedabad"/>
    <x v="0"/>
    <s v="Brownie"/>
    <n v="4"/>
    <n v="228"/>
    <n v="0"/>
    <n v="912"/>
    <n v="228"/>
    <s v="Cash"/>
    <s v="Dine-In"/>
    <s v="Repeat"/>
    <x v="0"/>
  </r>
  <r>
    <s v="CB0051"/>
    <s v="C949"/>
    <d v="2024-06-17T00:00:00"/>
    <s v="Surat"/>
    <x v="0"/>
    <s v="Brownie"/>
    <n v="2"/>
    <n v="110"/>
    <n v="0.15"/>
    <n v="187"/>
    <n v="37.4"/>
    <s v="Card"/>
    <s v="Takeaway"/>
    <s v="Repeat"/>
    <x v="0"/>
  </r>
  <r>
    <s v="CB0052"/>
    <s v="C357"/>
    <d v="2023-01-22T00:00:00"/>
    <s v="Surat"/>
    <x v="1"/>
    <s v="Fries"/>
    <n v="1"/>
    <n v="412"/>
    <n v="0.1"/>
    <n v="370.8"/>
    <n v="92.7"/>
    <s v="Cash"/>
    <s v="Dine-In"/>
    <s v="Repeat"/>
    <x v="2"/>
  </r>
  <r>
    <s v="CB0053"/>
    <s v="C156"/>
    <d v="2023-02-19T00:00:00"/>
    <s v="Mumbai"/>
    <x v="0"/>
    <s v="Cake"/>
    <n v="4"/>
    <n v="108"/>
    <n v="0.15"/>
    <n v="367.2"/>
    <n v="73.44"/>
    <s v="UPI"/>
    <s v="Dine-In"/>
    <s v="New"/>
    <x v="2"/>
  </r>
  <r>
    <s v="CB0054"/>
    <s v="C566"/>
    <d v="2025-02-03T00:00:00"/>
    <s v="Rajkot"/>
    <x v="1"/>
    <s v="Sandwich"/>
    <n v="1"/>
    <n v="180"/>
    <n v="0.05"/>
    <n v="171"/>
    <n v="42.75"/>
    <s v="Cash"/>
    <s v="Dine-In"/>
    <s v="Repeat"/>
    <x v="1"/>
  </r>
  <r>
    <s v="CB0055"/>
    <s v="C897"/>
    <d v="2025-04-10T00:00:00"/>
    <s v="Vadodara"/>
    <x v="1"/>
    <s v="Sandwich"/>
    <n v="2"/>
    <n v="165"/>
    <n v="0.1"/>
    <n v="297"/>
    <n v="74.25"/>
    <s v="UPI"/>
    <s v="Takeaway"/>
    <s v="Repeat"/>
    <x v="1"/>
  </r>
  <r>
    <s v="CB0056"/>
    <s v="C739"/>
    <d v="2025-06-24T00:00:00"/>
    <s v="Vadodara"/>
    <x v="1"/>
    <s v="Burger"/>
    <n v="1"/>
    <n v="82"/>
    <n v="0.1"/>
    <n v="73.8"/>
    <n v="18.45"/>
    <s v="Cash"/>
    <s v="Takeaway"/>
    <s v="Repeat"/>
    <x v="1"/>
  </r>
  <r>
    <s v="CB0057"/>
    <s v="C729"/>
    <d v="2024-06-12T00:00:00"/>
    <s v="Rajkot"/>
    <x v="2"/>
    <s v="Cold Coffee"/>
    <n v="1"/>
    <n v="107"/>
    <n v="0.1"/>
    <n v="96.3"/>
    <n v="24.07"/>
    <s v="UPI"/>
    <s v="Takeaway"/>
    <s v="New"/>
    <x v="0"/>
  </r>
  <r>
    <s v="CB0058"/>
    <s v="C353"/>
    <d v="2025-04-03T00:00:00"/>
    <s v="Vadodara"/>
    <x v="2"/>
    <s v="Coffee"/>
    <n v="2"/>
    <n v="360"/>
    <n v="0.05"/>
    <n v="684"/>
    <n v="205.2"/>
    <s v="UPI"/>
    <s v="Dine-In"/>
    <s v="Repeat"/>
    <x v="1"/>
  </r>
  <r>
    <s v="CB0059"/>
    <s v="C255"/>
    <d v="2024-03-20T00:00:00"/>
    <s v="Mumbai"/>
    <x v="0"/>
    <s v="Ice Cream"/>
    <n v="2"/>
    <n v="356"/>
    <n v="0"/>
    <n v="712"/>
    <n v="178"/>
    <s v="Card"/>
    <s v="Dine-In"/>
    <s v="Repeat"/>
    <x v="0"/>
  </r>
  <r>
    <s v="CB0060"/>
    <s v="C183"/>
    <d v="2023-01-27T00:00:00"/>
    <s v="Mumbai"/>
    <x v="2"/>
    <s v="Coffee"/>
    <n v="3"/>
    <n v="338"/>
    <n v="0.05"/>
    <n v="963.3"/>
    <n v="240.82"/>
    <s v="UPI"/>
    <s v="Takeaway"/>
    <s v="Repeat"/>
    <x v="2"/>
  </r>
  <r>
    <s v="CB0061"/>
    <s v="C176"/>
    <d v="2025-10-17T00:00:00"/>
    <s v="Mumbai"/>
    <x v="0"/>
    <s v="Muffin"/>
    <n v="2"/>
    <n v="391"/>
    <n v="0.15"/>
    <n v="664.7"/>
    <n v="132.94"/>
    <s v="UPI"/>
    <s v="Dine-In"/>
    <s v="Repeat"/>
    <x v="1"/>
  </r>
  <r>
    <s v="CB0062"/>
    <s v="C657"/>
    <d v="2023-07-15T00:00:00"/>
    <s v="Vadodara"/>
    <x v="2"/>
    <s v="Cappuccino"/>
    <n v="4"/>
    <n v="421"/>
    <n v="0.05"/>
    <n v="1599.8"/>
    <n v="319.95999999999998"/>
    <s v="Card"/>
    <s v="Dine-In"/>
    <s v="Repeat"/>
    <x v="2"/>
  </r>
  <r>
    <s v="CB0063"/>
    <s v="C748"/>
    <d v="2023-04-30T00:00:00"/>
    <s v="Rajkot"/>
    <x v="2"/>
    <s v="Coffee"/>
    <n v="4"/>
    <n v="87"/>
    <n v="0.15"/>
    <n v="295.8"/>
    <n v="59.16"/>
    <s v="Cash"/>
    <s v="Takeaway"/>
    <s v="Repeat"/>
    <x v="2"/>
  </r>
  <r>
    <s v="CB0064"/>
    <s v="C287"/>
    <d v="2025-12-13T00:00:00"/>
    <s v="Rajkot"/>
    <x v="0"/>
    <s v="Ice Cream"/>
    <n v="4"/>
    <n v="226"/>
    <n v="0.15"/>
    <n v="768.4"/>
    <n v="230.52"/>
    <s v="Card"/>
    <s v="Takeaway"/>
    <s v="Repeat"/>
    <x v="1"/>
  </r>
  <r>
    <s v="CB0065"/>
    <s v="C488"/>
    <d v="2025-11-04T00:00:00"/>
    <s v="Surat"/>
    <x v="0"/>
    <s v="Muffin"/>
    <n v="4"/>
    <n v="165"/>
    <n v="0.15"/>
    <n v="561"/>
    <n v="112.2"/>
    <s v="Cash"/>
    <s v="Takeaway"/>
    <s v="New"/>
    <x v="1"/>
  </r>
  <r>
    <s v="CB0066"/>
    <s v="C951"/>
    <d v="2025-01-23T00:00:00"/>
    <s v="Surat"/>
    <x v="1"/>
    <s v="Fries"/>
    <n v="2"/>
    <n v="420"/>
    <n v="0.05"/>
    <n v="798"/>
    <n v="159.6"/>
    <s v="Cash"/>
    <s v="Dine-In"/>
    <s v="Repeat"/>
    <x v="1"/>
  </r>
  <r>
    <s v="CB0067"/>
    <s v="C770"/>
    <d v="2023-07-15T00:00:00"/>
    <s v="Mumbai"/>
    <x v="2"/>
    <s v="Cold Coffee"/>
    <n v="4"/>
    <n v="222"/>
    <n v="0"/>
    <n v="888"/>
    <n v="266.39999999999998"/>
    <s v="UPI"/>
    <s v="Dine-In"/>
    <s v="Repeat"/>
    <x v="2"/>
  </r>
  <r>
    <s v="CB0068"/>
    <s v="C204"/>
    <d v="2023-07-16T00:00:00"/>
    <s v="Vadodara"/>
    <x v="0"/>
    <s v="Brownie"/>
    <n v="2"/>
    <n v="174"/>
    <n v="0"/>
    <n v="348"/>
    <n v="87"/>
    <s v="Cash"/>
    <s v="Takeaway"/>
    <s v="Repeat"/>
    <x v="2"/>
  </r>
  <r>
    <s v="CB0069"/>
    <s v="C169"/>
    <d v="2023-10-08T00:00:00"/>
    <s v="Ahmedabad"/>
    <x v="1"/>
    <s v="Puff"/>
    <n v="1"/>
    <n v="311"/>
    <n v="0"/>
    <n v="311"/>
    <n v="77.75"/>
    <s v="Card"/>
    <s v="Dine-In"/>
    <s v="Repeat"/>
    <x v="2"/>
  </r>
  <r>
    <s v="CB0070"/>
    <s v="C563"/>
    <d v="2025-08-31T00:00:00"/>
    <s v="Rajkot"/>
    <x v="2"/>
    <s v="Cold Coffee"/>
    <n v="1"/>
    <n v="384"/>
    <n v="0.15"/>
    <n v="326.39999999999998"/>
    <n v="65.28"/>
    <s v="Card"/>
    <s v="Takeaway"/>
    <s v="Repeat"/>
    <x v="1"/>
  </r>
  <r>
    <s v="CB0071"/>
    <s v="C906"/>
    <d v="2025-08-10T00:00:00"/>
    <s v="Rajkot"/>
    <x v="0"/>
    <s v="Cake"/>
    <n v="3"/>
    <n v="429"/>
    <n v="0.1"/>
    <n v="1158.3"/>
    <n v="347.49"/>
    <s v="UPI"/>
    <s v="Takeaway"/>
    <s v="Repeat"/>
    <x v="1"/>
  </r>
  <r>
    <s v="CB0072"/>
    <s v="C428"/>
    <d v="2023-09-23T00:00:00"/>
    <s v="Surat"/>
    <x v="2"/>
    <s v="Tea"/>
    <n v="3"/>
    <n v="415"/>
    <n v="0.1"/>
    <n v="1120.5"/>
    <n v="280.12"/>
    <s v="Cash"/>
    <s v="Takeaway"/>
    <s v="New"/>
    <x v="2"/>
  </r>
  <r>
    <s v="CB0073"/>
    <s v="C657"/>
    <d v="2025-01-16T00:00:00"/>
    <s v="Vadodara"/>
    <x v="2"/>
    <s v="Coffee"/>
    <n v="3"/>
    <n v="369"/>
    <n v="0.05"/>
    <n v="1051.6500000000001"/>
    <n v="315.49"/>
    <s v="Cash"/>
    <s v="Takeaway"/>
    <s v="Repeat"/>
    <x v="1"/>
  </r>
  <r>
    <s v="CB0074"/>
    <s v="C647"/>
    <d v="2023-03-14T00:00:00"/>
    <s v="Vadodara"/>
    <x v="2"/>
    <s v="Cappuccino"/>
    <n v="2"/>
    <n v="336"/>
    <n v="0.15"/>
    <n v="571.20000000000005"/>
    <n v="142.80000000000001"/>
    <s v="UPI"/>
    <s v="Dine-In"/>
    <s v="Repeat"/>
    <x v="2"/>
  </r>
  <r>
    <s v="CB0075"/>
    <s v="C906"/>
    <d v="2023-09-27T00:00:00"/>
    <s v="Mumbai"/>
    <x v="2"/>
    <s v="Tea"/>
    <n v="4"/>
    <n v="332"/>
    <n v="0.1"/>
    <n v="1195.2"/>
    <n v="239.04"/>
    <s v="Cash"/>
    <s v="Takeaway"/>
    <s v="Repeat"/>
    <x v="2"/>
  </r>
  <r>
    <s v="CB0076"/>
    <s v="C189"/>
    <d v="2023-02-22T00:00:00"/>
    <s v="Rajkot"/>
    <x v="2"/>
    <s v="Tea"/>
    <n v="3"/>
    <n v="196"/>
    <n v="0"/>
    <n v="588"/>
    <n v="117.6"/>
    <s v="Cash"/>
    <s v="Takeaway"/>
    <s v="New"/>
    <x v="2"/>
  </r>
  <r>
    <s v="CB0077"/>
    <s v="C566"/>
    <d v="2025-03-21T00:00:00"/>
    <s v="Mumbai"/>
    <x v="0"/>
    <s v="Ice Cream"/>
    <n v="2"/>
    <n v="103"/>
    <n v="0.15"/>
    <n v="175.1"/>
    <n v="52.53"/>
    <s v="UPI"/>
    <s v="Dine-In"/>
    <s v="Repeat"/>
    <x v="1"/>
  </r>
  <r>
    <s v="CB0078"/>
    <s v="C172"/>
    <d v="2025-03-01T00:00:00"/>
    <s v="Rajkot"/>
    <x v="1"/>
    <s v="Burger"/>
    <n v="1"/>
    <n v="391"/>
    <n v="0.15"/>
    <n v="332.35"/>
    <n v="99.7"/>
    <s v="Cash"/>
    <s v="Dine-In"/>
    <s v="New"/>
    <x v="1"/>
  </r>
  <r>
    <s v="CB0079"/>
    <s v="C551"/>
    <d v="2025-08-27T00:00:00"/>
    <s v="Surat"/>
    <x v="0"/>
    <s v="Brownie"/>
    <n v="4"/>
    <n v="176"/>
    <n v="0.15"/>
    <n v="598.4"/>
    <n v="149.6"/>
    <s v="Card"/>
    <s v="Takeaway"/>
    <s v="Repeat"/>
    <x v="1"/>
  </r>
  <r>
    <s v="CB0080"/>
    <s v="C408"/>
    <d v="2023-01-21T00:00:00"/>
    <s v="Mumbai"/>
    <x v="2"/>
    <s v="Coffee"/>
    <n v="4"/>
    <n v="110"/>
    <n v="0.15"/>
    <n v="374"/>
    <n v="93.5"/>
    <s v="UPI"/>
    <s v="Takeaway"/>
    <s v="Repeat"/>
    <x v="2"/>
  </r>
  <r>
    <s v="CB0081"/>
    <s v="C152"/>
    <d v="2025-08-10T00:00:00"/>
    <s v="Ahmedabad"/>
    <x v="1"/>
    <s v="Burger"/>
    <n v="3"/>
    <n v="308"/>
    <n v="0.15"/>
    <n v="785.4"/>
    <n v="157.08000000000001"/>
    <s v="Cash"/>
    <s v="Takeaway"/>
    <s v="New"/>
    <x v="1"/>
  </r>
  <r>
    <s v="CB0082"/>
    <s v="C756"/>
    <d v="2025-09-27T00:00:00"/>
    <s v="Rajkot"/>
    <x v="1"/>
    <s v="Sandwich"/>
    <n v="1"/>
    <n v="242"/>
    <n v="0.05"/>
    <n v="229.9"/>
    <n v="57.47"/>
    <s v="Card"/>
    <s v="Takeaway"/>
    <s v="Repeat"/>
    <x v="1"/>
  </r>
  <r>
    <s v="CB0083"/>
    <s v="C408"/>
    <d v="2024-04-04T00:00:00"/>
    <s v="Vadodara"/>
    <x v="2"/>
    <s v="Latte"/>
    <n v="3"/>
    <n v="209"/>
    <n v="0.15"/>
    <n v="532.95000000000005"/>
    <n v="133.24"/>
    <s v="Card"/>
    <s v="Dine-In"/>
    <s v="Repeat"/>
    <x v="0"/>
  </r>
  <r>
    <s v="CB0084"/>
    <s v="C919"/>
    <d v="2023-02-28T00:00:00"/>
    <s v="Ahmedabad"/>
    <x v="2"/>
    <s v="Cappuccino"/>
    <n v="3"/>
    <n v="303"/>
    <n v="0.1"/>
    <n v="818.1"/>
    <n v="204.53"/>
    <s v="Cash"/>
    <s v="Dine-In"/>
    <s v="Repeat"/>
    <x v="2"/>
  </r>
  <r>
    <s v="CB0085"/>
    <s v="C882"/>
    <d v="2024-12-13T00:00:00"/>
    <s v="Ahmedabad"/>
    <x v="0"/>
    <s v="Cake"/>
    <n v="4"/>
    <n v="257"/>
    <n v="0"/>
    <n v="1028"/>
    <n v="257"/>
    <s v="Cash"/>
    <s v="Dine-In"/>
    <s v="Repeat"/>
    <x v="0"/>
  </r>
  <r>
    <s v="CB0086"/>
    <s v="C734"/>
    <d v="2024-07-29T00:00:00"/>
    <s v="Surat"/>
    <x v="2"/>
    <s v="Coffee"/>
    <n v="1"/>
    <n v="401"/>
    <n v="0.15"/>
    <n v="340.85"/>
    <n v="68.17"/>
    <s v="Card"/>
    <s v="Dine-In"/>
    <s v="Repeat"/>
    <x v="0"/>
  </r>
  <r>
    <s v="CB0087"/>
    <s v="C554"/>
    <d v="2023-05-21T00:00:00"/>
    <s v="Vadodara"/>
    <x v="1"/>
    <s v="Fries"/>
    <n v="3"/>
    <n v="314"/>
    <n v="0.15"/>
    <n v="800.7"/>
    <n v="200.17"/>
    <s v="Card"/>
    <s v="Dine-In"/>
    <s v="Repeat"/>
    <x v="2"/>
  </r>
  <r>
    <s v="CB0088"/>
    <s v="C350"/>
    <d v="2023-04-19T00:00:00"/>
    <s v="Vadodara"/>
    <x v="1"/>
    <s v="Fries"/>
    <n v="4"/>
    <n v="85"/>
    <n v="0.15"/>
    <n v="289"/>
    <n v="57.8"/>
    <s v="Card"/>
    <s v="Dine-In"/>
    <s v="Repeat"/>
    <x v="2"/>
  </r>
  <r>
    <s v="CB0089"/>
    <s v="C176"/>
    <d v="2024-01-14T00:00:00"/>
    <s v="Mumbai"/>
    <x v="2"/>
    <s v="Cold Coffee"/>
    <n v="1"/>
    <n v="205"/>
    <n v="0"/>
    <n v="205"/>
    <n v="41"/>
    <s v="UPI"/>
    <s v="Dine-In"/>
    <s v="Repeat"/>
    <x v="0"/>
  </r>
  <r>
    <s v="CB0090"/>
    <s v="C357"/>
    <d v="2024-04-22T00:00:00"/>
    <s v="Surat"/>
    <x v="1"/>
    <s v="Sandwich"/>
    <n v="4"/>
    <n v="200"/>
    <n v="0.05"/>
    <n v="760"/>
    <n v="190"/>
    <s v="Cash"/>
    <s v="Takeaway"/>
    <s v="Repeat"/>
    <x v="0"/>
  </r>
  <r>
    <s v="CB0091"/>
    <s v="C846"/>
    <d v="2024-12-03T00:00:00"/>
    <s v="Vadodara"/>
    <x v="0"/>
    <s v="Ice Cream"/>
    <n v="3"/>
    <n v="316"/>
    <n v="0"/>
    <n v="948"/>
    <n v="284.39999999999998"/>
    <s v="Cash"/>
    <s v="Takeaway"/>
    <s v="Repeat"/>
    <x v="0"/>
  </r>
  <r>
    <s v="CB0092"/>
    <s v="C764"/>
    <d v="2023-01-06T00:00:00"/>
    <s v="Rajkot"/>
    <x v="1"/>
    <s v="Fries"/>
    <n v="2"/>
    <n v="164"/>
    <n v="0"/>
    <n v="328"/>
    <n v="65.599999999999994"/>
    <s v="UPI"/>
    <s v="Dine-In"/>
    <s v="Repeat"/>
    <x v="2"/>
  </r>
  <r>
    <s v="CB0093"/>
    <s v="C414"/>
    <d v="2025-03-15T00:00:00"/>
    <s v="Surat"/>
    <x v="1"/>
    <s v="Puff"/>
    <n v="3"/>
    <n v="437"/>
    <n v="0.15"/>
    <n v="1114.3499999999999"/>
    <n v="222.87"/>
    <s v="Card"/>
    <s v="Takeaway"/>
    <s v="Repeat"/>
    <x v="1"/>
  </r>
  <r>
    <s v="CB0094"/>
    <s v="C641"/>
    <d v="2024-11-14T00:00:00"/>
    <s v="Rajkot"/>
    <x v="1"/>
    <s v="Puff"/>
    <n v="4"/>
    <n v="84"/>
    <n v="0.05"/>
    <n v="319.2"/>
    <n v="79.8"/>
    <s v="Card"/>
    <s v="Dine-In"/>
    <s v="Repeat"/>
    <x v="0"/>
  </r>
  <r>
    <s v="CB0095"/>
    <s v="C763"/>
    <d v="2024-09-19T00:00:00"/>
    <s v="Rajkot"/>
    <x v="1"/>
    <s v="Sandwich"/>
    <n v="4"/>
    <n v="409"/>
    <n v="0"/>
    <n v="1636"/>
    <n v="409"/>
    <s v="UPI"/>
    <s v="Takeaway"/>
    <s v="Repeat"/>
    <x v="0"/>
  </r>
  <r>
    <s v="CB0096"/>
    <s v="C453"/>
    <d v="2025-01-28T00:00:00"/>
    <s v="Surat"/>
    <x v="2"/>
    <s v="Cappuccino"/>
    <n v="1"/>
    <n v="414"/>
    <n v="0"/>
    <n v="414"/>
    <n v="124.2"/>
    <s v="Card"/>
    <s v="Dine-In"/>
    <s v="Repeat"/>
    <x v="1"/>
  </r>
  <r>
    <s v="CB0097"/>
    <s v="C555"/>
    <d v="2023-09-25T00:00:00"/>
    <s v="Mumbai"/>
    <x v="2"/>
    <s v="Latte"/>
    <n v="4"/>
    <n v="341"/>
    <n v="0.15"/>
    <n v="1159.4000000000001"/>
    <n v="347.82"/>
    <s v="Card"/>
    <s v="Dine-In"/>
    <s v="Repeat"/>
    <x v="2"/>
  </r>
  <r>
    <s v="CB0098"/>
    <s v="C703"/>
    <d v="2025-03-23T00:00:00"/>
    <s v="Rajkot"/>
    <x v="1"/>
    <s v="Puff"/>
    <n v="3"/>
    <n v="421"/>
    <n v="0"/>
    <n v="1263"/>
    <n v="252.6"/>
    <s v="Card"/>
    <s v="Dine-In"/>
    <s v="Repeat"/>
    <x v="1"/>
  </r>
  <r>
    <s v="CB0099"/>
    <s v="C657"/>
    <d v="2023-10-23T00:00:00"/>
    <s v="Ahmedabad"/>
    <x v="1"/>
    <s v="Burger"/>
    <n v="3"/>
    <n v="174"/>
    <n v="0.1"/>
    <n v="469.8"/>
    <n v="93.96"/>
    <s v="Cash"/>
    <s v="Dine-In"/>
    <s v="Repeat"/>
    <x v="2"/>
  </r>
  <r>
    <s v="CB0100"/>
    <s v="C836"/>
    <d v="2024-12-13T00:00:00"/>
    <s v="Vadodara"/>
    <x v="2"/>
    <s v="Cappuccino"/>
    <n v="3"/>
    <n v="210"/>
    <n v="0.15"/>
    <n v="535.5"/>
    <n v="107.1"/>
    <s v="UPI"/>
    <s v="Dine-In"/>
    <s v="Repeat"/>
    <x v="0"/>
  </r>
  <r>
    <s v="CB0101"/>
    <s v="C408"/>
    <d v="2023-10-08T00:00:00"/>
    <s v="Vadodara"/>
    <x v="2"/>
    <s v="Tea"/>
    <n v="3"/>
    <n v="391"/>
    <n v="0.15"/>
    <n v="997.05"/>
    <n v="249.26"/>
    <s v="Card"/>
    <s v="Takeaway"/>
    <s v="Repeat"/>
    <x v="2"/>
  </r>
  <r>
    <s v="CB0102"/>
    <s v="C677"/>
    <d v="2025-06-08T00:00:00"/>
    <s v="Vadodara"/>
    <x v="1"/>
    <s v="Fries"/>
    <n v="3"/>
    <n v="259"/>
    <n v="0.1"/>
    <n v="699.3"/>
    <n v="174.83"/>
    <s v="Cash"/>
    <s v="Takeaway"/>
    <s v="Repeat"/>
    <x v="1"/>
  </r>
  <r>
    <s v="CB0103"/>
    <s v="C379"/>
    <d v="2024-08-01T00:00:00"/>
    <s v="Rajkot"/>
    <x v="0"/>
    <s v="Cake"/>
    <n v="1"/>
    <n v="222"/>
    <n v="0.15"/>
    <n v="188.7"/>
    <n v="37.74"/>
    <s v="Cash"/>
    <s v="Takeaway"/>
    <s v="New"/>
    <x v="0"/>
  </r>
  <r>
    <s v="CB0104"/>
    <s v="C748"/>
    <d v="2025-02-19T00:00:00"/>
    <s v="Mumbai"/>
    <x v="0"/>
    <s v="Ice Cream"/>
    <n v="1"/>
    <n v="450"/>
    <n v="0.05"/>
    <n v="427.5"/>
    <n v="85.5"/>
    <s v="UPI"/>
    <s v="Dine-In"/>
    <s v="Repeat"/>
    <x v="1"/>
  </r>
  <r>
    <s v="CB0105"/>
    <s v="C554"/>
    <d v="2023-03-16T00:00:00"/>
    <s v="Mumbai"/>
    <x v="1"/>
    <s v="Burger"/>
    <n v="3"/>
    <n v="412"/>
    <n v="0.15"/>
    <n v="1050.5999999999999"/>
    <n v="262.64999999999998"/>
    <s v="Card"/>
    <s v="Takeaway"/>
    <s v="Repeat"/>
    <x v="2"/>
  </r>
  <r>
    <s v="CB0106"/>
    <s v="C237"/>
    <d v="2023-03-08T00:00:00"/>
    <s v="Rajkot"/>
    <x v="1"/>
    <s v="Burger"/>
    <n v="2"/>
    <n v="227"/>
    <n v="0"/>
    <n v="454"/>
    <n v="90.8"/>
    <s v="Cash"/>
    <s v="Takeaway"/>
    <s v="New"/>
    <x v="2"/>
  </r>
  <r>
    <s v="CB0107"/>
    <s v="C414"/>
    <d v="2024-04-23T00:00:00"/>
    <s v="Vadodara"/>
    <x v="0"/>
    <s v="Ice Cream"/>
    <n v="3"/>
    <n v="354"/>
    <n v="0.05"/>
    <n v="1008.9"/>
    <n v="302.67"/>
    <s v="UPI"/>
    <s v="Takeaway"/>
    <s v="Repeat"/>
    <x v="0"/>
  </r>
  <r>
    <s v="CB0108"/>
    <s v="C204"/>
    <d v="2023-11-09T00:00:00"/>
    <s v="Mumbai"/>
    <x v="2"/>
    <s v="Coffee"/>
    <n v="4"/>
    <n v="417"/>
    <n v="0.05"/>
    <n v="1584.6"/>
    <n v="396.15"/>
    <s v="Card"/>
    <s v="Dine-In"/>
    <s v="Repeat"/>
    <x v="2"/>
  </r>
  <r>
    <s v="CB0109"/>
    <s v="C255"/>
    <d v="2024-08-27T00:00:00"/>
    <s v="Surat"/>
    <x v="0"/>
    <s v="Cake"/>
    <n v="2"/>
    <n v="347"/>
    <n v="0.15"/>
    <n v="589.9"/>
    <n v="176.97"/>
    <s v="Cash"/>
    <s v="Takeaway"/>
    <s v="Repeat"/>
    <x v="0"/>
  </r>
  <r>
    <s v="CB0110"/>
    <s v="C703"/>
    <d v="2024-01-29T00:00:00"/>
    <s v="Surat"/>
    <x v="2"/>
    <s v="Coffee"/>
    <n v="2"/>
    <n v="105"/>
    <n v="0.05"/>
    <n v="199.5"/>
    <n v="59.85"/>
    <s v="Cash"/>
    <s v="Takeaway"/>
    <s v="Repeat"/>
    <x v="0"/>
  </r>
  <r>
    <s v="CB0111"/>
    <s v="C408"/>
    <d v="2025-05-10T00:00:00"/>
    <s v="Surat"/>
    <x v="0"/>
    <s v="Cake"/>
    <n v="2"/>
    <n v="419"/>
    <n v="0.15"/>
    <n v="712.3"/>
    <n v="142.46"/>
    <s v="Card"/>
    <s v="Dine-In"/>
    <s v="Repeat"/>
    <x v="1"/>
  </r>
  <r>
    <s v="CB0112"/>
    <s v="C773"/>
    <d v="2023-09-25T00:00:00"/>
    <s v="Vadodara"/>
    <x v="2"/>
    <s v="Cappuccino"/>
    <n v="4"/>
    <n v="119"/>
    <n v="0.05"/>
    <n v="452.2"/>
    <n v="113.05"/>
    <s v="Cash"/>
    <s v="Takeaway"/>
    <s v="Repeat"/>
    <x v="2"/>
  </r>
  <r>
    <s v="CB0113"/>
    <s v="C994"/>
    <d v="2025-05-11T00:00:00"/>
    <s v="Vadodara"/>
    <x v="1"/>
    <s v="Burger"/>
    <n v="1"/>
    <n v="388"/>
    <n v="0.15"/>
    <n v="329.8"/>
    <n v="65.959999999999994"/>
    <s v="UPI"/>
    <s v="Dine-In"/>
    <s v="Repeat"/>
    <x v="1"/>
  </r>
  <r>
    <s v="CB0114"/>
    <s v="C732"/>
    <d v="2024-09-06T00:00:00"/>
    <s v="Mumbai"/>
    <x v="1"/>
    <s v="Puff"/>
    <n v="3"/>
    <n v="307"/>
    <n v="0.1"/>
    <n v="828.9"/>
    <n v="207.22"/>
    <s v="Cash"/>
    <s v="Takeaway"/>
    <s v="Repeat"/>
    <x v="0"/>
  </r>
  <r>
    <s v="CB0115"/>
    <s v="C903"/>
    <d v="2025-09-16T00:00:00"/>
    <s v="Surat"/>
    <x v="2"/>
    <s v="Cappuccino"/>
    <n v="3"/>
    <n v="382"/>
    <n v="0.1"/>
    <n v="1031.4000000000001"/>
    <n v="206.28"/>
    <s v="Cash"/>
    <s v="Takeaway"/>
    <s v="Repeat"/>
    <x v="1"/>
  </r>
  <r>
    <s v="CB0116"/>
    <s v="C169"/>
    <d v="2024-02-01T00:00:00"/>
    <s v="Rajkot"/>
    <x v="1"/>
    <s v="Puff"/>
    <n v="3"/>
    <n v="416"/>
    <n v="0"/>
    <n v="1248"/>
    <n v="249.6"/>
    <s v="Cash"/>
    <s v="Takeaway"/>
    <s v="Repeat"/>
    <x v="0"/>
  </r>
  <r>
    <s v="CB0117"/>
    <s v="C273"/>
    <d v="2024-09-12T00:00:00"/>
    <s v="Surat"/>
    <x v="0"/>
    <s v="Brownie"/>
    <n v="3"/>
    <n v="446"/>
    <n v="0.05"/>
    <n v="1271.0999999999999"/>
    <n v="381.33"/>
    <s v="Cash"/>
    <s v="Takeaway"/>
    <s v="Repeat"/>
    <x v="0"/>
  </r>
  <r>
    <s v="CB0118"/>
    <s v="C560"/>
    <d v="2023-03-09T00:00:00"/>
    <s v="Ahmedabad"/>
    <x v="2"/>
    <s v="Coffee"/>
    <n v="2"/>
    <n v="400"/>
    <n v="0"/>
    <n v="800"/>
    <n v="160"/>
    <s v="UPI"/>
    <s v="Dine-In"/>
    <s v="Repeat"/>
    <x v="2"/>
  </r>
  <r>
    <s v="CB0119"/>
    <s v="C672"/>
    <d v="2023-09-06T00:00:00"/>
    <s v="Surat"/>
    <x v="1"/>
    <s v="Puff"/>
    <n v="2"/>
    <n v="434"/>
    <n v="0.05"/>
    <n v="824.6"/>
    <n v="164.92"/>
    <s v="Card"/>
    <s v="Takeaway"/>
    <s v="Repeat"/>
    <x v="2"/>
  </r>
  <r>
    <s v="CB0120"/>
    <s v="C770"/>
    <d v="2024-02-01T00:00:00"/>
    <s v="Ahmedabad"/>
    <x v="1"/>
    <s v="Fries"/>
    <n v="4"/>
    <n v="170"/>
    <n v="0.1"/>
    <n v="612"/>
    <n v="183.6"/>
    <s v="Cash"/>
    <s v="Takeaway"/>
    <s v="Repeat"/>
    <x v="0"/>
  </r>
  <r>
    <s v="CB0121"/>
    <s v="C490"/>
    <d v="2025-03-09T00:00:00"/>
    <s v="Ahmedabad"/>
    <x v="1"/>
    <s v="Burger"/>
    <n v="1"/>
    <n v="275"/>
    <n v="0"/>
    <n v="275"/>
    <n v="82.5"/>
    <s v="Card"/>
    <s v="Takeaway"/>
    <s v="Repeat"/>
    <x v="1"/>
  </r>
  <r>
    <s v="CB0122"/>
    <s v="C628"/>
    <d v="2023-04-09T00:00:00"/>
    <s v="Vadodara"/>
    <x v="1"/>
    <s v="Sandwich"/>
    <n v="1"/>
    <n v="109"/>
    <n v="0.05"/>
    <n v="103.55"/>
    <n v="25.89"/>
    <s v="UPI"/>
    <s v="Takeaway"/>
    <s v="Repeat"/>
    <x v="2"/>
  </r>
  <r>
    <s v="CB0123"/>
    <s v="C756"/>
    <d v="2024-10-16T00:00:00"/>
    <s v="Mumbai"/>
    <x v="0"/>
    <s v="Ice Cream"/>
    <n v="3"/>
    <n v="91"/>
    <n v="0.15"/>
    <n v="232.05"/>
    <n v="69.61"/>
    <s v="Cash"/>
    <s v="Takeaway"/>
    <s v="Repeat"/>
    <x v="0"/>
  </r>
  <r>
    <s v="CB0124"/>
    <s v="C739"/>
    <d v="2025-02-26T00:00:00"/>
    <s v="Ahmedabad"/>
    <x v="0"/>
    <s v="Brownie"/>
    <n v="1"/>
    <n v="130"/>
    <n v="0.1"/>
    <n v="117"/>
    <n v="29.25"/>
    <s v="UPI"/>
    <s v="Dine-In"/>
    <s v="Repeat"/>
    <x v="1"/>
  </r>
  <r>
    <s v="CB0125"/>
    <s v="C560"/>
    <d v="2025-11-19T00:00:00"/>
    <s v="Mumbai"/>
    <x v="2"/>
    <s v="Latte"/>
    <n v="1"/>
    <n v="249"/>
    <n v="0.05"/>
    <n v="236.55"/>
    <n v="59.14"/>
    <s v="Card"/>
    <s v="Takeaway"/>
    <s v="Repeat"/>
    <x v="1"/>
  </r>
  <r>
    <s v="CB0126"/>
    <s v="C357"/>
    <d v="2024-11-14T00:00:00"/>
    <s v="Surat"/>
    <x v="0"/>
    <s v="Muffin"/>
    <n v="2"/>
    <n v="246"/>
    <n v="0.1"/>
    <n v="442.8"/>
    <n v="110.7"/>
    <s v="Card"/>
    <s v="Dine-In"/>
    <s v="Repeat"/>
    <x v="0"/>
  </r>
  <r>
    <s v="CB0127"/>
    <s v="C464"/>
    <d v="2024-08-28T00:00:00"/>
    <s v="Rajkot"/>
    <x v="1"/>
    <s v="Burger"/>
    <n v="1"/>
    <n v="285"/>
    <n v="0.1"/>
    <n v="256.5"/>
    <n v="64.12"/>
    <s v="UPI"/>
    <s v="Takeaway"/>
    <s v="Repeat"/>
    <x v="0"/>
  </r>
  <r>
    <s v="CB0128"/>
    <s v="C906"/>
    <d v="2025-05-28T00:00:00"/>
    <s v="Ahmedabad"/>
    <x v="0"/>
    <s v="Ice Cream"/>
    <n v="2"/>
    <n v="338"/>
    <n v="0.1"/>
    <n v="608.4"/>
    <n v="182.52"/>
    <s v="Cash"/>
    <s v="Dine-In"/>
    <s v="Repeat"/>
    <x v="1"/>
  </r>
  <r>
    <s v="CB0129"/>
    <s v="C432"/>
    <d v="2024-05-23T00:00:00"/>
    <s v="Surat"/>
    <x v="1"/>
    <s v="Sandwich"/>
    <n v="3"/>
    <n v="308"/>
    <n v="0.15"/>
    <n v="785.4"/>
    <n v="196.35"/>
    <s v="Card"/>
    <s v="Takeaway"/>
    <s v="Repeat"/>
    <x v="0"/>
  </r>
  <r>
    <s v="CB0130"/>
    <s v="C852"/>
    <d v="2025-05-22T00:00:00"/>
    <s v="Rajkot"/>
    <x v="1"/>
    <s v="Puff"/>
    <n v="3"/>
    <n v="423"/>
    <n v="0.15"/>
    <n v="1078.6500000000001"/>
    <n v="215.73"/>
    <s v="Cash"/>
    <s v="Dine-In"/>
    <s v="Repeat"/>
    <x v="1"/>
  </r>
  <r>
    <s v="CB0131"/>
    <s v="C924"/>
    <d v="2024-02-01T00:00:00"/>
    <s v="Vadodara"/>
    <x v="0"/>
    <s v="Ice Cream"/>
    <n v="2"/>
    <n v="204"/>
    <n v="0"/>
    <n v="408"/>
    <n v="81.599999999999994"/>
    <s v="UPI"/>
    <s v="Dine-In"/>
    <s v="New"/>
    <x v="0"/>
  </r>
  <r>
    <s v="CB0132"/>
    <s v="C511"/>
    <d v="2023-11-09T00:00:00"/>
    <s v="Mumbai"/>
    <x v="1"/>
    <s v="Burger"/>
    <n v="1"/>
    <n v="222"/>
    <n v="0.1"/>
    <n v="199.8"/>
    <n v="49.95"/>
    <s v="Cash"/>
    <s v="Takeaway"/>
    <s v="Repeat"/>
    <x v="2"/>
  </r>
  <r>
    <s v="CB0133"/>
    <s v="C550"/>
    <d v="2025-10-10T00:00:00"/>
    <s v="Surat"/>
    <x v="2"/>
    <s v="Cappuccino"/>
    <n v="3"/>
    <n v="228"/>
    <n v="0"/>
    <n v="684"/>
    <n v="171"/>
    <s v="Cash"/>
    <s v="Takeaway"/>
    <s v="Repeat"/>
    <x v="1"/>
  </r>
  <r>
    <s v="CB0134"/>
    <s v="C703"/>
    <d v="2024-07-04T00:00:00"/>
    <s v="Ahmedabad"/>
    <x v="1"/>
    <s v="Sandwich"/>
    <n v="4"/>
    <n v="215"/>
    <n v="0.05"/>
    <n v="817"/>
    <n v="204.25"/>
    <s v="Card"/>
    <s v="Takeaway"/>
    <s v="Repeat"/>
    <x v="0"/>
  </r>
  <r>
    <s v="CB0135"/>
    <s v="C550"/>
    <d v="2025-11-07T00:00:00"/>
    <s v="Surat"/>
    <x v="1"/>
    <s v="Burger"/>
    <n v="3"/>
    <n v="392"/>
    <n v="0.05"/>
    <n v="1117.2"/>
    <n v="279.3"/>
    <s v="Card"/>
    <s v="Takeaway"/>
    <s v="Repeat"/>
    <x v="1"/>
  </r>
  <r>
    <s v="CB0136"/>
    <s v="C375"/>
    <d v="2023-01-01T00:00:00"/>
    <s v="Surat"/>
    <x v="0"/>
    <s v="Muffin"/>
    <n v="3"/>
    <n v="144"/>
    <n v="0.15"/>
    <n v="367.2"/>
    <n v="91.8"/>
    <s v="Cash"/>
    <s v="Dine-In"/>
    <s v="Repeat"/>
    <x v="2"/>
  </r>
  <r>
    <s v="CB0137"/>
    <s v="C914"/>
    <d v="2023-02-23T00:00:00"/>
    <s v="Vadodara"/>
    <x v="1"/>
    <s v="Fries"/>
    <n v="4"/>
    <n v="236"/>
    <n v="0.15"/>
    <n v="802.4"/>
    <n v="240.72"/>
    <s v="UPI"/>
    <s v="Dine-In"/>
    <s v="Repeat"/>
    <x v="2"/>
  </r>
  <r>
    <s v="CB0138"/>
    <s v="C408"/>
    <d v="2024-04-08T00:00:00"/>
    <s v="Vadodara"/>
    <x v="0"/>
    <s v="Brownie"/>
    <n v="2"/>
    <n v="380"/>
    <n v="0.1"/>
    <n v="684"/>
    <n v="205.2"/>
    <s v="UPI"/>
    <s v="Dine-In"/>
    <s v="Repeat"/>
    <x v="0"/>
  </r>
  <r>
    <s v="CB0139"/>
    <s v="C770"/>
    <d v="2024-04-19T00:00:00"/>
    <s v="Ahmedabad"/>
    <x v="0"/>
    <s v="Ice Cream"/>
    <n v="3"/>
    <n v="259"/>
    <n v="0.15"/>
    <n v="660.45"/>
    <n v="132.09"/>
    <s v="Cash"/>
    <s v="Dine-In"/>
    <s v="Repeat"/>
    <x v="0"/>
  </r>
  <r>
    <s v="CB0140"/>
    <s v="C669"/>
    <d v="2023-08-19T00:00:00"/>
    <s v="Vadodara"/>
    <x v="1"/>
    <s v="Burger"/>
    <n v="1"/>
    <n v="299"/>
    <n v="0"/>
    <n v="299"/>
    <n v="59.8"/>
    <s v="Cash"/>
    <s v="Takeaway"/>
    <s v="Repeat"/>
    <x v="2"/>
  </r>
  <r>
    <s v="CB0141"/>
    <s v="C909"/>
    <d v="2024-12-23T00:00:00"/>
    <s v="Mumbai"/>
    <x v="0"/>
    <s v="Brownie"/>
    <n v="4"/>
    <n v="308"/>
    <n v="0"/>
    <n v="1232"/>
    <n v="308"/>
    <s v="Cash"/>
    <s v="Dine-In"/>
    <s v="Repeat"/>
    <x v="0"/>
  </r>
  <r>
    <s v="CB0142"/>
    <s v="C273"/>
    <d v="2025-11-16T00:00:00"/>
    <s v="Rajkot"/>
    <x v="1"/>
    <s v="Fries"/>
    <n v="1"/>
    <n v="264"/>
    <n v="0.1"/>
    <n v="237.6"/>
    <n v="47.52"/>
    <s v="UPI"/>
    <s v="Takeaway"/>
    <s v="Repeat"/>
    <x v="1"/>
  </r>
  <r>
    <s v="CB0143"/>
    <s v="C934"/>
    <d v="2025-12-30T00:00:00"/>
    <s v="Mumbai"/>
    <x v="2"/>
    <s v="Coffee"/>
    <n v="4"/>
    <n v="433"/>
    <n v="0"/>
    <n v="1732"/>
    <n v="519.6"/>
    <s v="Cash"/>
    <s v="Dine-In"/>
    <s v="New"/>
    <x v="1"/>
  </r>
  <r>
    <s v="CB0144"/>
    <s v="C846"/>
    <d v="2023-05-04T00:00:00"/>
    <s v="Vadodara"/>
    <x v="2"/>
    <s v="Cappuccino"/>
    <n v="3"/>
    <n v="436"/>
    <n v="0.05"/>
    <n v="1242.5999999999999"/>
    <n v="372.78"/>
    <s v="Card"/>
    <s v="Dine-In"/>
    <s v="Repeat"/>
    <x v="2"/>
  </r>
  <r>
    <s v="CB0145"/>
    <s v="C766"/>
    <d v="2023-02-24T00:00:00"/>
    <s v="Mumbai"/>
    <x v="1"/>
    <s v="Fries"/>
    <n v="2"/>
    <n v="124"/>
    <n v="0"/>
    <n v="248"/>
    <n v="49.6"/>
    <s v="Card"/>
    <s v="Takeaway"/>
    <s v="Repeat"/>
    <x v="2"/>
  </r>
  <r>
    <s v="CB0146"/>
    <s v="C669"/>
    <d v="2025-02-12T00:00:00"/>
    <s v="Vadodara"/>
    <x v="2"/>
    <s v="Cold Coffee"/>
    <n v="3"/>
    <n v="81"/>
    <n v="0.15"/>
    <n v="206.55"/>
    <n v="41.31"/>
    <s v="Card"/>
    <s v="Dine-In"/>
    <s v="Repeat"/>
    <x v="1"/>
  </r>
  <r>
    <s v="CB0147"/>
    <s v="C490"/>
    <d v="2025-09-03T00:00:00"/>
    <s v="Rajkot"/>
    <x v="1"/>
    <s v="Fries"/>
    <n v="4"/>
    <n v="366"/>
    <n v="0.1"/>
    <n v="1317.6"/>
    <n v="329.4"/>
    <s v="UPI"/>
    <s v="Takeaway"/>
    <s v="Repeat"/>
    <x v="1"/>
  </r>
  <r>
    <s v="CB0148"/>
    <s v="C914"/>
    <d v="2024-08-20T00:00:00"/>
    <s v="Rajkot"/>
    <x v="2"/>
    <s v="Coffee"/>
    <n v="1"/>
    <n v="209"/>
    <n v="0"/>
    <n v="209"/>
    <n v="52.25"/>
    <s v="Card"/>
    <s v="Takeaway"/>
    <s v="Repeat"/>
    <x v="0"/>
  </r>
  <r>
    <s v="CB0149"/>
    <s v="C825"/>
    <d v="2025-09-17T00:00:00"/>
    <s v="Mumbai"/>
    <x v="0"/>
    <s v="Brownie"/>
    <n v="3"/>
    <n v="357"/>
    <n v="0.1"/>
    <n v="963.9"/>
    <n v="240.97"/>
    <s v="Card"/>
    <s v="Dine-In"/>
    <s v="New"/>
    <x v="1"/>
  </r>
  <r>
    <s v="CB0150"/>
    <s v="C452"/>
    <d v="2023-10-27T00:00:00"/>
    <s v="Mumbai"/>
    <x v="2"/>
    <s v="Cold Coffee"/>
    <n v="2"/>
    <n v="262"/>
    <n v="0.15"/>
    <n v="445.4"/>
    <n v="89.08"/>
    <s v="Cash"/>
    <s v="Takeaway"/>
    <s v="New"/>
    <x v="2"/>
  </r>
  <r>
    <s v="CB0151"/>
    <s v="C669"/>
    <d v="2025-06-25T00:00:00"/>
    <s v="Rajkot"/>
    <x v="0"/>
    <s v="Muffin"/>
    <n v="4"/>
    <n v="221"/>
    <n v="0.15"/>
    <n v="751.4"/>
    <n v="225.42"/>
    <s v="UPI"/>
    <s v="Takeaway"/>
    <s v="Repeat"/>
    <x v="1"/>
  </r>
  <r>
    <s v="CB0152"/>
    <s v="C361"/>
    <d v="2023-10-30T00:00:00"/>
    <s v="Surat"/>
    <x v="1"/>
    <s v="Puff"/>
    <n v="2"/>
    <n v="352"/>
    <n v="0.05"/>
    <n v="668.8"/>
    <n v="167.2"/>
    <s v="UPI"/>
    <s v="Takeaway"/>
    <s v="Repeat"/>
    <x v="2"/>
  </r>
  <r>
    <s v="CB0153"/>
    <s v="C661"/>
    <d v="2023-09-04T00:00:00"/>
    <s v="Ahmedabad"/>
    <x v="2"/>
    <s v="Coffee"/>
    <n v="2"/>
    <n v="434"/>
    <n v="0"/>
    <n v="868"/>
    <n v="260.39999999999998"/>
    <s v="Cash"/>
    <s v="Dine-In"/>
    <s v="Repeat"/>
    <x v="2"/>
  </r>
  <r>
    <s v="CB0154"/>
    <s v="C479"/>
    <d v="2024-08-02T00:00:00"/>
    <s v="Surat"/>
    <x v="2"/>
    <s v="Cappuccino"/>
    <n v="3"/>
    <n v="152"/>
    <n v="0.05"/>
    <n v="433.2"/>
    <n v="86.64"/>
    <s v="Cash"/>
    <s v="Takeaway"/>
    <s v="Repeat"/>
    <x v="0"/>
  </r>
  <r>
    <s v="CB0155"/>
    <s v="C169"/>
    <d v="2025-02-10T00:00:00"/>
    <s v="Mumbai"/>
    <x v="2"/>
    <s v="Coffee"/>
    <n v="3"/>
    <n v="389"/>
    <n v="0.15"/>
    <n v="991.95"/>
    <n v="198.39"/>
    <s v="Card"/>
    <s v="Dine-In"/>
    <s v="Repeat"/>
    <x v="1"/>
  </r>
  <r>
    <s v="CB0156"/>
    <s v="C408"/>
    <d v="2023-05-08T00:00:00"/>
    <s v="Ahmedabad"/>
    <x v="2"/>
    <s v="Cold Coffee"/>
    <n v="1"/>
    <n v="214"/>
    <n v="0.15"/>
    <n v="181.9"/>
    <n v="54.57"/>
    <s v="UPI"/>
    <s v="Takeaway"/>
    <s v="Repeat"/>
    <x v="2"/>
  </r>
  <r>
    <s v="CB0157"/>
    <s v="C273"/>
    <d v="2023-05-17T00:00:00"/>
    <s v="Mumbai"/>
    <x v="2"/>
    <s v="Tea"/>
    <n v="3"/>
    <n v="122"/>
    <n v="0"/>
    <n v="366"/>
    <n v="109.8"/>
    <s v="Cash"/>
    <s v="Dine-In"/>
    <s v="Repeat"/>
    <x v="2"/>
  </r>
  <r>
    <s v="CB0158"/>
    <s v="C846"/>
    <d v="2023-11-30T00:00:00"/>
    <s v="Vadodara"/>
    <x v="1"/>
    <s v="Sandwich"/>
    <n v="2"/>
    <n v="450"/>
    <n v="0.15"/>
    <n v="765"/>
    <n v="153"/>
    <s v="Cash"/>
    <s v="Takeaway"/>
    <s v="Repeat"/>
    <x v="2"/>
  </r>
  <r>
    <s v="CB0159"/>
    <s v="C555"/>
    <d v="2024-05-02T00:00:00"/>
    <s v="Vadodara"/>
    <x v="2"/>
    <s v="Latte"/>
    <n v="2"/>
    <n v="223"/>
    <n v="0"/>
    <n v="446"/>
    <n v="133.80000000000001"/>
    <s v="Card"/>
    <s v="Dine-In"/>
    <s v="Repeat"/>
    <x v="0"/>
  </r>
  <r>
    <s v="CB0160"/>
    <s v="C734"/>
    <d v="2024-12-12T00:00:00"/>
    <s v="Vadodara"/>
    <x v="2"/>
    <s v="Cold Coffee"/>
    <n v="2"/>
    <n v="349"/>
    <n v="0.05"/>
    <n v="663.1"/>
    <n v="198.93"/>
    <s v="Card"/>
    <s v="Dine-In"/>
    <s v="Repeat"/>
    <x v="0"/>
  </r>
  <r>
    <s v="CB0161"/>
    <s v="C510"/>
    <d v="2025-02-01T00:00:00"/>
    <s v="Vadodara"/>
    <x v="2"/>
    <s v="Tea"/>
    <n v="3"/>
    <n v="85"/>
    <n v="0.05"/>
    <n v="242.25"/>
    <n v="72.67"/>
    <s v="Cash"/>
    <s v="Takeaway"/>
    <s v="Repeat"/>
    <x v="1"/>
  </r>
  <r>
    <s v="CB0162"/>
    <s v="C147"/>
    <d v="2023-12-08T00:00:00"/>
    <s v="Ahmedabad"/>
    <x v="0"/>
    <s v="Ice Cream"/>
    <n v="3"/>
    <n v="254"/>
    <n v="0.1"/>
    <n v="685.8"/>
    <n v="137.16"/>
    <s v="UPI"/>
    <s v="Takeaway"/>
    <s v="Repeat"/>
    <x v="2"/>
  </r>
  <r>
    <s v="CB0163"/>
    <s v="C951"/>
    <d v="2023-03-06T00:00:00"/>
    <s v="Ahmedabad"/>
    <x v="2"/>
    <s v="Coffee"/>
    <n v="2"/>
    <n v="155"/>
    <n v="0.1"/>
    <n v="279"/>
    <n v="55.8"/>
    <s v="Card"/>
    <s v="Dine-In"/>
    <s v="Repeat"/>
    <x v="2"/>
  </r>
  <r>
    <s v="CB0164"/>
    <s v="C674"/>
    <d v="2023-05-01T00:00:00"/>
    <s v="Vadodara"/>
    <x v="2"/>
    <s v="Tea"/>
    <n v="4"/>
    <n v="253"/>
    <n v="0"/>
    <n v="1012"/>
    <n v="202.4"/>
    <s v="UPI"/>
    <s v="Dine-In"/>
    <s v="Repeat"/>
    <x v="2"/>
  </r>
  <r>
    <s v="CB0165"/>
    <s v="C846"/>
    <d v="2025-10-29T00:00:00"/>
    <s v="Mumbai"/>
    <x v="2"/>
    <s v="Cold Coffee"/>
    <n v="3"/>
    <n v="117"/>
    <n v="0.05"/>
    <n v="333.45"/>
    <n v="66.69"/>
    <s v="Card"/>
    <s v="Takeaway"/>
    <s v="Repeat"/>
    <x v="1"/>
  </r>
  <r>
    <s v="CB0166"/>
    <s v="C354"/>
    <d v="2024-03-02T00:00:00"/>
    <s v="Surat"/>
    <x v="0"/>
    <s v="Brownie"/>
    <n v="3"/>
    <n v="170"/>
    <n v="0.1"/>
    <n v="459"/>
    <n v="137.69999999999999"/>
    <s v="UPI"/>
    <s v="Dine-In"/>
    <s v="New"/>
    <x v="0"/>
  </r>
  <r>
    <s v="CB0167"/>
    <s v="C205"/>
    <d v="2025-07-01T00:00:00"/>
    <s v="Ahmedabad"/>
    <x v="1"/>
    <s v="Puff"/>
    <n v="1"/>
    <n v="167"/>
    <n v="0.1"/>
    <n v="150.30000000000001"/>
    <n v="37.58"/>
    <s v="Card"/>
    <s v="Takeaway"/>
    <s v="Repeat"/>
    <x v="1"/>
  </r>
  <r>
    <s v="CB0168"/>
    <s v="C500"/>
    <d v="2024-05-09T00:00:00"/>
    <s v="Vadodara"/>
    <x v="2"/>
    <s v="Cappuccino"/>
    <n v="4"/>
    <n v="281"/>
    <n v="0.1"/>
    <n v="1011.6"/>
    <n v="202.32"/>
    <s v="UPI"/>
    <s v="Dine-In"/>
    <s v="Repeat"/>
    <x v="0"/>
  </r>
  <r>
    <s v="CB0169"/>
    <s v="C854"/>
    <d v="2024-06-14T00:00:00"/>
    <s v="Rajkot"/>
    <x v="1"/>
    <s v="Fries"/>
    <n v="4"/>
    <n v="370"/>
    <n v="0.05"/>
    <n v="1406"/>
    <n v="351.5"/>
    <s v="Cash"/>
    <s v="Dine-In"/>
    <s v="Repeat"/>
    <x v="0"/>
  </r>
  <r>
    <s v="CB0170"/>
    <s v="C826"/>
    <d v="2025-06-02T00:00:00"/>
    <s v="Mumbai"/>
    <x v="1"/>
    <s v="Fries"/>
    <n v="4"/>
    <n v="227"/>
    <n v="0.05"/>
    <n v="862.6"/>
    <n v="215.65"/>
    <s v="UPI"/>
    <s v="Dine-In"/>
    <s v="Repeat"/>
    <x v="1"/>
  </r>
  <r>
    <s v="CB0171"/>
    <s v="C483"/>
    <d v="2024-12-11T00:00:00"/>
    <s v="Rajkot"/>
    <x v="0"/>
    <s v="Ice Cream"/>
    <n v="2"/>
    <n v="378"/>
    <n v="0.1"/>
    <n v="680.4"/>
    <n v="204.12"/>
    <s v="UPI"/>
    <s v="Takeaway"/>
    <s v="Repeat"/>
    <x v="0"/>
  </r>
  <r>
    <s v="CB0172"/>
    <s v="C511"/>
    <d v="2025-07-12T00:00:00"/>
    <s v="Mumbai"/>
    <x v="2"/>
    <s v="Tea"/>
    <n v="2"/>
    <n v="448"/>
    <n v="0.1"/>
    <n v="806.4"/>
    <n v="201.6"/>
    <s v="UPI"/>
    <s v="Takeaway"/>
    <s v="Repeat"/>
    <x v="1"/>
  </r>
  <r>
    <s v="CB0173"/>
    <s v="C419"/>
    <d v="2025-02-13T00:00:00"/>
    <s v="Mumbai"/>
    <x v="0"/>
    <s v="Muffin"/>
    <n v="4"/>
    <n v="316"/>
    <n v="0.05"/>
    <n v="1200.8"/>
    <n v="360.24"/>
    <s v="Cash"/>
    <s v="Takeaway"/>
    <s v="Repeat"/>
    <x v="1"/>
  </r>
  <r>
    <s v="CB0174"/>
    <s v="C677"/>
    <d v="2023-03-29T00:00:00"/>
    <s v="Surat"/>
    <x v="1"/>
    <s v="Fries"/>
    <n v="3"/>
    <n v="311"/>
    <n v="0.1"/>
    <n v="839.7"/>
    <n v="209.93"/>
    <s v="Cash"/>
    <s v="Takeaway"/>
    <s v="Repeat"/>
    <x v="2"/>
  </r>
  <r>
    <s v="CB0175"/>
    <s v="C565"/>
    <d v="2023-08-05T00:00:00"/>
    <s v="Rajkot"/>
    <x v="2"/>
    <s v="Cold Coffee"/>
    <n v="1"/>
    <n v="235"/>
    <n v="0.15"/>
    <n v="199.75"/>
    <n v="59.92"/>
    <s v="Card"/>
    <s v="Dine-In"/>
    <s v="Repeat"/>
    <x v="2"/>
  </r>
  <r>
    <s v="CB0176"/>
    <s v="C408"/>
    <d v="2023-06-25T00:00:00"/>
    <s v="Mumbai"/>
    <x v="1"/>
    <s v="Puff"/>
    <n v="4"/>
    <n v="331"/>
    <n v="0"/>
    <n v="1324"/>
    <n v="397.2"/>
    <s v="Cash"/>
    <s v="Dine-In"/>
    <s v="Repeat"/>
    <x v="2"/>
  </r>
  <r>
    <s v="CB0177"/>
    <s v="C500"/>
    <d v="2025-01-01T00:00:00"/>
    <s v="Rajkot"/>
    <x v="1"/>
    <s v="Burger"/>
    <n v="1"/>
    <n v="242"/>
    <n v="0"/>
    <n v="242"/>
    <n v="60.5"/>
    <s v="Card"/>
    <s v="Takeaway"/>
    <s v="Repeat"/>
    <x v="1"/>
  </r>
  <r>
    <s v="CB0178"/>
    <s v="C611"/>
    <d v="2023-05-11T00:00:00"/>
    <s v="Vadodara"/>
    <x v="0"/>
    <s v="Cake"/>
    <n v="1"/>
    <n v="397"/>
    <n v="0.1"/>
    <n v="357.3"/>
    <n v="107.19"/>
    <s v="Card"/>
    <s v="Takeaway"/>
    <s v="New"/>
    <x v="2"/>
  </r>
  <r>
    <s v="CB0179"/>
    <s v="C647"/>
    <d v="2024-08-01T00:00:00"/>
    <s v="Ahmedabad"/>
    <x v="0"/>
    <s v="Ice Cream"/>
    <n v="2"/>
    <n v="440"/>
    <n v="0"/>
    <n v="880"/>
    <n v="264"/>
    <s v="UPI"/>
    <s v="Takeaway"/>
    <s v="Repeat"/>
    <x v="0"/>
  </r>
  <r>
    <s v="CB0180"/>
    <s v="C464"/>
    <d v="2023-11-03T00:00:00"/>
    <s v="Surat"/>
    <x v="0"/>
    <s v="Ice Cream"/>
    <n v="2"/>
    <n v="381"/>
    <n v="0"/>
    <n v="762"/>
    <n v="190.5"/>
    <s v="Card"/>
    <s v="Dine-In"/>
    <s v="Repeat"/>
    <x v="2"/>
  </r>
  <r>
    <s v="CB0181"/>
    <s v="C919"/>
    <d v="2023-06-02T00:00:00"/>
    <s v="Vadodara"/>
    <x v="2"/>
    <s v="Latte"/>
    <n v="3"/>
    <n v="100"/>
    <n v="0.15"/>
    <n v="255"/>
    <n v="63.75"/>
    <s v="Cash"/>
    <s v="Dine-In"/>
    <s v="Repeat"/>
    <x v="2"/>
  </r>
  <r>
    <s v="CB0182"/>
    <s v="C460"/>
    <d v="2023-02-08T00:00:00"/>
    <s v="Rajkot"/>
    <x v="0"/>
    <s v="Brownie"/>
    <n v="4"/>
    <n v="80"/>
    <n v="0.15"/>
    <n v="272"/>
    <n v="68"/>
    <s v="Card"/>
    <s v="Takeaway"/>
    <s v="New"/>
    <x v="2"/>
  </r>
  <r>
    <s v="CB0183"/>
    <s v="C882"/>
    <d v="2025-05-04T00:00:00"/>
    <s v="Surat"/>
    <x v="2"/>
    <s v="Coffee"/>
    <n v="1"/>
    <n v="108"/>
    <n v="0"/>
    <n v="108"/>
    <n v="21.6"/>
    <s v="Card"/>
    <s v="Dine-In"/>
    <s v="Repeat"/>
    <x v="1"/>
  </r>
  <r>
    <s v="CB0184"/>
    <s v="C158"/>
    <d v="2025-12-18T00:00:00"/>
    <s v="Ahmedabad"/>
    <x v="2"/>
    <s v="Cold Coffee"/>
    <n v="4"/>
    <n v="448"/>
    <n v="0.1"/>
    <n v="1612.8"/>
    <n v="483.84"/>
    <s v="Card"/>
    <s v="Takeaway"/>
    <s v="Repeat"/>
    <x v="1"/>
  </r>
  <r>
    <s v="CB0185"/>
    <s v="C937"/>
    <d v="2023-10-19T00:00:00"/>
    <s v="Rajkot"/>
    <x v="2"/>
    <s v="Cappuccino"/>
    <n v="2"/>
    <n v="448"/>
    <n v="0.1"/>
    <n v="806.4"/>
    <n v="161.28"/>
    <s v="Cash"/>
    <s v="Takeaway"/>
    <s v="New"/>
    <x v="2"/>
  </r>
  <r>
    <s v="CB0186"/>
    <s v="C205"/>
    <d v="2024-03-17T00:00:00"/>
    <s v="Surat"/>
    <x v="2"/>
    <s v="Tea"/>
    <n v="3"/>
    <n v="125"/>
    <n v="0.05"/>
    <n v="356.25"/>
    <n v="106.88"/>
    <s v="Card"/>
    <s v="Dine-In"/>
    <s v="Repeat"/>
    <x v="0"/>
  </r>
  <r>
    <s v="CB0187"/>
    <s v="C766"/>
    <d v="2025-07-19T00:00:00"/>
    <s v="Surat"/>
    <x v="0"/>
    <s v="Cake"/>
    <n v="1"/>
    <n v="109"/>
    <n v="0.15"/>
    <n v="92.65"/>
    <n v="23.16"/>
    <s v="Cash"/>
    <s v="Takeaway"/>
    <s v="Repeat"/>
    <x v="1"/>
  </r>
  <r>
    <s v="CB0188"/>
    <s v="C408"/>
    <d v="2023-06-18T00:00:00"/>
    <s v="Surat"/>
    <x v="0"/>
    <s v="Brownie"/>
    <n v="3"/>
    <n v="357"/>
    <n v="0.05"/>
    <n v="1017.45"/>
    <n v="203.49"/>
    <s v="Card"/>
    <s v="Dine-In"/>
    <s v="Repeat"/>
    <x v="2"/>
  </r>
  <r>
    <s v="CB0189"/>
    <s v="C147"/>
    <d v="2024-10-19T00:00:00"/>
    <s v="Surat"/>
    <x v="2"/>
    <s v="Cappuccino"/>
    <n v="1"/>
    <n v="388"/>
    <n v="0"/>
    <n v="388"/>
    <n v="116.4"/>
    <s v="UPI"/>
    <s v="Dine-In"/>
    <s v="Repeat"/>
    <x v="0"/>
  </r>
  <r>
    <s v="CB0190"/>
    <s v="C114"/>
    <d v="2024-10-11T00:00:00"/>
    <s v="Surat"/>
    <x v="2"/>
    <s v="Cappuccino"/>
    <n v="2"/>
    <n v="201"/>
    <n v="0.05"/>
    <n v="381.9"/>
    <n v="76.38"/>
    <s v="Cash"/>
    <s v="Takeaway"/>
    <s v="New"/>
    <x v="0"/>
  </r>
  <r>
    <s v="CB0191"/>
    <s v="C273"/>
    <d v="2023-01-21T00:00:00"/>
    <s v="Rajkot"/>
    <x v="0"/>
    <s v="Ice Cream"/>
    <n v="3"/>
    <n v="125"/>
    <n v="0.1"/>
    <n v="337.5"/>
    <n v="84.38"/>
    <s v="Card"/>
    <s v="Dine-In"/>
    <s v="Repeat"/>
    <x v="2"/>
  </r>
  <r>
    <s v="CB0192"/>
    <s v="C994"/>
    <d v="2023-08-25T00:00:00"/>
    <s v="Rajkot"/>
    <x v="2"/>
    <s v="Coffee"/>
    <n v="2"/>
    <n v="153"/>
    <n v="0.1"/>
    <n v="275.39999999999998"/>
    <n v="82.62"/>
    <s v="Card"/>
    <s v="Takeaway"/>
    <s v="Repeat"/>
    <x v="2"/>
  </r>
  <r>
    <s v="CB0193"/>
    <s v="C661"/>
    <d v="2024-11-15T00:00:00"/>
    <s v="Vadodara"/>
    <x v="0"/>
    <s v="Brownie"/>
    <n v="3"/>
    <n v="422"/>
    <n v="0.15"/>
    <n v="1076.0999999999999"/>
    <n v="215.22"/>
    <s v="UPI"/>
    <s v="Takeaway"/>
    <s v="Repeat"/>
    <x v="0"/>
  </r>
  <r>
    <s v="CB0194"/>
    <s v="C183"/>
    <d v="2024-01-20T00:00:00"/>
    <s v="Vadodara"/>
    <x v="2"/>
    <s v="Cappuccino"/>
    <n v="3"/>
    <n v="218"/>
    <n v="0.1"/>
    <n v="588.6"/>
    <n v="117.72"/>
    <s v="Cash"/>
    <s v="Takeaway"/>
    <s v="Repeat"/>
    <x v="0"/>
  </r>
  <r>
    <s v="CB0195"/>
    <s v="C734"/>
    <d v="2025-01-22T00:00:00"/>
    <s v="Ahmedabad"/>
    <x v="1"/>
    <s v="Burger"/>
    <n v="4"/>
    <n v="297"/>
    <n v="0.05"/>
    <n v="1128.5999999999999"/>
    <n v="225.72"/>
    <s v="Cash"/>
    <s v="Dine-In"/>
    <s v="Repeat"/>
    <x v="1"/>
  </r>
  <r>
    <s v="CB0196"/>
    <s v="C647"/>
    <d v="2024-06-02T00:00:00"/>
    <s v="Ahmedabad"/>
    <x v="0"/>
    <s v="Muffin"/>
    <n v="1"/>
    <n v="398"/>
    <n v="0"/>
    <n v="398"/>
    <n v="99.5"/>
    <s v="Cash"/>
    <s v="Takeaway"/>
    <s v="Repeat"/>
    <x v="0"/>
  </r>
  <r>
    <s v="CB0197"/>
    <s v="C703"/>
    <d v="2024-11-24T00:00:00"/>
    <s v="Mumbai"/>
    <x v="1"/>
    <s v="Puff"/>
    <n v="4"/>
    <n v="151"/>
    <n v="0.1"/>
    <n v="543.6"/>
    <n v="163.08000000000001"/>
    <s v="Card"/>
    <s v="Takeaway"/>
    <s v="Repeat"/>
    <x v="0"/>
  </r>
  <r>
    <s v="CB0198"/>
    <s v="C519"/>
    <d v="2024-08-19T00:00:00"/>
    <s v="Ahmedabad"/>
    <x v="1"/>
    <s v="Puff"/>
    <n v="1"/>
    <n v="128"/>
    <n v="0"/>
    <n v="128"/>
    <n v="38.4"/>
    <s v="Cash"/>
    <s v="Takeaway"/>
    <s v="Repeat"/>
    <x v="0"/>
  </r>
  <r>
    <s v="CB0199"/>
    <s v="C852"/>
    <d v="2023-11-24T00:00:00"/>
    <s v="Mumbai"/>
    <x v="1"/>
    <s v="Fries"/>
    <n v="2"/>
    <n v="258"/>
    <n v="0"/>
    <n v="516"/>
    <n v="129"/>
    <s v="Cash"/>
    <s v="Takeaway"/>
    <s v="Repeat"/>
    <x v="2"/>
  </r>
  <r>
    <s v="CB0200"/>
    <s v="C930"/>
    <d v="2025-03-29T00:00:00"/>
    <s v="Vadodara"/>
    <x v="1"/>
    <s v="Burger"/>
    <n v="3"/>
    <n v="234"/>
    <n v="0.15"/>
    <n v="596.70000000000005"/>
    <n v="179.01"/>
    <s v="Card"/>
    <s v="Takeaway"/>
    <s v="New"/>
    <x v="1"/>
  </r>
  <r>
    <s v="CB0201"/>
    <s v="C155"/>
    <d v="2025-01-12T00:00:00"/>
    <s v="Ahmedabad"/>
    <x v="1"/>
    <s v="Fries"/>
    <n v="4"/>
    <n v="131"/>
    <n v="0.1"/>
    <n v="471.6"/>
    <n v="141.47999999999999"/>
    <s v="Cash"/>
    <s v="Dine-In"/>
    <s v="New"/>
    <x v="1"/>
  </r>
  <r>
    <s v="CB0202"/>
    <s v="C281"/>
    <d v="2023-10-01T00:00:00"/>
    <s v="Mumbai"/>
    <x v="1"/>
    <s v="Puff"/>
    <n v="4"/>
    <n v="280"/>
    <n v="0.05"/>
    <n v="1064"/>
    <n v="212.8"/>
    <s v="Card"/>
    <s v="Takeaway"/>
    <s v="New"/>
    <x v="2"/>
  </r>
  <r>
    <s v="CB0203"/>
    <s v="C147"/>
    <d v="2023-11-12T00:00:00"/>
    <s v="Ahmedabad"/>
    <x v="1"/>
    <s v="Puff"/>
    <n v="3"/>
    <n v="240"/>
    <n v="0.05"/>
    <n v="684"/>
    <n v="205.2"/>
    <s v="Cash"/>
    <s v="Takeaway"/>
    <s v="Repeat"/>
    <x v="2"/>
  </r>
  <r>
    <s v="CB0204"/>
    <s v="C641"/>
    <d v="2024-07-19T00:00:00"/>
    <s v="Ahmedabad"/>
    <x v="1"/>
    <s v="Sandwich"/>
    <n v="4"/>
    <n v="176"/>
    <n v="0.15"/>
    <n v="598.4"/>
    <n v="119.68"/>
    <s v="Cash"/>
    <s v="Takeaway"/>
    <s v="Repeat"/>
    <x v="0"/>
  </r>
  <r>
    <s v="CB0205"/>
    <s v="C205"/>
    <d v="2025-05-16T00:00:00"/>
    <s v="Vadodara"/>
    <x v="0"/>
    <s v="Cake"/>
    <n v="1"/>
    <n v="292"/>
    <n v="0.15"/>
    <n v="248.2"/>
    <n v="49.64"/>
    <s v="Card"/>
    <s v="Dine-In"/>
    <s v="Repeat"/>
    <x v="1"/>
  </r>
  <r>
    <s v="CB0206"/>
    <s v="C419"/>
    <d v="2023-08-22T00:00:00"/>
    <s v="Surat"/>
    <x v="2"/>
    <s v="Cold Coffee"/>
    <n v="4"/>
    <n v="444"/>
    <n v="0.15"/>
    <n v="1509.6"/>
    <n v="377.4"/>
    <s v="Cash"/>
    <s v="Dine-In"/>
    <s v="Repeat"/>
    <x v="2"/>
  </r>
  <r>
    <s v="CB0207"/>
    <s v="C677"/>
    <d v="2025-04-24T00:00:00"/>
    <s v="Mumbai"/>
    <x v="0"/>
    <s v="Brownie"/>
    <n v="3"/>
    <n v="288"/>
    <n v="0.05"/>
    <n v="820.8"/>
    <n v="205.2"/>
    <s v="Card"/>
    <s v="Takeaway"/>
    <s v="Repeat"/>
    <x v="1"/>
  </r>
  <r>
    <s v="CB0208"/>
    <s v="C826"/>
    <d v="2023-03-02T00:00:00"/>
    <s v="Ahmedabad"/>
    <x v="0"/>
    <s v="Cake"/>
    <n v="3"/>
    <n v="134"/>
    <n v="0.15"/>
    <n v="341.7"/>
    <n v="85.42"/>
    <s v="UPI"/>
    <s v="Takeaway"/>
    <s v="Repeat"/>
    <x v="2"/>
  </r>
  <r>
    <s v="CB0209"/>
    <s v="C672"/>
    <d v="2024-01-24T00:00:00"/>
    <s v="Ahmedabad"/>
    <x v="0"/>
    <s v="Ice Cream"/>
    <n v="1"/>
    <n v="173"/>
    <n v="0"/>
    <n v="173"/>
    <n v="51.9"/>
    <s v="UPI"/>
    <s v="Dine-In"/>
    <s v="Repeat"/>
    <x v="0"/>
  </r>
  <r>
    <s v="CB0210"/>
    <s v="C540"/>
    <d v="2024-01-18T00:00:00"/>
    <s v="Vadodara"/>
    <x v="0"/>
    <s v="Muffin"/>
    <n v="2"/>
    <n v="239"/>
    <n v="0.05"/>
    <n v="454.1"/>
    <n v="90.82"/>
    <s v="UPI"/>
    <s v="Takeaway"/>
    <s v="Repeat"/>
    <x v="0"/>
  </r>
  <r>
    <s v="CB0211"/>
    <s v="C375"/>
    <d v="2025-12-02T00:00:00"/>
    <s v="Vadodara"/>
    <x v="1"/>
    <s v="Sandwich"/>
    <n v="4"/>
    <n v="407"/>
    <n v="0.05"/>
    <n v="1546.6"/>
    <n v="386.65"/>
    <s v="Card"/>
    <s v="Dine-In"/>
    <s v="Repeat"/>
    <x v="1"/>
  </r>
  <r>
    <s v="CB0212"/>
    <s v="C677"/>
    <d v="2023-09-09T00:00:00"/>
    <s v="Rajkot"/>
    <x v="1"/>
    <s v="Puff"/>
    <n v="4"/>
    <n v="317"/>
    <n v="0.1"/>
    <n v="1141.2"/>
    <n v="285.3"/>
    <s v="Card"/>
    <s v="Dine-In"/>
    <s v="Repeat"/>
    <x v="2"/>
  </r>
  <r>
    <s v="CB0213"/>
    <s v="C773"/>
    <d v="2024-10-13T00:00:00"/>
    <s v="Surat"/>
    <x v="1"/>
    <s v="Fries"/>
    <n v="4"/>
    <n v="273"/>
    <n v="0.1"/>
    <n v="982.8"/>
    <n v="196.56"/>
    <s v="UPI"/>
    <s v="Takeaway"/>
    <s v="Repeat"/>
    <x v="0"/>
  </r>
  <r>
    <s v="CB0214"/>
    <s v="C376"/>
    <d v="2024-06-25T00:00:00"/>
    <s v="Mumbai"/>
    <x v="2"/>
    <s v="Cold Coffee"/>
    <n v="1"/>
    <n v="100"/>
    <n v="0.15"/>
    <n v="85"/>
    <n v="25.5"/>
    <s v="Card"/>
    <s v="Takeaway"/>
    <s v="Repeat"/>
    <x v="0"/>
  </r>
  <r>
    <s v="CB0215"/>
    <s v="C489"/>
    <d v="2025-11-29T00:00:00"/>
    <s v="Vadodara"/>
    <x v="0"/>
    <s v="Cake"/>
    <n v="2"/>
    <n v="313"/>
    <n v="0.05"/>
    <n v="594.70000000000005"/>
    <n v="178.41"/>
    <s v="UPI"/>
    <s v="Dine-In"/>
    <s v="Repeat"/>
    <x v="1"/>
  </r>
  <r>
    <s v="CB0216"/>
    <s v="C136"/>
    <d v="2023-04-04T00:00:00"/>
    <s v="Ahmedabad"/>
    <x v="0"/>
    <s v="Brownie"/>
    <n v="2"/>
    <n v="322"/>
    <n v="0"/>
    <n v="644"/>
    <n v="161"/>
    <s v="UPI"/>
    <s v="Dine-In"/>
    <s v="New"/>
    <x v="2"/>
  </r>
  <r>
    <s v="CB0217"/>
    <s v="C183"/>
    <d v="2023-01-16T00:00:00"/>
    <s v="Vadodara"/>
    <x v="0"/>
    <s v="Cake"/>
    <n v="2"/>
    <n v="329"/>
    <n v="0.1"/>
    <n v="592.20000000000005"/>
    <n v="177.66"/>
    <s v="Card"/>
    <s v="Dine-In"/>
    <s v="Repeat"/>
    <x v="2"/>
  </r>
  <r>
    <s v="CB0218"/>
    <s v="C674"/>
    <d v="2023-06-19T00:00:00"/>
    <s v="Surat"/>
    <x v="0"/>
    <s v="Brownie"/>
    <n v="2"/>
    <n v="134"/>
    <n v="0.1"/>
    <n v="241.2"/>
    <n v="48.24"/>
    <s v="UPI"/>
    <s v="Takeaway"/>
    <s v="Repeat"/>
    <x v="2"/>
  </r>
  <r>
    <s v="CB0219"/>
    <s v="C906"/>
    <d v="2023-04-16T00:00:00"/>
    <s v="Vadodara"/>
    <x v="0"/>
    <s v="Ice Cream"/>
    <n v="2"/>
    <n v="164"/>
    <n v="0.15"/>
    <n v="278.8"/>
    <n v="83.64"/>
    <s v="Cash"/>
    <s v="Dine-In"/>
    <s v="Repeat"/>
    <x v="2"/>
  </r>
  <r>
    <s v="CB0220"/>
    <s v="C107"/>
    <d v="2024-10-23T00:00:00"/>
    <s v="Mumbai"/>
    <x v="0"/>
    <s v="Cake"/>
    <n v="3"/>
    <n v="170"/>
    <n v="0"/>
    <n v="510"/>
    <n v="153"/>
    <s v="UPI"/>
    <s v="Takeaway"/>
    <s v="New"/>
    <x v="0"/>
  </r>
  <r>
    <s v="CB0221"/>
    <s v="C773"/>
    <d v="2025-07-06T00:00:00"/>
    <s v="Rajkot"/>
    <x v="0"/>
    <s v="Cake"/>
    <n v="1"/>
    <n v="104"/>
    <n v="0.1"/>
    <n v="93.6"/>
    <n v="28.08"/>
    <s v="UPI"/>
    <s v="Dine-In"/>
    <s v="Repeat"/>
    <x v="1"/>
  </r>
  <r>
    <s v="CB0222"/>
    <s v="C674"/>
    <d v="2025-02-13T00:00:00"/>
    <s v="Surat"/>
    <x v="0"/>
    <s v="Cake"/>
    <n v="1"/>
    <n v="334"/>
    <n v="0"/>
    <n v="334"/>
    <n v="83.5"/>
    <s v="UPI"/>
    <s v="Dine-In"/>
    <s v="Repeat"/>
    <x v="1"/>
  </r>
  <r>
    <s v="CB0223"/>
    <s v="C596"/>
    <d v="2023-05-04T00:00:00"/>
    <s v="Rajkot"/>
    <x v="2"/>
    <s v="Cappuccino"/>
    <n v="4"/>
    <n v="128"/>
    <n v="0.05"/>
    <n v="486.4"/>
    <n v="97.28"/>
    <s v="Cash"/>
    <s v="Takeaway"/>
    <s v="Repeat"/>
    <x v="2"/>
  </r>
  <r>
    <s v="CB0224"/>
    <s v="C852"/>
    <d v="2023-10-25T00:00:00"/>
    <s v="Surat"/>
    <x v="0"/>
    <s v="Ice Cream"/>
    <n v="4"/>
    <n v="319"/>
    <n v="0.1"/>
    <n v="1148.4000000000001"/>
    <n v="229.68"/>
    <s v="UPI"/>
    <s v="Dine-In"/>
    <s v="Repeat"/>
    <x v="2"/>
  </r>
  <r>
    <s v="CB0225"/>
    <s v="C763"/>
    <d v="2023-04-24T00:00:00"/>
    <s v="Mumbai"/>
    <x v="2"/>
    <s v="Coffee"/>
    <n v="4"/>
    <n v="220"/>
    <n v="0.1"/>
    <n v="792"/>
    <n v="237.6"/>
    <s v="UPI"/>
    <s v="Takeaway"/>
    <s v="Repeat"/>
    <x v="2"/>
  </r>
  <r>
    <s v="CB0226"/>
    <s v="C169"/>
    <d v="2023-10-28T00:00:00"/>
    <s v="Vadodara"/>
    <x v="0"/>
    <s v="Cake"/>
    <n v="3"/>
    <n v="244"/>
    <n v="0.1"/>
    <n v="658.8"/>
    <n v="164.7"/>
    <s v="Card"/>
    <s v="Takeaway"/>
    <s v="Repeat"/>
    <x v="2"/>
  </r>
  <r>
    <s v="CB0227"/>
    <s v="C754"/>
    <d v="2024-01-26T00:00:00"/>
    <s v="Vadodara"/>
    <x v="0"/>
    <s v="Brownie"/>
    <n v="4"/>
    <n v="330"/>
    <n v="0.05"/>
    <n v="1254"/>
    <n v="250.8"/>
    <s v="UPI"/>
    <s v="Takeaway"/>
    <s v="Repeat"/>
    <x v="0"/>
  </r>
  <r>
    <s v="CB0228"/>
    <s v="C523"/>
    <d v="2024-07-06T00:00:00"/>
    <s v="Rajkot"/>
    <x v="2"/>
    <s v="Coffee"/>
    <n v="1"/>
    <n v="351"/>
    <n v="0.15"/>
    <n v="298.35000000000002"/>
    <n v="74.59"/>
    <s v="Cash"/>
    <s v="Takeaway"/>
    <s v="Repeat"/>
    <x v="0"/>
  </r>
  <r>
    <s v="CB0229"/>
    <s v="C169"/>
    <d v="2025-07-01T00:00:00"/>
    <s v="Mumbai"/>
    <x v="2"/>
    <s v="Cappuccino"/>
    <n v="1"/>
    <n v="123"/>
    <n v="0.15"/>
    <n v="104.55"/>
    <n v="31.36"/>
    <s v="UPI"/>
    <s v="Takeaway"/>
    <s v="Repeat"/>
    <x v="1"/>
  </r>
  <r>
    <s v="CB0230"/>
    <s v="C764"/>
    <d v="2025-04-05T00:00:00"/>
    <s v="Surat"/>
    <x v="2"/>
    <s v="Coffee"/>
    <n v="1"/>
    <n v="446"/>
    <n v="0.05"/>
    <n v="423.7"/>
    <n v="105.92"/>
    <s v="Card"/>
    <s v="Takeaway"/>
    <s v="Repeat"/>
    <x v="1"/>
  </r>
  <r>
    <s v="CB0231"/>
    <s v="C752"/>
    <d v="2023-08-27T00:00:00"/>
    <s v="Rajkot"/>
    <x v="2"/>
    <s v="Latte"/>
    <n v="3"/>
    <n v="206"/>
    <n v="0"/>
    <n v="618"/>
    <n v="123.6"/>
    <s v="UPI"/>
    <s v="Dine-In"/>
    <s v="Repeat"/>
    <x v="2"/>
  </r>
  <r>
    <s v="CB0232"/>
    <s v="C272"/>
    <d v="2025-06-27T00:00:00"/>
    <s v="Surat"/>
    <x v="1"/>
    <s v="Puff"/>
    <n v="3"/>
    <n v="352"/>
    <n v="0.1"/>
    <n v="950.4"/>
    <n v="237.6"/>
    <s v="UPI"/>
    <s v="Takeaway"/>
    <s v="New"/>
    <x v="1"/>
  </r>
  <r>
    <s v="CB0233"/>
    <s v="C734"/>
    <d v="2023-07-11T00:00:00"/>
    <s v="Rajkot"/>
    <x v="1"/>
    <s v="Fries"/>
    <n v="1"/>
    <n v="144"/>
    <n v="0"/>
    <n v="144"/>
    <n v="36"/>
    <s v="Card"/>
    <s v="Takeaway"/>
    <s v="Repeat"/>
    <x v="2"/>
  </r>
  <r>
    <s v="CB0234"/>
    <s v="C147"/>
    <d v="2024-05-19T00:00:00"/>
    <s v="Surat"/>
    <x v="1"/>
    <s v="Fries"/>
    <n v="1"/>
    <n v="131"/>
    <n v="0"/>
    <n v="131"/>
    <n v="32.75"/>
    <s v="Cash"/>
    <s v="Dine-In"/>
    <s v="Repeat"/>
    <x v="0"/>
  </r>
  <r>
    <s v="CB0235"/>
    <s v="C500"/>
    <d v="2023-04-08T00:00:00"/>
    <s v="Surat"/>
    <x v="1"/>
    <s v="Fries"/>
    <n v="1"/>
    <n v="406"/>
    <n v="0"/>
    <n v="406"/>
    <n v="101.5"/>
    <s v="Card"/>
    <s v="Dine-In"/>
    <s v="Repeat"/>
    <x v="2"/>
  </r>
  <r>
    <s v="CB0236"/>
    <s v="C596"/>
    <d v="2023-08-25T00:00:00"/>
    <s v="Surat"/>
    <x v="0"/>
    <s v="Cake"/>
    <n v="1"/>
    <n v="168"/>
    <n v="0.15"/>
    <n v="142.80000000000001"/>
    <n v="35.700000000000003"/>
    <s v="Card"/>
    <s v="Takeaway"/>
    <s v="Repeat"/>
    <x v="2"/>
  </r>
  <r>
    <s v="CB0237"/>
    <s v="C902"/>
    <d v="2023-06-13T00:00:00"/>
    <s v="Ahmedabad"/>
    <x v="0"/>
    <s v="Cake"/>
    <n v="3"/>
    <n v="253"/>
    <n v="0"/>
    <n v="759"/>
    <n v="189.75"/>
    <s v="Cash"/>
    <s v="Dine-In"/>
    <s v="Repeat"/>
    <x v="2"/>
  </r>
  <r>
    <s v="CB0238"/>
    <s v="C458"/>
    <d v="2023-04-10T00:00:00"/>
    <s v="Rajkot"/>
    <x v="2"/>
    <s v="Latte"/>
    <n v="4"/>
    <n v="448"/>
    <n v="0"/>
    <n v="1792"/>
    <n v="537.6"/>
    <s v="UPI"/>
    <s v="Takeaway"/>
    <s v="Repeat"/>
    <x v="2"/>
  </r>
  <r>
    <s v="CB0239"/>
    <s v="C726"/>
    <d v="2023-10-30T00:00:00"/>
    <s v="Rajkot"/>
    <x v="2"/>
    <s v="Cold Coffee"/>
    <n v="4"/>
    <n v="336"/>
    <n v="0.15"/>
    <n v="1142.4000000000001"/>
    <n v="342.72"/>
    <s v="Card"/>
    <s v="Takeaway"/>
    <s v="New"/>
    <x v="2"/>
  </r>
  <r>
    <s v="CB0240"/>
    <s v="C902"/>
    <d v="2024-08-12T00:00:00"/>
    <s v="Surat"/>
    <x v="2"/>
    <s v="Cappuccino"/>
    <n v="1"/>
    <n v="166"/>
    <n v="0.15"/>
    <n v="141.1"/>
    <n v="42.33"/>
    <s v="Card"/>
    <s v="Dine-In"/>
    <s v="Repeat"/>
    <x v="0"/>
  </r>
  <r>
    <s v="CB0241"/>
    <s v="C902"/>
    <d v="2024-07-15T00:00:00"/>
    <s v="Surat"/>
    <x v="2"/>
    <s v="Cappuccino"/>
    <n v="2"/>
    <n v="407"/>
    <n v="0.1"/>
    <n v="732.6"/>
    <n v="183.15"/>
    <s v="UPI"/>
    <s v="Dine-In"/>
    <s v="Repeat"/>
    <x v="0"/>
  </r>
  <r>
    <s v="CB0242"/>
    <s v="C361"/>
    <d v="2025-12-27T00:00:00"/>
    <s v="Rajkot"/>
    <x v="1"/>
    <s v="Puff"/>
    <n v="1"/>
    <n v="414"/>
    <n v="0.05"/>
    <n v="393.3"/>
    <n v="78.66"/>
    <s v="Card"/>
    <s v="Takeaway"/>
    <s v="Repeat"/>
    <x v="1"/>
  </r>
  <r>
    <s v="CB0243"/>
    <s v="C371"/>
    <d v="2025-11-24T00:00:00"/>
    <s v="Mumbai"/>
    <x v="1"/>
    <s v="Sandwich"/>
    <n v="3"/>
    <n v="231"/>
    <n v="0.1"/>
    <n v="623.70000000000005"/>
    <n v="155.93"/>
    <s v="Card"/>
    <s v="Takeaway"/>
    <s v="Repeat"/>
    <x v="1"/>
  </r>
  <r>
    <s v="CB0244"/>
    <s v="C752"/>
    <d v="2024-05-13T00:00:00"/>
    <s v="Surat"/>
    <x v="2"/>
    <s v="Cold Coffee"/>
    <n v="1"/>
    <n v="240"/>
    <n v="0.05"/>
    <n v="228"/>
    <n v="57"/>
    <s v="Cash"/>
    <s v="Dine-In"/>
    <s v="Repeat"/>
    <x v="0"/>
  </r>
  <r>
    <s v="CB0245"/>
    <s v="C553"/>
    <d v="2025-03-28T00:00:00"/>
    <s v="Mumbai"/>
    <x v="0"/>
    <s v="Muffin"/>
    <n v="4"/>
    <n v="295"/>
    <n v="0.05"/>
    <n v="1121"/>
    <n v="280.25"/>
    <s v="UPI"/>
    <s v="Dine-In"/>
    <s v="New"/>
    <x v="1"/>
  </r>
  <r>
    <s v="CB0246"/>
    <s v="C770"/>
    <d v="2023-01-26T00:00:00"/>
    <s v="Vadodara"/>
    <x v="1"/>
    <s v="Puff"/>
    <n v="2"/>
    <n v="281"/>
    <n v="0.05"/>
    <n v="533.9"/>
    <n v="106.78"/>
    <s v="Card"/>
    <s v="Dine-In"/>
    <s v="Repeat"/>
    <x v="2"/>
  </r>
  <r>
    <s v="CB0247"/>
    <s v="C555"/>
    <d v="2025-02-11T00:00:00"/>
    <s v="Mumbai"/>
    <x v="0"/>
    <s v="Muffin"/>
    <n v="1"/>
    <n v="343"/>
    <n v="0.15"/>
    <n v="291.55"/>
    <n v="87.47"/>
    <s v="Card"/>
    <s v="Dine-In"/>
    <s v="Repeat"/>
    <x v="1"/>
  </r>
  <r>
    <s v="CB0248"/>
    <s v="C344"/>
    <d v="2024-12-22T00:00:00"/>
    <s v="Surat"/>
    <x v="0"/>
    <s v="Ice Cream"/>
    <n v="2"/>
    <n v="162"/>
    <n v="0"/>
    <n v="324"/>
    <n v="97.2"/>
    <s v="Card"/>
    <s v="Takeaway"/>
    <s v="Repeat"/>
    <x v="0"/>
  </r>
  <r>
    <s v="CB0249"/>
    <s v="C763"/>
    <d v="2024-03-06T00:00:00"/>
    <s v="Ahmedabad"/>
    <x v="1"/>
    <s v="Fries"/>
    <n v="1"/>
    <n v="153"/>
    <n v="0"/>
    <n v="153"/>
    <n v="38.25"/>
    <s v="Card"/>
    <s v="Takeaway"/>
    <s v="Repeat"/>
    <x v="0"/>
  </r>
  <r>
    <s v="CB0250"/>
    <s v="C381"/>
    <d v="2024-06-27T00:00:00"/>
    <s v="Rajkot"/>
    <x v="0"/>
    <s v="Cake"/>
    <n v="2"/>
    <n v="276"/>
    <n v="0.1"/>
    <n v="496.8"/>
    <n v="124.2"/>
    <s v="Cash"/>
    <s v="Takeaway"/>
    <s v="New"/>
    <x v="0"/>
  </r>
  <r>
    <s v="CB0251"/>
    <s v="C630"/>
    <d v="2024-04-20T00:00:00"/>
    <s v="Mumbai"/>
    <x v="0"/>
    <s v="Brownie"/>
    <n v="4"/>
    <n v="96"/>
    <n v="0.1"/>
    <n v="345.6"/>
    <n v="103.68"/>
    <s v="UPI"/>
    <s v="Takeaway"/>
    <s v="New"/>
    <x v="0"/>
  </r>
  <r>
    <s v="CB0252"/>
    <s v="C852"/>
    <d v="2024-01-25T00:00:00"/>
    <s v="Mumbai"/>
    <x v="2"/>
    <s v="Latte"/>
    <n v="1"/>
    <n v="365"/>
    <n v="0.15"/>
    <n v="310.25"/>
    <n v="93.08"/>
    <s v="Cash"/>
    <s v="Dine-In"/>
    <s v="Repeat"/>
    <x v="0"/>
  </r>
  <r>
    <s v="CB0253"/>
    <s v="C555"/>
    <d v="2025-09-20T00:00:00"/>
    <s v="Mumbai"/>
    <x v="2"/>
    <s v="Cold Coffee"/>
    <n v="2"/>
    <n v="247"/>
    <n v="0.05"/>
    <n v="469.3"/>
    <n v="117.32"/>
    <s v="Card"/>
    <s v="Takeaway"/>
    <s v="Repeat"/>
    <x v="1"/>
  </r>
  <r>
    <s v="CB0254"/>
    <s v="C962"/>
    <d v="2023-09-16T00:00:00"/>
    <s v="Surat"/>
    <x v="0"/>
    <s v="Ice Cream"/>
    <n v="2"/>
    <n v="177"/>
    <n v="0.15"/>
    <n v="300.89999999999998"/>
    <n v="75.22"/>
    <s v="UPI"/>
    <s v="Takeaway"/>
    <s v="Repeat"/>
    <x v="2"/>
  </r>
  <r>
    <s v="CB0255"/>
    <s v="C442"/>
    <d v="2024-07-16T00:00:00"/>
    <s v="Rajkot"/>
    <x v="1"/>
    <s v="Fries"/>
    <n v="4"/>
    <n v="171"/>
    <n v="0.1"/>
    <n v="615.6"/>
    <n v="123.12"/>
    <s v="Card"/>
    <s v="Takeaway"/>
    <s v="New"/>
    <x v="0"/>
  </r>
  <r>
    <s v="CB0256"/>
    <s v="C628"/>
    <d v="2025-04-03T00:00:00"/>
    <s v="Surat"/>
    <x v="2"/>
    <s v="Coffee"/>
    <n v="2"/>
    <n v="114"/>
    <n v="0.05"/>
    <n v="216.6"/>
    <n v="64.98"/>
    <s v="Cash"/>
    <s v="Dine-In"/>
    <s v="Repeat"/>
    <x v="1"/>
  </r>
  <r>
    <s v="CB0257"/>
    <s v="C914"/>
    <d v="2025-09-27T00:00:00"/>
    <s v="Ahmedabad"/>
    <x v="0"/>
    <s v="Ice Cream"/>
    <n v="4"/>
    <n v="208"/>
    <n v="0.1"/>
    <n v="748.8"/>
    <n v="187.2"/>
    <s v="Card"/>
    <s v="Takeaway"/>
    <s v="Repeat"/>
    <x v="1"/>
  </r>
  <r>
    <s v="CB0258"/>
    <s v="C897"/>
    <d v="2025-09-15T00:00:00"/>
    <s v="Surat"/>
    <x v="2"/>
    <s v="Coffee"/>
    <n v="3"/>
    <n v="255"/>
    <n v="0"/>
    <n v="765"/>
    <n v="153"/>
    <s v="Cash"/>
    <s v="Dine-In"/>
    <s v="Repeat"/>
    <x v="1"/>
  </r>
  <r>
    <s v="CB0259"/>
    <s v="C672"/>
    <d v="2023-03-12T00:00:00"/>
    <s v="Vadodara"/>
    <x v="0"/>
    <s v="Cake"/>
    <n v="3"/>
    <n v="404"/>
    <n v="0.15"/>
    <n v="1030.2"/>
    <n v="309.06"/>
    <s v="UPI"/>
    <s v="Dine-In"/>
    <s v="Repeat"/>
    <x v="2"/>
  </r>
  <r>
    <s v="CB0260"/>
    <s v="C999"/>
    <d v="2023-01-29T00:00:00"/>
    <s v="Rajkot"/>
    <x v="2"/>
    <s v="Cold Coffee"/>
    <n v="4"/>
    <n v="176"/>
    <n v="0.05"/>
    <n v="668.8"/>
    <n v="200.64"/>
    <s v="Cash"/>
    <s v="Dine-In"/>
    <s v="Repeat"/>
    <x v="2"/>
  </r>
  <r>
    <s v="CB0261"/>
    <s v="C674"/>
    <d v="2024-11-02T00:00:00"/>
    <s v="Ahmedabad"/>
    <x v="1"/>
    <s v="Fries"/>
    <n v="2"/>
    <n v="409"/>
    <n v="0.15"/>
    <n v="695.3"/>
    <n v="173.82"/>
    <s v="UPI"/>
    <s v="Dine-In"/>
    <s v="Repeat"/>
    <x v="0"/>
  </r>
  <r>
    <s v="CB0262"/>
    <s v="C255"/>
    <d v="2024-04-18T00:00:00"/>
    <s v="Surat"/>
    <x v="1"/>
    <s v="Puff"/>
    <n v="4"/>
    <n v="188"/>
    <n v="0.05"/>
    <n v="714.4"/>
    <n v="178.6"/>
    <s v="Cash"/>
    <s v="Takeaway"/>
    <s v="Repeat"/>
    <x v="0"/>
  </r>
  <r>
    <s v="CB0263"/>
    <s v="C734"/>
    <d v="2023-11-13T00:00:00"/>
    <s v="Surat"/>
    <x v="1"/>
    <s v="Puff"/>
    <n v="2"/>
    <n v="392"/>
    <n v="0.1"/>
    <n v="705.6"/>
    <n v="211.68"/>
    <s v="Card"/>
    <s v="Dine-In"/>
    <s v="Repeat"/>
    <x v="2"/>
  </r>
  <r>
    <s v="CB0264"/>
    <s v="C414"/>
    <d v="2025-08-05T00:00:00"/>
    <s v="Vadodara"/>
    <x v="2"/>
    <s v="Cold Coffee"/>
    <n v="4"/>
    <n v="88"/>
    <n v="0.05"/>
    <n v="334.4"/>
    <n v="66.88"/>
    <s v="Card"/>
    <s v="Dine-In"/>
    <s v="Repeat"/>
    <x v="1"/>
  </r>
  <r>
    <s v="CB0265"/>
    <s v="C457"/>
    <d v="2025-02-01T00:00:00"/>
    <s v="Rajkot"/>
    <x v="1"/>
    <s v="Sandwich"/>
    <n v="4"/>
    <n v="101"/>
    <n v="0.05"/>
    <n v="383.8"/>
    <n v="115.14"/>
    <s v="Cash"/>
    <s v="Takeaway"/>
    <s v="New"/>
    <x v="1"/>
  </r>
  <r>
    <s v="CB0266"/>
    <s v="C763"/>
    <d v="2024-11-27T00:00:00"/>
    <s v="Vadodara"/>
    <x v="2"/>
    <s v="Coffee"/>
    <n v="3"/>
    <n v="149"/>
    <n v="0.15"/>
    <n v="379.95"/>
    <n v="75.989999999999995"/>
    <s v="Cash"/>
    <s v="Dine-In"/>
    <s v="Repeat"/>
    <x v="0"/>
  </r>
  <r>
    <s v="CB0267"/>
    <s v="C958"/>
    <d v="2023-10-18T00:00:00"/>
    <s v="Mumbai"/>
    <x v="1"/>
    <s v="Puff"/>
    <n v="2"/>
    <n v="407"/>
    <n v="0.1"/>
    <n v="732.6"/>
    <n v="146.52000000000001"/>
    <s v="Card"/>
    <s v="Dine-In"/>
    <s v="New"/>
    <x v="2"/>
  </r>
  <r>
    <s v="CB0268"/>
    <s v="C543"/>
    <d v="2025-09-16T00:00:00"/>
    <s v="Vadodara"/>
    <x v="1"/>
    <s v="Puff"/>
    <n v="2"/>
    <n v="431"/>
    <n v="0.05"/>
    <n v="818.9"/>
    <n v="163.78"/>
    <s v="UPI"/>
    <s v="Dine-In"/>
    <s v="Repeat"/>
    <x v="1"/>
  </r>
  <r>
    <s v="CB0269"/>
    <s v="C902"/>
    <d v="2023-12-15T00:00:00"/>
    <s v="Mumbai"/>
    <x v="0"/>
    <s v="Ice Cream"/>
    <n v="1"/>
    <n v="448"/>
    <n v="0.15"/>
    <n v="380.8"/>
    <n v="114.24"/>
    <s v="Card"/>
    <s v="Dine-In"/>
    <s v="Repeat"/>
    <x v="2"/>
  </r>
  <r>
    <s v="CB0270"/>
    <s v="C962"/>
    <d v="2023-06-02T00:00:00"/>
    <s v="Surat"/>
    <x v="0"/>
    <s v="Brownie"/>
    <n v="1"/>
    <n v="314"/>
    <n v="0.15"/>
    <n v="266.89999999999998"/>
    <n v="80.069999999999993"/>
    <s v="Card"/>
    <s v="Takeaway"/>
    <s v="Repeat"/>
    <x v="2"/>
  </r>
  <r>
    <s v="CB0271"/>
    <s v="C999"/>
    <d v="2023-01-25T00:00:00"/>
    <s v="Rajkot"/>
    <x v="2"/>
    <s v="Cold Coffee"/>
    <n v="4"/>
    <n v="431"/>
    <n v="0"/>
    <n v="1724"/>
    <n v="431"/>
    <s v="UPI"/>
    <s v="Dine-In"/>
    <s v="Repeat"/>
    <x v="2"/>
  </r>
  <r>
    <s v="CB0272"/>
    <s v="C510"/>
    <d v="2023-05-20T00:00:00"/>
    <s v="Ahmedabad"/>
    <x v="1"/>
    <s v="Puff"/>
    <n v="3"/>
    <n v="134"/>
    <n v="0"/>
    <n v="402"/>
    <n v="100.5"/>
    <s v="UPI"/>
    <s v="Dine-In"/>
    <s v="Repeat"/>
    <x v="2"/>
  </r>
  <r>
    <s v="CB0273"/>
    <s v="C204"/>
    <d v="2024-01-09T00:00:00"/>
    <s v="Vadodara"/>
    <x v="2"/>
    <s v="Coffee"/>
    <n v="3"/>
    <n v="245"/>
    <n v="0"/>
    <n v="735"/>
    <n v="220.5"/>
    <s v="UPI"/>
    <s v="Takeaway"/>
    <s v="Repeat"/>
    <x v="0"/>
  </r>
  <r>
    <s v="CB0274"/>
    <s v="C285"/>
    <d v="2024-12-23T00:00:00"/>
    <s v="Mumbai"/>
    <x v="2"/>
    <s v="Tea"/>
    <n v="4"/>
    <n v="111"/>
    <n v="0"/>
    <n v="444"/>
    <n v="133.19999999999999"/>
    <s v="Cash"/>
    <s v="Dine-In"/>
    <s v="Repeat"/>
    <x v="0"/>
  </r>
  <r>
    <s v="CB0275"/>
    <s v="C543"/>
    <d v="2023-03-04T00:00:00"/>
    <s v="Ahmedabad"/>
    <x v="1"/>
    <s v="Burger"/>
    <n v="2"/>
    <n v="316"/>
    <n v="0.15"/>
    <n v="537.20000000000005"/>
    <n v="134.30000000000001"/>
    <s v="UPI"/>
    <s v="Takeaway"/>
    <s v="Repeat"/>
    <x v="2"/>
  </r>
  <r>
    <s v="CB0276"/>
    <s v="C147"/>
    <d v="2025-07-16T00:00:00"/>
    <s v="Mumbai"/>
    <x v="2"/>
    <s v="Coffee"/>
    <n v="1"/>
    <n v="233"/>
    <n v="0.15"/>
    <n v="198.05"/>
    <n v="49.51"/>
    <s v="Cash"/>
    <s v="Dine-In"/>
    <s v="Repeat"/>
    <x v="1"/>
  </r>
  <r>
    <s v="CB0277"/>
    <s v="C479"/>
    <d v="2023-02-01T00:00:00"/>
    <s v="Ahmedabad"/>
    <x v="0"/>
    <s v="Ice Cream"/>
    <n v="1"/>
    <n v="313"/>
    <n v="0.1"/>
    <n v="281.7"/>
    <n v="84.51"/>
    <s v="Card"/>
    <s v="Dine-In"/>
    <s v="Repeat"/>
    <x v="2"/>
  </r>
  <r>
    <s v="CB0278"/>
    <s v="C158"/>
    <d v="2025-07-25T00:00:00"/>
    <s v="Mumbai"/>
    <x v="0"/>
    <s v="Brownie"/>
    <n v="4"/>
    <n v="159"/>
    <n v="0.05"/>
    <n v="604.20000000000005"/>
    <n v="151.05000000000001"/>
    <s v="Card"/>
    <s v="Dine-In"/>
    <s v="Repeat"/>
    <x v="1"/>
  </r>
  <r>
    <s v="CB0279"/>
    <s v="C739"/>
    <d v="2024-06-07T00:00:00"/>
    <s v="Surat"/>
    <x v="2"/>
    <s v="Tea"/>
    <n v="2"/>
    <n v="276"/>
    <n v="0.1"/>
    <n v="496.8"/>
    <n v="124.2"/>
    <s v="Cash"/>
    <s v="Dine-In"/>
    <s v="Repeat"/>
    <x v="0"/>
  </r>
  <r>
    <s v="CB0280"/>
    <s v="C551"/>
    <d v="2023-10-12T00:00:00"/>
    <s v="Vadodara"/>
    <x v="2"/>
    <s v="Tea"/>
    <n v="3"/>
    <n v="444"/>
    <n v="0"/>
    <n v="1332"/>
    <n v="266.39999999999998"/>
    <s v="Card"/>
    <s v="Dine-In"/>
    <s v="Repeat"/>
    <x v="2"/>
  </r>
  <r>
    <s v="CB0281"/>
    <s v="C361"/>
    <d v="2023-06-30T00:00:00"/>
    <s v="Surat"/>
    <x v="0"/>
    <s v="Muffin"/>
    <n v="1"/>
    <n v="138"/>
    <n v="0.15"/>
    <n v="117.3"/>
    <n v="29.32"/>
    <s v="UPI"/>
    <s v="Dine-In"/>
    <s v="Repeat"/>
    <x v="2"/>
  </r>
  <r>
    <s v="CB0282"/>
    <s v="C408"/>
    <d v="2023-05-09T00:00:00"/>
    <s v="Ahmedabad"/>
    <x v="1"/>
    <s v="Sandwich"/>
    <n v="1"/>
    <n v="370"/>
    <n v="0.15"/>
    <n v="314.5"/>
    <n v="94.35"/>
    <s v="UPI"/>
    <s v="Takeaway"/>
    <s v="Repeat"/>
    <x v="2"/>
  </r>
  <r>
    <s v="CB0283"/>
    <s v="C674"/>
    <d v="2023-09-21T00:00:00"/>
    <s v="Mumbai"/>
    <x v="1"/>
    <s v="Sandwich"/>
    <n v="3"/>
    <n v="279"/>
    <n v="0"/>
    <n v="837"/>
    <n v="209.25"/>
    <s v="UPI"/>
    <s v="Takeaway"/>
    <s v="Repeat"/>
    <x v="2"/>
  </r>
  <r>
    <s v="CB0284"/>
    <s v="C949"/>
    <d v="2024-12-24T00:00:00"/>
    <s v="Rajkot"/>
    <x v="2"/>
    <s v="Cappuccino"/>
    <n v="1"/>
    <n v="447"/>
    <n v="0.05"/>
    <n v="424.65"/>
    <n v="84.93"/>
    <s v="UPI"/>
    <s v="Takeaway"/>
    <s v="Repeat"/>
    <x v="0"/>
  </r>
  <r>
    <s v="CB0285"/>
    <s v="C669"/>
    <d v="2025-02-19T00:00:00"/>
    <s v="Mumbai"/>
    <x v="0"/>
    <s v="Muffin"/>
    <n v="3"/>
    <n v="339"/>
    <n v="0"/>
    <n v="1017"/>
    <n v="254.25"/>
    <s v="Cash"/>
    <s v="Takeaway"/>
    <s v="Repeat"/>
    <x v="1"/>
  </r>
  <r>
    <s v="CB0286"/>
    <s v="C357"/>
    <d v="2023-09-03T00:00:00"/>
    <s v="Rajkot"/>
    <x v="1"/>
    <s v="Burger"/>
    <n v="1"/>
    <n v="112"/>
    <n v="0.1"/>
    <n v="100.8"/>
    <n v="25.2"/>
    <s v="Card"/>
    <s v="Takeaway"/>
    <s v="Repeat"/>
    <x v="2"/>
  </r>
  <r>
    <s v="CB0287"/>
    <s v="C204"/>
    <d v="2024-11-16T00:00:00"/>
    <s v="Ahmedabad"/>
    <x v="1"/>
    <s v="Sandwich"/>
    <n v="3"/>
    <n v="102"/>
    <n v="0.1"/>
    <n v="275.39999999999998"/>
    <n v="55.08"/>
    <s v="Card"/>
    <s v="Dine-In"/>
    <s v="Repeat"/>
    <x v="0"/>
  </r>
  <r>
    <s v="CB0288"/>
    <s v="C763"/>
    <d v="2024-11-03T00:00:00"/>
    <s v="Rajkot"/>
    <x v="0"/>
    <s v="Muffin"/>
    <n v="3"/>
    <n v="300"/>
    <n v="0.1"/>
    <n v="810"/>
    <n v="162"/>
    <s v="Cash"/>
    <s v="Takeaway"/>
    <s v="Repeat"/>
    <x v="0"/>
  </r>
  <r>
    <s v="CB0289"/>
    <s v="C909"/>
    <d v="2023-01-21T00:00:00"/>
    <s v="Mumbai"/>
    <x v="0"/>
    <s v="Brownie"/>
    <n v="2"/>
    <n v="435"/>
    <n v="0.1"/>
    <n v="783"/>
    <n v="156.6"/>
    <s v="Card"/>
    <s v="Dine-In"/>
    <s v="Repeat"/>
    <x v="2"/>
  </r>
  <r>
    <s v="CB0290"/>
    <s v="C906"/>
    <d v="2024-10-04T00:00:00"/>
    <s v="Mumbai"/>
    <x v="1"/>
    <s v="Puff"/>
    <n v="3"/>
    <n v="230"/>
    <n v="0.15"/>
    <n v="586.5"/>
    <n v="146.62"/>
    <s v="UPI"/>
    <s v="Takeaway"/>
    <s v="Repeat"/>
    <x v="0"/>
  </r>
  <r>
    <s v="CB0291"/>
    <s v="C256"/>
    <d v="2023-06-20T00:00:00"/>
    <s v="Ahmedabad"/>
    <x v="2"/>
    <s v="Latte"/>
    <n v="2"/>
    <n v="130"/>
    <n v="0"/>
    <n v="260"/>
    <n v="78"/>
    <s v="Cash"/>
    <s v="Dine-In"/>
    <s v="Repeat"/>
    <x v="2"/>
  </r>
  <r>
    <s v="CB0292"/>
    <s v="C256"/>
    <d v="2024-10-03T00:00:00"/>
    <s v="Mumbai"/>
    <x v="0"/>
    <s v="Muffin"/>
    <n v="3"/>
    <n v="167"/>
    <n v="0.15"/>
    <n v="425.85"/>
    <n v="85.17"/>
    <s v="Cash"/>
    <s v="Dine-In"/>
    <s v="Repeat"/>
    <x v="0"/>
  </r>
  <r>
    <s v="CB0293"/>
    <s v="C519"/>
    <d v="2024-08-21T00:00:00"/>
    <s v="Surat"/>
    <x v="0"/>
    <s v="Brownie"/>
    <n v="3"/>
    <n v="162"/>
    <n v="0.05"/>
    <n v="461.7"/>
    <n v="92.34"/>
    <s v="Cash"/>
    <s v="Dine-In"/>
    <s v="Repeat"/>
    <x v="0"/>
  </r>
  <r>
    <s v="CB0294"/>
    <s v="C782"/>
    <d v="2025-11-24T00:00:00"/>
    <s v="Vadodara"/>
    <x v="2"/>
    <s v="Latte"/>
    <n v="2"/>
    <n v="374"/>
    <n v="0.05"/>
    <n v="710.6"/>
    <n v="177.65"/>
    <s v="UPI"/>
    <s v="Dine-In"/>
    <s v="Repeat"/>
    <x v="1"/>
  </r>
  <r>
    <s v="CB0295"/>
    <s v="C657"/>
    <d v="2024-08-26T00:00:00"/>
    <s v="Ahmedabad"/>
    <x v="2"/>
    <s v="Cappuccino"/>
    <n v="2"/>
    <n v="123"/>
    <n v="0"/>
    <n v="246"/>
    <n v="49.2"/>
    <s v="Card"/>
    <s v="Takeaway"/>
    <s v="Repeat"/>
    <x v="0"/>
  </r>
  <r>
    <s v="CB0296"/>
    <s v="C511"/>
    <d v="2024-08-30T00:00:00"/>
    <s v="Vadodara"/>
    <x v="1"/>
    <s v="Puff"/>
    <n v="3"/>
    <n v="386"/>
    <n v="0.15"/>
    <n v="984.3"/>
    <n v="246.07"/>
    <s v="Card"/>
    <s v="Takeaway"/>
    <s v="Repeat"/>
    <x v="0"/>
  </r>
  <r>
    <s v="CB0297"/>
    <s v="C255"/>
    <d v="2023-10-29T00:00:00"/>
    <s v="Surat"/>
    <x v="1"/>
    <s v="Sandwich"/>
    <n v="3"/>
    <n v="328"/>
    <n v="0"/>
    <n v="984"/>
    <n v="196.8"/>
    <s v="UPI"/>
    <s v="Takeaway"/>
    <s v="Repeat"/>
    <x v="2"/>
  </r>
  <r>
    <s v="CB0298"/>
    <s v="C503"/>
    <d v="2025-05-11T00:00:00"/>
    <s v="Rajkot"/>
    <x v="1"/>
    <s v="Fries"/>
    <n v="2"/>
    <n v="212"/>
    <n v="0.1"/>
    <n v="381.6"/>
    <n v="114.48"/>
    <s v="Cash"/>
    <s v="Takeaway"/>
    <s v="New"/>
    <x v="1"/>
  </r>
  <r>
    <s v="CB0299"/>
    <s v="C674"/>
    <d v="2023-01-15T00:00:00"/>
    <s v="Mumbai"/>
    <x v="0"/>
    <s v="Brownie"/>
    <n v="2"/>
    <n v="383"/>
    <n v="0"/>
    <n v="766"/>
    <n v="229.8"/>
    <s v="Cash"/>
    <s v="Takeaway"/>
    <s v="Repeat"/>
    <x v="2"/>
  </r>
  <r>
    <s v="CB0300"/>
    <s v="C566"/>
    <d v="2025-09-09T00:00:00"/>
    <s v="Surat"/>
    <x v="2"/>
    <s v="Cold Coffee"/>
    <n v="4"/>
    <n v="134"/>
    <n v="0.05"/>
    <n v="509.2"/>
    <n v="127.3"/>
    <s v="UPI"/>
    <s v="Dine-In"/>
    <s v="Repeat"/>
    <x v="1"/>
  </r>
  <r>
    <s v="CB0301"/>
    <s v="C361"/>
    <d v="2025-07-20T00:00:00"/>
    <s v="Rajkot"/>
    <x v="1"/>
    <s v="Fries"/>
    <n v="1"/>
    <n v="205"/>
    <n v="0.05"/>
    <n v="194.75"/>
    <n v="58.42"/>
    <s v="UPI"/>
    <s v="Takeaway"/>
    <s v="Repeat"/>
    <x v="1"/>
  </r>
  <r>
    <s v="CB0302"/>
    <s v="C519"/>
    <d v="2024-12-28T00:00:00"/>
    <s v="Vadodara"/>
    <x v="2"/>
    <s v="Coffee"/>
    <n v="1"/>
    <n v="295"/>
    <n v="0.15"/>
    <n v="250.75"/>
    <n v="50.15"/>
    <s v="Cash"/>
    <s v="Dine-In"/>
    <s v="Repeat"/>
    <x v="0"/>
  </r>
  <r>
    <s v="CB0303"/>
    <s v="C357"/>
    <d v="2024-03-29T00:00:00"/>
    <s v="Rajkot"/>
    <x v="0"/>
    <s v="Muffin"/>
    <n v="1"/>
    <n v="240"/>
    <n v="0.05"/>
    <n v="228"/>
    <n v="45.6"/>
    <s v="UPI"/>
    <s v="Dine-In"/>
    <s v="Repeat"/>
    <x v="0"/>
  </r>
  <r>
    <s v="CB0304"/>
    <s v="C891"/>
    <d v="2024-07-03T00:00:00"/>
    <s v="Rajkot"/>
    <x v="1"/>
    <s v="Burger"/>
    <n v="4"/>
    <n v="412"/>
    <n v="0.1"/>
    <n v="1483.2"/>
    <n v="444.96"/>
    <s v="Card"/>
    <s v="Dine-In"/>
    <s v="New"/>
    <x v="0"/>
  </r>
  <r>
    <s v="CB0305"/>
    <s v="C734"/>
    <d v="2025-11-28T00:00:00"/>
    <s v="Rajkot"/>
    <x v="1"/>
    <s v="Burger"/>
    <n v="3"/>
    <n v="91"/>
    <n v="0.1"/>
    <n v="245.7"/>
    <n v="61.43"/>
    <s v="Card"/>
    <s v="Takeaway"/>
    <s v="Repeat"/>
    <x v="1"/>
  </r>
  <r>
    <s v="CB0306"/>
    <s v="C550"/>
    <d v="2025-02-19T00:00:00"/>
    <s v="Rajkot"/>
    <x v="0"/>
    <s v="Muffin"/>
    <n v="4"/>
    <n v="99"/>
    <n v="0.05"/>
    <n v="376.2"/>
    <n v="94.05"/>
    <s v="Card"/>
    <s v="Takeaway"/>
    <s v="Repeat"/>
    <x v="1"/>
  </r>
  <r>
    <s v="CB0307"/>
    <s v="C464"/>
    <d v="2025-07-21T00:00:00"/>
    <s v="Vadodara"/>
    <x v="0"/>
    <s v="Cake"/>
    <n v="3"/>
    <n v="93"/>
    <n v="0"/>
    <n v="279"/>
    <n v="83.7"/>
    <s v="Cash"/>
    <s v="Takeaway"/>
    <s v="Repeat"/>
    <x v="1"/>
  </r>
  <r>
    <s v="CB0308"/>
    <s v="C674"/>
    <d v="2025-03-16T00:00:00"/>
    <s v="Ahmedabad"/>
    <x v="0"/>
    <s v="Cake"/>
    <n v="2"/>
    <n v="231"/>
    <n v="0.05"/>
    <n v="438.9"/>
    <n v="87.78"/>
    <s v="Card"/>
    <s v="Takeaway"/>
    <s v="Repeat"/>
    <x v="1"/>
  </r>
  <r>
    <s v="CB0309"/>
    <s v="C183"/>
    <d v="2025-11-10T00:00:00"/>
    <s v="Mumbai"/>
    <x v="2"/>
    <s v="Cappuccino"/>
    <n v="3"/>
    <n v="417"/>
    <n v="0.05"/>
    <n v="1188.45"/>
    <n v="356.54"/>
    <s v="Cash"/>
    <s v="Dine-In"/>
    <s v="Repeat"/>
    <x v="1"/>
  </r>
  <r>
    <s v="CB0310"/>
    <s v="C169"/>
    <d v="2024-07-17T00:00:00"/>
    <s v="Vadodara"/>
    <x v="2"/>
    <s v="Cold Coffee"/>
    <n v="2"/>
    <n v="189"/>
    <n v="0.15"/>
    <n v="321.3"/>
    <n v="96.39"/>
    <s v="Cash"/>
    <s v="Dine-In"/>
    <s v="Repeat"/>
    <x v="0"/>
  </r>
  <r>
    <s v="CB0311"/>
    <s v="C732"/>
    <d v="2025-06-24T00:00:00"/>
    <s v="Ahmedabad"/>
    <x v="0"/>
    <s v="Muffin"/>
    <n v="4"/>
    <n v="386"/>
    <n v="0.15"/>
    <n v="1312.4"/>
    <n v="262.48"/>
    <s v="Card"/>
    <s v="Dine-In"/>
    <s v="Repeat"/>
    <x v="1"/>
  </r>
  <r>
    <s v="CB0312"/>
    <s v="C555"/>
    <d v="2025-12-29T00:00:00"/>
    <s v="Mumbai"/>
    <x v="1"/>
    <s v="Puff"/>
    <n v="1"/>
    <n v="148"/>
    <n v="0"/>
    <n v="148"/>
    <n v="29.6"/>
    <s v="Card"/>
    <s v="Takeaway"/>
    <s v="Repeat"/>
    <x v="1"/>
  </r>
  <r>
    <s v="CB0313"/>
    <s v="C551"/>
    <d v="2024-01-01T00:00:00"/>
    <s v="Rajkot"/>
    <x v="2"/>
    <s v="Cold Coffee"/>
    <n v="1"/>
    <n v="133"/>
    <n v="0.05"/>
    <n v="126.35"/>
    <n v="31.59"/>
    <s v="Cash"/>
    <s v="Takeaway"/>
    <s v="Repeat"/>
    <x v="0"/>
  </r>
  <r>
    <s v="CB0314"/>
    <s v="C353"/>
    <d v="2023-03-11T00:00:00"/>
    <s v="Vadodara"/>
    <x v="2"/>
    <s v="Tea"/>
    <n v="1"/>
    <n v="324"/>
    <n v="0"/>
    <n v="324"/>
    <n v="64.8"/>
    <s v="Card"/>
    <s v="Takeaway"/>
    <s v="Repeat"/>
    <x v="2"/>
  </r>
  <r>
    <s v="CB0315"/>
    <s v="C565"/>
    <d v="2024-11-15T00:00:00"/>
    <s v="Mumbai"/>
    <x v="2"/>
    <s v="Cold Coffee"/>
    <n v="3"/>
    <n v="435"/>
    <n v="0.15"/>
    <n v="1109.25"/>
    <n v="277.31"/>
    <s v="UPI"/>
    <s v="Dine-In"/>
    <s v="Repeat"/>
    <x v="0"/>
  </r>
  <r>
    <s v="CB0316"/>
    <s v="C756"/>
    <d v="2024-08-14T00:00:00"/>
    <s v="Vadodara"/>
    <x v="2"/>
    <s v="Cappuccino"/>
    <n v="4"/>
    <n v="305"/>
    <n v="0.15"/>
    <n v="1037"/>
    <n v="207.4"/>
    <s v="UPI"/>
    <s v="Dine-In"/>
    <s v="Repeat"/>
    <x v="0"/>
  </r>
  <r>
    <s v="CB0317"/>
    <s v="C766"/>
    <d v="2023-04-15T00:00:00"/>
    <s v="Ahmedabad"/>
    <x v="0"/>
    <s v="Muffin"/>
    <n v="4"/>
    <n v="132"/>
    <n v="0.15"/>
    <n v="448.8"/>
    <n v="134.63999999999999"/>
    <s v="UPI"/>
    <s v="Takeaway"/>
    <s v="Repeat"/>
    <x v="2"/>
  </r>
  <r>
    <s v="CB0318"/>
    <s v="C344"/>
    <d v="2025-05-07T00:00:00"/>
    <s v="Rajkot"/>
    <x v="1"/>
    <s v="Puff"/>
    <n v="3"/>
    <n v="89"/>
    <n v="0.1"/>
    <n v="240.3"/>
    <n v="60.08"/>
    <s v="Cash"/>
    <s v="Dine-In"/>
    <s v="Repeat"/>
    <x v="1"/>
  </r>
  <r>
    <s v="CB0319"/>
    <s v="C647"/>
    <d v="2025-02-23T00:00:00"/>
    <s v="Vadodara"/>
    <x v="1"/>
    <s v="Burger"/>
    <n v="3"/>
    <n v="337"/>
    <n v="0"/>
    <n v="1011"/>
    <n v="202.2"/>
    <s v="Cash"/>
    <s v="Dine-In"/>
    <s v="Repeat"/>
    <x v="1"/>
  </r>
  <r>
    <s v="CB0320"/>
    <s v="C782"/>
    <d v="2025-09-02T00:00:00"/>
    <s v="Vadodara"/>
    <x v="1"/>
    <s v="Puff"/>
    <n v="2"/>
    <n v="277"/>
    <n v="0.1"/>
    <n v="498.6"/>
    <n v="124.65"/>
    <s v="Card"/>
    <s v="Dine-In"/>
    <s v="Repeat"/>
    <x v="1"/>
  </r>
  <r>
    <s v="CB0321"/>
    <s v="C748"/>
    <d v="2023-06-15T00:00:00"/>
    <s v="Mumbai"/>
    <x v="1"/>
    <s v="Puff"/>
    <n v="3"/>
    <n v="117"/>
    <n v="0.15"/>
    <n v="298.35000000000002"/>
    <n v="89.5"/>
    <s v="UPI"/>
    <s v="Takeaway"/>
    <s v="Repeat"/>
    <x v="2"/>
  </r>
  <r>
    <s v="CB0322"/>
    <s v="C836"/>
    <d v="2023-09-28T00:00:00"/>
    <s v="Mumbai"/>
    <x v="1"/>
    <s v="Sandwich"/>
    <n v="4"/>
    <n v="128"/>
    <n v="0"/>
    <n v="512"/>
    <n v="128"/>
    <s v="Card"/>
    <s v="Dine-In"/>
    <s v="Repeat"/>
    <x v="2"/>
  </r>
  <r>
    <s v="CB0323"/>
    <s v="C353"/>
    <d v="2024-08-24T00:00:00"/>
    <s v="Mumbai"/>
    <x v="2"/>
    <s v="Cold Coffee"/>
    <n v="4"/>
    <n v="198"/>
    <n v="0"/>
    <n v="792"/>
    <n v="198"/>
    <s v="UPI"/>
    <s v="Takeaway"/>
    <s v="Repeat"/>
    <x v="0"/>
  </r>
  <r>
    <s v="CB0324"/>
    <s v="C752"/>
    <d v="2023-01-03T00:00:00"/>
    <s v="Ahmedabad"/>
    <x v="1"/>
    <s v="Burger"/>
    <n v="3"/>
    <n v="242"/>
    <n v="0.15"/>
    <n v="617.1"/>
    <n v="185.13"/>
    <s v="Cash"/>
    <s v="Dine-In"/>
    <s v="Repeat"/>
    <x v="2"/>
  </r>
  <r>
    <s v="CB0325"/>
    <s v="C970"/>
    <d v="2025-08-29T00:00:00"/>
    <s v="Rajkot"/>
    <x v="0"/>
    <s v="Muffin"/>
    <n v="2"/>
    <n v="205"/>
    <n v="0.15"/>
    <n v="348.5"/>
    <n v="87.12"/>
    <s v="Cash"/>
    <s v="Takeaway"/>
    <s v="New"/>
    <x v="1"/>
  </r>
  <r>
    <s v="CB0326"/>
    <s v="C903"/>
    <d v="2023-01-18T00:00:00"/>
    <s v="Rajkot"/>
    <x v="1"/>
    <s v="Burger"/>
    <n v="2"/>
    <n v="133"/>
    <n v="0.1"/>
    <n v="239.4"/>
    <n v="59.85"/>
    <s v="Card"/>
    <s v="Takeaway"/>
    <s v="Repeat"/>
    <x v="2"/>
  </r>
  <r>
    <s v="CB0327"/>
    <s v="C763"/>
    <d v="2024-02-09T00:00:00"/>
    <s v="Surat"/>
    <x v="0"/>
    <s v="Brownie"/>
    <n v="3"/>
    <n v="284"/>
    <n v="0.15"/>
    <n v="724.2"/>
    <n v="181.05"/>
    <s v="Card"/>
    <s v="Takeaway"/>
    <s v="Repeat"/>
    <x v="0"/>
  </r>
  <r>
    <s v="CB0328"/>
    <s v="C555"/>
    <d v="2023-11-12T00:00:00"/>
    <s v="Surat"/>
    <x v="0"/>
    <s v="Ice Cream"/>
    <n v="1"/>
    <n v="356"/>
    <n v="0.05"/>
    <n v="338.2"/>
    <n v="101.46"/>
    <s v="Card"/>
    <s v="Takeaway"/>
    <s v="Repeat"/>
    <x v="2"/>
  </r>
  <r>
    <s v="CB0329"/>
    <s v="C419"/>
    <d v="2024-02-12T00:00:00"/>
    <s v="Mumbai"/>
    <x v="2"/>
    <s v="Latte"/>
    <n v="1"/>
    <n v="205"/>
    <n v="0.1"/>
    <n v="184.5"/>
    <n v="46.12"/>
    <s v="Card"/>
    <s v="Takeaway"/>
    <s v="Repeat"/>
    <x v="0"/>
  </r>
  <r>
    <s v="CB0330"/>
    <s v="C408"/>
    <d v="2024-10-28T00:00:00"/>
    <s v="Rajkot"/>
    <x v="2"/>
    <s v="Coffee"/>
    <n v="4"/>
    <n v="424"/>
    <n v="0.05"/>
    <n v="1611.2"/>
    <n v="402.8"/>
    <s v="Card"/>
    <s v="Takeaway"/>
    <s v="Repeat"/>
    <x v="0"/>
  </r>
  <r>
    <s v="CB0331"/>
    <s v="C511"/>
    <d v="2025-03-15T00:00:00"/>
    <s v="Mumbai"/>
    <x v="1"/>
    <s v="Burger"/>
    <n v="1"/>
    <n v="197"/>
    <n v="0.15"/>
    <n v="167.45"/>
    <n v="41.86"/>
    <s v="Cash"/>
    <s v="Dine-In"/>
    <s v="Repeat"/>
    <x v="1"/>
  </r>
  <r>
    <s v="CB0332"/>
    <s v="C551"/>
    <d v="2024-03-03T00:00:00"/>
    <s v="Surat"/>
    <x v="0"/>
    <s v="Cake"/>
    <n v="2"/>
    <n v="109"/>
    <n v="0.05"/>
    <n v="207.1"/>
    <n v="51.77"/>
    <s v="UPI"/>
    <s v="Takeaway"/>
    <s v="Repeat"/>
    <x v="0"/>
  </r>
  <r>
    <s v="CB0333"/>
    <s v="C713"/>
    <d v="2024-06-21T00:00:00"/>
    <s v="Ahmedabad"/>
    <x v="1"/>
    <s v="Fries"/>
    <n v="4"/>
    <n v="212"/>
    <n v="0"/>
    <n v="848"/>
    <n v="254.4"/>
    <s v="Card"/>
    <s v="Takeaway"/>
    <s v="New"/>
    <x v="0"/>
  </r>
  <r>
    <s v="CB0334"/>
    <s v="C754"/>
    <d v="2023-12-10T00:00:00"/>
    <s v="Rajkot"/>
    <x v="1"/>
    <s v="Sandwich"/>
    <n v="1"/>
    <n v="355"/>
    <n v="0.1"/>
    <n v="319.5"/>
    <n v="79.88"/>
    <s v="Cash"/>
    <s v="Takeaway"/>
    <s v="Repeat"/>
    <x v="2"/>
  </r>
  <r>
    <s v="CB0335"/>
    <s v="C273"/>
    <d v="2024-03-24T00:00:00"/>
    <s v="Rajkot"/>
    <x v="2"/>
    <s v="Coffee"/>
    <n v="2"/>
    <n v="153"/>
    <n v="0"/>
    <n v="306"/>
    <n v="76.5"/>
    <s v="Card"/>
    <s v="Takeaway"/>
    <s v="Repeat"/>
    <x v="0"/>
  </r>
  <r>
    <s v="CB0336"/>
    <s v="C852"/>
    <d v="2024-06-27T00:00:00"/>
    <s v="Surat"/>
    <x v="0"/>
    <s v="Muffin"/>
    <n v="2"/>
    <n v="126"/>
    <n v="0.05"/>
    <n v="239.4"/>
    <n v="71.819999999999993"/>
    <s v="UPI"/>
    <s v="Takeaway"/>
    <s v="Repeat"/>
    <x v="0"/>
  </r>
  <r>
    <s v="CB0337"/>
    <s v="C756"/>
    <d v="2025-02-23T00:00:00"/>
    <s v="Vadodara"/>
    <x v="1"/>
    <s v="Sandwich"/>
    <n v="2"/>
    <n v="171"/>
    <n v="0.1"/>
    <n v="307.8"/>
    <n v="92.34"/>
    <s v="Cash"/>
    <s v="Takeaway"/>
    <s v="Repeat"/>
    <x v="1"/>
  </r>
  <r>
    <s v="CB0338"/>
    <s v="C350"/>
    <d v="2025-07-18T00:00:00"/>
    <s v="Vadodara"/>
    <x v="2"/>
    <s v="Latte"/>
    <n v="3"/>
    <n v="90"/>
    <n v="0.1"/>
    <n v="243"/>
    <n v="72.900000000000006"/>
    <s v="Card"/>
    <s v="Takeaway"/>
    <s v="Repeat"/>
    <x v="1"/>
  </r>
  <r>
    <s v="CB0339"/>
    <s v="C563"/>
    <d v="2023-02-21T00:00:00"/>
    <s v="Mumbai"/>
    <x v="1"/>
    <s v="Fries"/>
    <n v="3"/>
    <n v="286"/>
    <n v="0.05"/>
    <n v="815.1"/>
    <n v="203.77"/>
    <s v="Card"/>
    <s v="Takeaway"/>
    <s v="Repeat"/>
    <x v="2"/>
  </r>
  <r>
    <s v="CB0340"/>
    <s v="C255"/>
    <d v="2024-10-09T00:00:00"/>
    <s v="Ahmedabad"/>
    <x v="2"/>
    <s v="Cappuccino"/>
    <n v="1"/>
    <n v="337"/>
    <n v="0.15"/>
    <n v="286.45"/>
    <n v="71.61"/>
    <s v="Card"/>
    <s v="Takeaway"/>
    <s v="Repeat"/>
    <x v="0"/>
  </r>
  <r>
    <s v="CB0341"/>
    <s v="C903"/>
    <d v="2023-11-22T00:00:00"/>
    <s v="Mumbai"/>
    <x v="0"/>
    <s v="Muffin"/>
    <n v="4"/>
    <n v="231"/>
    <n v="0.1"/>
    <n v="831.6"/>
    <n v="166.32"/>
    <s v="Card"/>
    <s v="Takeaway"/>
    <s v="Repeat"/>
    <x v="2"/>
  </r>
  <r>
    <s v="CB0342"/>
    <s v="C147"/>
    <d v="2024-05-24T00:00:00"/>
    <s v="Surat"/>
    <x v="0"/>
    <s v="Brownie"/>
    <n v="3"/>
    <n v="134"/>
    <n v="0"/>
    <n v="402"/>
    <n v="120.6"/>
    <s v="Cash"/>
    <s v="Takeaway"/>
    <s v="Repeat"/>
    <x v="0"/>
  </r>
  <r>
    <s v="CB0343"/>
    <s v="C846"/>
    <d v="2024-08-15T00:00:00"/>
    <s v="Rajkot"/>
    <x v="2"/>
    <s v="Cappuccino"/>
    <n v="2"/>
    <n v="161"/>
    <n v="0.15"/>
    <n v="273.7"/>
    <n v="68.42"/>
    <s v="Cash"/>
    <s v="Dine-In"/>
    <s v="Repeat"/>
    <x v="0"/>
  </r>
  <r>
    <s v="CB0344"/>
    <s v="C458"/>
    <d v="2024-06-16T00:00:00"/>
    <s v="Vadodara"/>
    <x v="2"/>
    <s v="Tea"/>
    <n v="1"/>
    <n v="444"/>
    <n v="0.1"/>
    <n v="399.6"/>
    <n v="119.88"/>
    <s v="Cash"/>
    <s v="Dine-In"/>
    <s v="Repeat"/>
    <x v="0"/>
  </r>
  <r>
    <s v="CB0345"/>
    <s v="C919"/>
    <d v="2023-02-14T00:00:00"/>
    <s v="Mumbai"/>
    <x v="2"/>
    <s v="Tea"/>
    <n v="3"/>
    <n v="257"/>
    <n v="0.15"/>
    <n v="655.35"/>
    <n v="196.6"/>
    <s v="Cash"/>
    <s v="Takeaway"/>
    <s v="Repeat"/>
    <x v="2"/>
  </r>
  <r>
    <s v="CB0346"/>
    <s v="C490"/>
    <d v="2024-09-20T00:00:00"/>
    <s v="Ahmedabad"/>
    <x v="1"/>
    <s v="Sandwich"/>
    <n v="1"/>
    <n v="287"/>
    <n v="0.1"/>
    <n v="258.3"/>
    <n v="51.66"/>
    <s v="UPI"/>
    <s v="Dine-In"/>
    <s v="Repeat"/>
    <x v="0"/>
  </r>
  <r>
    <s v="CB0347"/>
    <s v="C375"/>
    <d v="2025-11-22T00:00:00"/>
    <s v="Surat"/>
    <x v="2"/>
    <s v="Tea"/>
    <n v="2"/>
    <n v="333"/>
    <n v="0"/>
    <n v="666"/>
    <n v="166.5"/>
    <s v="Card"/>
    <s v="Takeaway"/>
    <s v="Repeat"/>
    <x v="1"/>
  </r>
  <r>
    <s v="CB0348"/>
    <s v="C554"/>
    <d v="2024-01-04T00:00:00"/>
    <s v="Ahmedabad"/>
    <x v="1"/>
    <s v="Puff"/>
    <n v="2"/>
    <n v="284"/>
    <n v="0"/>
    <n v="568"/>
    <n v="142"/>
    <s v="UPI"/>
    <s v="Dine-In"/>
    <s v="Repeat"/>
    <x v="0"/>
  </r>
  <r>
    <s v="CB0349"/>
    <s v="C607"/>
    <d v="2025-08-22T00:00:00"/>
    <s v="Mumbai"/>
    <x v="1"/>
    <s v="Burger"/>
    <n v="3"/>
    <n v="334"/>
    <n v="0"/>
    <n v="1002"/>
    <n v="300.60000000000002"/>
    <s v="Cash"/>
    <s v="Takeaway"/>
    <s v="Repeat"/>
    <x v="1"/>
  </r>
  <r>
    <s v="CB0350"/>
    <s v="C489"/>
    <d v="2025-04-14T00:00:00"/>
    <s v="Vadodara"/>
    <x v="2"/>
    <s v="Cappuccino"/>
    <n v="2"/>
    <n v="149"/>
    <n v="0.05"/>
    <n v="283.10000000000002"/>
    <n v="56.62"/>
    <s v="Cash"/>
    <s v="Dine-In"/>
    <s v="Repea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2D524-6EAD-41DB-A4BF-BBCC1252768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B70" firstHeaderRow="1" firstDataRow="1" firstDataCol="1"/>
  <pivotFields count="15">
    <pivotField showAll="0"/>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Sum of Profit" fld="10"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375370-2A01-4886-9BD8-47856D7641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G5" firstHeaderRow="1" firstDataRow="2" firstDataCol="1"/>
  <pivotFields count="15">
    <pivotField showAll="0"/>
    <pivotField showAll="0">
      <items count="143">
        <item x="21"/>
        <item x="120"/>
        <item x="20"/>
        <item x="114"/>
        <item x="119"/>
        <item x="23"/>
        <item x="67"/>
        <item x="116"/>
        <item x="48"/>
        <item x="112"/>
        <item x="58"/>
        <item x="64"/>
        <item x="53"/>
        <item x="1"/>
        <item x="52"/>
        <item x="63"/>
        <item x="4"/>
        <item x="5"/>
        <item x="6"/>
        <item x="7"/>
        <item x="34"/>
        <item x="81"/>
        <item x="51"/>
        <item x="136"/>
        <item x="123"/>
        <item x="85"/>
        <item x="117"/>
        <item x="30"/>
        <item x="19"/>
        <item x="22"/>
        <item x="31"/>
        <item x="127"/>
        <item x="18"/>
        <item x="42"/>
        <item x="105"/>
        <item x="47"/>
        <item x="101"/>
        <item x="10"/>
        <item x="94"/>
        <item x="9"/>
        <item x="80"/>
        <item x="128"/>
        <item x="0"/>
        <item x="12"/>
        <item x="13"/>
        <item x="14"/>
        <item x="66"/>
        <item x="11"/>
        <item x="108"/>
        <item x="61"/>
        <item x="28"/>
        <item x="131"/>
        <item x="100"/>
        <item x="45"/>
        <item x="133"/>
        <item x="124"/>
        <item x="111"/>
        <item x="89"/>
        <item x="103"/>
        <item x="25"/>
        <item x="55"/>
        <item x="118"/>
        <item x="87"/>
        <item x="106"/>
        <item x="138"/>
        <item x="104"/>
        <item x="92"/>
        <item x="15"/>
        <item x="43"/>
        <item x="26"/>
        <item x="24"/>
        <item x="135"/>
        <item x="93"/>
        <item x="65"/>
        <item x="126"/>
        <item x="72"/>
        <item x="76"/>
        <item x="86"/>
        <item x="59"/>
        <item x="109"/>
        <item x="44"/>
        <item x="17"/>
        <item x="2"/>
        <item x="110"/>
        <item x="88"/>
        <item x="129"/>
        <item x="74"/>
        <item x="62"/>
        <item x="33"/>
        <item x="102"/>
        <item x="95"/>
        <item x="3"/>
        <item x="32"/>
        <item x="79"/>
        <item x="77"/>
        <item x="141"/>
        <item x="125"/>
        <item x="50"/>
        <item x="84"/>
        <item x="71"/>
        <item x="29"/>
        <item x="27"/>
        <item x="54"/>
        <item x="122"/>
        <item x="121"/>
        <item x="68"/>
        <item x="75"/>
        <item x="73"/>
        <item x="98"/>
        <item x="57"/>
        <item x="82"/>
        <item x="137"/>
        <item x="99"/>
        <item x="107"/>
        <item x="78"/>
        <item x="41"/>
        <item x="16"/>
        <item x="90"/>
        <item x="35"/>
        <item x="70"/>
        <item x="139"/>
        <item x="49"/>
        <item x="36"/>
        <item x="37"/>
        <item x="38"/>
        <item x="39"/>
        <item x="40"/>
        <item x="60"/>
        <item x="96"/>
        <item x="8"/>
        <item x="69"/>
        <item x="91"/>
        <item x="115"/>
        <item x="97"/>
        <item x="113"/>
        <item x="46"/>
        <item x="56"/>
        <item x="134"/>
        <item x="130"/>
        <item x="140"/>
        <item x="83"/>
        <item x="132"/>
        <item t="default"/>
      </items>
    </pivotField>
    <pivotField numFmtId="14" showAll="0"/>
    <pivotField showAll="0"/>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14"/>
  </rowFields>
  <rowItems count="3">
    <i>
      <x/>
    </i>
    <i>
      <x v="1"/>
    </i>
    <i t="grand">
      <x/>
    </i>
  </rowItems>
  <colFields count="1">
    <field x="4"/>
  </colFields>
  <colItems count="6">
    <i>
      <x/>
    </i>
    <i>
      <x v="1"/>
    </i>
    <i>
      <x v="2"/>
    </i>
    <i>
      <x v="3"/>
    </i>
    <i>
      <x v="4"/>
    </i>
    <i t="grand">
      <x/>
    </i>
  </colItems>
  <dataFields count="1">
    <dataField name="Count of Customer Status" fld="14" subtotal="count" baseField="0" baseItem="0"/>
  </dataFields>
  <chartFormats count="10">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8" format="10" series="1">
      <pivotArea type="data" outline="0" fieldPosition="0">
        <references count="2">
          <reference field="4294967294" count="1" selected="0">
            <x v="0"/>
          </reference>
          <reference field="4" count="1" selected="0">
            <x v="0"/>
          </reference>
        </references>
      </pivotArea>
    </chartFormat>
    <chartFormat chart="8" format="11" series="1">
      <pivotArea type="data" outline="0" fieldPosition="0">
        <references count="2">
          <reference field="4294967294" count="1" selected="0">
            <x v="0"/>
          </reference>
          <reference field="4" count="1" selected="0">
            <x v="1"/>
          </reference>
        </references>
      </pivotArea>
    </chartFormat>
    <chartFormat chart="8" format="12" series="1">
      <pivotArea type="data" outline="0" fieldPosition="0">
        <references count="2">
          <reference field="4294967294" count="1" selected="0">
            <x v="0"/>
          </reference>
          <reference field="4" count="1" selected="0">
            <x v="2"/>
          </reference>
        </references>
      </pivotArea>
    </chartFormat>
    <chartFormat chart="8" format="13" series="1">
      <pivotArea type="data" outline="0" fieldPosition="0">
        <references count="2">
          <reference field="4294967294" count="1" selected="0">
            <x v="0"/>
          </reference>
          <reference field="4" count="1" selected="0">
            <x v="3"/>
          </reference>
        </references>
      </pivotArea>
    </chartFormat>
    <chartFormat chart="8" format="14" series="1">
      <pivotArea type="data" outline="0" fieldPosition="0">
        <references count="2">
          <reference field="4294967294" count="1" selected="0">
            <x v="0"/>
          </reference>
          <reference field="4"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AC11F-1A1D-48B5-ADFB-42C7823AFA6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0:B54" firstHeaderRow="1" firstDataRow="1" firstDataCol="1"/>
  <pivotFields count="15">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0"/>
        <item x="1"/>
        <item t="default"/>
      </items>
    </pivotField>
  </pivotFields>
  <rowFields count="1">
    <field x="14"/>
  </rowFields>
  <rowItems count="4">
    <i>
      <x/>
    </i>
    <i>
      <x v="1"/>
    </i>
    <i>
      <x v="2"/>
    </i>
    <i t="grand">
      <x/>
    </i>
  </rowItems>
  <colItems count="1">
    <i/>
  </colItems>
  <dataFields count="1">
    <dataField name="Sum of Total_Sales" fld="9"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5602B8-157D-4D6E-89AF-57F4892B374E}"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4:E41" firstHeaderRow="1" firstDataRow="2" firstDataCol="1"/>
  <pivotFields count="15">
    <pivotField showAll="0"/>
    <pivotField showAll="0"/>
    <pivotField numFmtId="14" showAll="0"/>
    <pivotField showAll="0"/>
    <pivotField axis="axisRow" showAll="0">
      <items count="6">
        <item x="0"/>
        <item x="1"/>
        <item x="2"/>
        <item x="3"/>
        <item x="4"/>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s>
  <rowFields count="1">
    <field x="4"/>
  </rowFields>
  <rowItems count="6">
    <i>
      <x/>
    </i>
    <i>
      <x v="1"/>
    </i>
    <i>
      <x v="2"/>
    </i>
    <i>
      <x v="3"/>
    </i>
    <i>
      <x v="4"/>
    </i>
    <i t="grand">
      <x/>
    </i>
  </rowItems>
  <colFields count="1">
    <field x="5"/>
  </colFields>
  <colItems count="4">
    <i>
      <x/>
    </i>
    <i>
      <x v="1"/>
    </i>
    <i>
      <x v="2"/>
    </i>
    <i t="grand">
      <x/>
    </i>
  </colItems>
  <dataFields count="1">
    <dataField name="Count of Order_Type" fld="13" subtotal="count" baseField="0" baseItem="0"/>
  </dataFields>
  <chartFormats count="23">
    <chartFormat chart="6" format="23" series="1">
      <pivotArea type="data" outline="0" fieldPosition="0">
        <references count="1">
          <reference field="4" count="1" selected="0">
            <x v="0"/>
          </reference>
        </references>
      </pivotArea>
    </chartFormat>
    <chartFormat chart="6" format="24" series="1">
      <pivotArea type="data" outline="0" fieldPosition="0">
        <references count="1">
          <reference field="4" count="1" selected="0">
            <x v="1"/>
          </reference>
        </references>
      </pivotArea>
    </chartFormat>
    <chartFormat chart="6" format="25" series="1">
      <pivotArea type="data" outline="0" fieldPosition="0">
        <references count="1">
          <reference field="4" count="1" selected="0">
            <x v="2"/>
          </reference>
        </references>
      </pivotArea>
    </chartFormat>
    <chartFormat chart="6" format="26" series="1">
      <pivotArea type="data" outline="0" fieldPosition="0">
        <references count="1">
          <reference field="4" count="1" selected="0">
            <x v="3"/>
          </reference>
        </references>
      </pivotArea>
    </chartFormat>
    <chartFormat chart="6" format="27" series="1">
      <pivotArea type="data" outline="0" fieldPosition="0">
        <references count="1">
          <reference field="4" count="1" selected="0">
            <x v="4"/>
          </reference>
        </references>
      </pivotArea>
    </chartFormat>
    <chartFormat chart="0" format="19" series="1">
      <pivotArea type="data" outline="0" fieldPosition="0">
        <references count="1">
          <reference field="4" count="1" selected="0">
            <x v="0"/>
          </reference>
        </references>
      </pivotArea>
    </chartFormat>
    <chartFormat chart="0" format="20" series="1">
      <pivotArea type="data" outline="0" fieldPosition="0">
        <references count="1">
          <reference field="4" count="1" selected="0">
            <x v="1"/>
          </reference>
        </references>
      </pivotArea>
    </chartFormat>
    <chartFormat chart="0" format="21" series="1">
      <pivotArea type="data" outline="0" fieldPosition="0">
        <references count="1">
          <reference field="4" count="1" selected="0">
            <x v="2"/>
          </reference>
        </references>
      </pivotArea>
    </chartFormat>
    <chartFormat chart="0" format="22" series="1">
      <pivotArea type="data" outline="0" fieldPosition="0">
        <references count="1">
          <reference field="4" count="1" selected="0">
            <x v="3"/>
          </reference>
        </references>
      </pivotArea>
    </chartFormat>
    <chartFormat chart="0" format="23" series="1">
      <pivotArea type="data" outline="0" fieldPosition="0">
        <references count="1">
          <reference field="4" count="1" selected="0">
            <x v="4"/>
          </reference>
        </references>
      </pivotArea>
    </chartFormat>
    <chartFormat chart="6" format="28" series="1">
      <pivotArea type="data" outline="0" fieldPosition="0">
        <references count="2">
          <reference field="4294967294" count="1" selected="0">
            <x v="0"/>
          </reference>
          <reference field="4" count="1" selected="0">
            <x v="0"/>
          </reference>
        </references>
      </pivotArea>
    </chartFormat>
    <chartFormat chart="6" format="29" series="1">
      <pivotArea type="data" outline="0" fieldPosition="0">
        <references count="2">
          <reference field="4294967294" count="1" selected="0">
            <x v="0"/>
          </reference>
          <reference field="4" count="1" selected="0">
            <x v="1"/>
          </reference>
        </references>
      </pivotArea>
    </chartFormat>
    <chartFormat chart="6" format="30" series="1">
      <pivotArea type="data" outline="0" fieldPosition="0">
        <references count="2">
          <reference field="4294967294" count="1" selected="0">
            <x v="0"/>
          </reference>
          <reference field="4" count="1" selected="0">
            <x v="2"/>
          </reference>
        </references>
      </pivotArea>
    </chartFormat>
    <chartFormat chart="6" format="31" series="1">
      <pivotArea type="data" outline="0" fieldPosition="0">
        <references count="2">
          <reference field="4294967294" count="1" selected="0">
            <x v="0"/>
          </reference>
          <reference field="4" count="1" selected="0">
            <x v="3"/>
          </reference>
        </references>
      </pivotArea>
    </chartFormat>
    <chartFormat chart="6" format="32" series="1">
      <pivotArea type="data" outline="0" fieldPosition="0">
        <references count="2">
          <reference field="4294967294" count="1" selected="0">
            <x v="0"/>
          </reference>
          <reference field="4" count="1" selected="0">
            <x v="4"/>
          </reference>
        </references>
      </pivotArea>
    </chartFormat>
    <chartFormat chart="6" format="33" series="1">
      <pivotArea type="data" outline="0" fieldPosition="0">
        <references count="1">
          <reference field="4294967294" count="1" selected="0">
            <x v="0"/>
          </reference>
        </references>
      </pivotArea>
    </chartFormat>
    <chartFormat chart="0" format="24" series="1">
      <pivotArea type="data" outline="0" fieldPosition="0">
        <references count="1">
          <reference field="4294967294" count="1" selected="0">
            <x v="0"/>
          </reference>
        </references>
      </pivotArea>
    </chartFormat>
    <chartFormat chart="6" format="34" series="1">
      <pivotArea type="data" outline="0" fieldPosition="0">
        <references count="2">
          <reference field="4294967294" count="1" selected="0">
            <x v="0"/>
          </reference>
          <reference field="5" count="1" selected="0">
            <x v="1"/>
          </reference>
        </references>
      </pivotArea>
    </chartFormat>
    <chartFormat chart="6" format="35" series="1">
      <pivotArea type="data" outline="0" fieldPosition="0">
        <references count="2">
          <reference field="4294967294" count="1" selected="0">
            <x v="0"/>
          </reference>
          <reference field="5" count="1" selected="0">
            <x v="2"/>
          </reference>
        </references>
      </pivotArea>
    </chartFormat>
    <chartFormat chart="6" format="36" series="1">
      <pivotArea type="data" outline="0" fieldPosition="0">
        <references count="2">
          <reference field="4294967294" count="1" selected="0">
            <x v="0"/>
          </reference>
          <reference field="5" count="1" selected="0">
            <x v="0"/>
          </reference>
        </references>
      </pivotArea>
    </chartFormat>
    <chartFormat chart="0" format="25" series="1">
      <pivotArea type="data" outline="0" fieldPosition="0">
        <references count="2">
          <reference field="4294967294" count="1" selected="0">
            <x v="0"/>
          </reference>
          <reference field="5" count="1" selected="0">
            <x v="1"/>
          </reference>
        </references>
      </pivotArea>
    </chartFormat>
    <chartFormat chart="0" format="26" series="1">
      <pivotArea type="data" outline="0" fieldPosition="0">
        <references count="2">
          <reference field="4294967294" count="1" selected="0">
            <x v="0"/>
          </reference>
          <reference field="5" count="1" selected="0">
            <x v="2"/>
          </reference>
        </references>
      </pivotArea>
    </chartFormat>
    <chartFormat chart="0" format="27" series="1">
      <pivotArea type="data" outline="0" fieldPosition="0">
        <references count="2">
          <reference field="4294967294" count="1" selected="0">
            <x v="0"/>
          </reference>
          <reference field="5"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0520E-DAD0-436F-9AE1-D6785E8B8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5" firstHeaderRow="1" firstDataRow="1" firstDataCol="1"/>
  <pivotFields count="15">
    <pivotField showAll="0"/>
    <pivotField showAll="0"/>
    <pivotField numFmtId="14" showAll="0"/>
    <pivotField showAll="0">
      <items count="4">
        <item x="2"/>
        <item x="0"/>
        <item x="1"/>
        <item t="default"/>
      </items>
    </pivotField>
    <pivotField axis="axisRow"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_Sales" fld="10"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 chart="6" format="12">
      <pivotArea type="data" outline="0" fieldPosition="0">
        <references count="2">
          <reference field="4294967294" count="1" selected="0">
            <x v="0"/>
          </reference>
          <reference field="4" count="1" selected="0">
            <x v="4"/>
          </reference>
        </references>
      </pivotArea>
    </chartFormat>
    <chartFormat chart="0" format="19">
      <pivotArea type="data" outline="0" fieldPosition="0">
        <references count="2">
          <reference field="4294967294" count="1" selected="0">
            <x v="0"/>
          </reference>
          <reference field="4" count="1" selected="0">
            <x v="0"/>
          </reference>
        </references>
      </pivotArea>
    </chartFormat>
    <chartFormat chart="0" format="20">
      <pivotArea type="data" outline="0" fieldPosition="0">
        <references count="2">
          <reference field="4294967294" count="1" selected="0">
            <x v="0"/>
          </reference>
          <reference field="4" count="1" selected="0">
            <x v="1"/>
          </reference>
        </references>
      </pivotArea>
    </chartFormat>
    <chartFormat chart="0" format="21">
      <pivotArea type="data" outline="0" fieldPosition="0">
        <references count="2">
          <reference field="4294967294" count="1" selected="0">
            <x v="0"/>
          </reference>
          <reference field="4" count="1" selected="0">
            <x v="2"/>
          </reference>
        </references>
      </pivotArea>
    </chartFormat>
    <chartFormat chart="0" format="22">
      <pivotArea type="data" outline="0" fieldPosition="0">
        <references count="2">
          <reference field="4294967294" count="1" selected="0">
            <x v="0"/>
          </reference>
          <reference field="4" count="1" selected="0">
            <x v="3"/>
          </reference>
        </references>
      </pivotArea>
    </chartFormat>
    <chartFormat chart="0" format="23">
      <pivotArea type="data" outline="0" fieldPosition="0">
        <references count="2">
          <reference field="4294967294" count="1" selected="0">
            <x v="0"/>
          </reference>
          <reference field="4"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0311D54-295C-4AB1-88ED-2CB67D69F9BA}" sourceName="City">
  <pivotTables>
    <pivotTable tabId="2" name="PivotTable3"/>
    <pivotTable tabId="2" name="PivotTable1"/>
  </pivotTables>
  <data>
    <tabular pivotCacheId="177010910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4A84265-370C-427C-90A1-7AFE04AE5413}" cache="Slicer_City" caption="City" style="SlicerStyleLight2" rowHeight="4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51"/>
  <sheetViews>
    <sheetView topLeftCell="I1" workbookViewId="0">
      <selection activeCell="R13" sqref="R13"/>
    </sheetView>
  </sheetViews>
  <sheetFormatPr defaultRowHeight="14.5" x14ac:dyDescent="0.35"/>
  <cols>
    <col min="1" max="1" width="7" bestFit="1" customWidth="1"/>
    <col min="2" max="2" width="11.7265625" bestFit="1" customWidth="1"/>
    <col min="3" max="3" width="10.6328125" style="1" bestFit="1" customWidth="1"/>
    <col min="4" max="4" width="11" bestFit="1" customWidth="1"/>
    <col min="5" max="5" width="13.08984375" bestFit="1" customWidth="1"/>
    <col min="6" max="6" width="10.54296875" bestFit="1" customWidth="1"/>
    <col min="7" max="7" width="8" bestFit="1" customWidth="1"/>
    <col min="8" max="8" width="8.08984375" bestFit="1" customWidth="1"/>
    <col min="9" max="9" width="10.1796875" bestFit="1" customWidth="1"/>
    <col min="10" max="10" width="6.81640625" bestFit="1" customWidth="1"/>
    <col min="11" max="11" width="14.08984375" bestFit="1" customWidth="1"/>
    <col min="12" max="12" width="10.7265625" bestFit="1" customWidth="1"/>
    <col min="13" max="13" width="16.54296875" customWidth="1"/>
    <col min="15" max="15" width="14" customWidth="1"/>
    <col min="18" max="18" width="16" customWidth="1"/>
  </cols>
  <sheetData>
    <row r="1" spans="1:22" x14ac:dyDescent="0.35">
      <c r="A1" t="s">
        <v>0</v>
      </c>
      <c r="B1" t="s">
        <v>1</v>
      </c>
      <c r="C1" s="1" t="s">
        <v>2</v>
      </c>
      <c r="D1" t="s">
        <v>4</v>
      </c>
      <c r="E1" t="s">
        <v>5</v>
      </c>
      <c r="F1" t="s">
        <v>6</v>
      </c>
      <c r="G1" t="s">
        <v>7</v>
      </c>
      <c r="H1" t="s">
        <v>9</v>
      </c>
      <c r="I1" t="s">
        <v>10</v>
      </c>
      <c r="J1" t="s">
        <v>11</v>
      </c>
      <c r="K1" t="s">
        <v>12</v>
      </c>
      <c r="L1" t="s">
        <v>13</v>
      </c>
      <c r="M1" s="5" t="s">
        <v>518</v>
      </c>
      <c r="N1" s="5" t="s">
        <v>3</v>
      </c>
      <c r="O1" s="5" t="s">
        <v>559</v>
      </c>
      <c r="R1" s="5" t="s">
        <v>545</v>
      </c>
      <c r="T1" s="15" t="s">
        <v>553</v>
      </c>
      <c r="U1" s="15"/>
      <c r="V1" s="15"/>
    </row>
    <row r="2" spans="1:22" x14ac:dyDescent="0.35">
      <c r="A2" t="s">
        <v>14</v>
      </c>
      <c r="B2" t="s">
        <v>519</v>
      </c>
      <c r="C2" s="1">
        <v>45422</v>
      </c>
      <c r="D2" t="s">
        <v>16</v>
      </c>
      <c r="E2" t="s">
        <v>17</v>
      </c>
      <c r="F2" t="s">
        <v>18</v>
      </c>
      <c r="G2">
        <v>2</v>
      </c>
      <c r="H2">
        <v>0</v>
      </c>
      <c r="I2">
        <v>544</v>
      </c>
      <c r="J2">
        <v>108.8</v>
      </c>
      <c r="K2" t="s">
        <v>19</v>
      </c>
      <c r="L2" t="s">
        <v>20</v>
      </c>
      <c r="M2" s="5" t="str">
        <f>IF(COUNTIF(B:B,B2)&gt;1,"Repeat","New")</f>
        <v>Repeat</v>
      </c>
      <c r="N2" s="5" t="str">
        <f>TEXT(C2,"yyyy")</f>
        <v>2024</v>
      </c>
      <c r="O2" s="5" t="str">
        <f>IF(H2&gt;=0.15,"High",IF(H2&gt;=0.1,"Medium","Least or No"))</f>
        <v>Least or No</v>
      </c>
      <c r="R2" s="5">
        <f>AVERAGE(I2:I351)</f>
        <v>593.14900000000011</v>
      </c>
      <c r="T2" s="16" t="s">
        <v>554</v>
      </c>
      <c r="U2" s="16"/>
      <c r="V2" s="16"/>
    </row>
    <row r="3" spans="1:22" x14ac:dyDescent="0.35">
      <c r="A3" t="s">
        <v>21</v>
      </c>
      <c r="B3" t="s">
        <v>520</v>
      </c>
      <c r="C3" s="1">
        <v>45579</v>
      </c>
      <c r="D3" t="s">
        <v>23</v>
      </c>
      <c r="E3" t="s">
        <v>24</v>
      </c>
      <c r="F3" t="s">
        <v>25</v>
      </c>
      <c r="G3">
        <v>2</v>
      </c>
      <c r="H3">
        <v>0</v>
      </c>
      <c r="I3">
        <v>540</v>
      </c>
      <c r="J3">
        <v>162</v>
      </c>
      <c r="K3" t="s">
        <v>26</v>
      </c>
      <c r="L3" t="s">
        <v>27</v>
      </c>
      <c r="M3" s="5" t="str">
        <f t="shared" ref="M3:M66" si="0">IF(COUNTIF(B:B,B3)&gt;1,"Repeat","New")</f>
        <v>New</v>
      </c>
      <c r="N3" s="5" t="str">
        <f>TEXT(C3,"yyyy")</f>
        <v>2024</v>
      </c>
      <c r="O3" s="5" t="str">
        <f t="shared" ref="O3:O66" si="1">IF(H3&gt;=0.15,"High",IF(H3&gt;=0.1,"Medium","Least or No"))</f>
        <v>Least or No</v>
      </c>
      <c r="T3" s="16"/>
      <c r="U3" s="16"/>
      <c r="V3" s="16"/>
    </row>
    <row r="4" spans="1:22" x14ac:dyDescent="0.35">
      <c r="A4" t="s">
        <v>28</v>
      </c>
      <c r="B4" t="s">
        <v>29</v>
      </c>
      <c r="C4" s="1">
        <v>45986</v>
      </c>
      <c r="D4" t="s">
        <v>23</v>
      </c>
      <c r="E4" t="s">
        <v>24</v>
      </c>
      <c r="F4" t="s">
        <v>30</v>
      </c>
      <c r="G4">
        <v>1</v>
      </c>
      <c r="H4">
        <v>0.15</v>
      </c>
      <c r="I4">
        <v>192.1</v>
      </c>
      <c r="J4">
        <v>57.63</v>
      </c>
      <c r="K4" t="s">
        <v>19</v>
      </c>
      <c r="L4" t="s">
        <v>27</v>
      </c>
      <c r="M4" s="5" t="str">
        <f t="shared" si="0"/>
        <v>Repeat</v>
      </c>
      <c r="N4" s="5" t="str">
        <f>TEXT(C4,"yyyy")</f>
        <v>2025</v>
      </c>
      <c r="O4" s="5" t="str">
        <f t="shared" si="1"/>
        <v>High</v>
      </c>
      <c r="R4" s="5" t="s">
        <v>547</v>
      </c>
      <c r="T4" s="16"/>
      <c r="U4" s="16"/>
      <c r="V4" s="16"/>
    </row>
    <row r="5" spans="1:22" x14ac:dyDescent="0.35">
      <c r="A5" t="s">
        <v>31</v>
      </c>
      <c r="B5" t="s">
        <v>32</v>
      </c>
      <c r="C5" s="1">
        <v>45269</v>
      </c>
      <c r="D5" t="s">
        <v>16</v>
      </c>
      <c r="E5" t="s">
        <v>33</v>
      </c>
      <c r="F5" t="s">
        <v>34</v>
      </c>
      <c r="G5">
        <v>2</v>
      </c>
      <c r="H5">
        <v>0.1</v>
      </c>
      <c r="I5">
        <v>628.20000000000005</v>
      </c>
      <c r="J5">
        <v>157.05000000000001</v>
      </c>
      <c r="K5" t="s">
        <v>19</v>
      </c>
      <c r="L5" t="s">
        <v>20</v>
      </c>
      <c r="M5" s="5" t="str">
        <f t="shared" si="0"/>
        <v>Repeat</v>
      </c>
      <c r="N5" s="5" t="str">
        <f>TEXT(C5,"yyyy")</f>
        <v>2023</v>
      </c>
      <c r="O5" s="5" t="str">
        <f t="shared" si="1"/>
        <v>Medium</v>
      </c>
      <c r="R5" s="5">
        <f>COUNTIF(M2:M351,"Repeat")</f>
        <v>298</v>
      </c>
    </row>
    <row r="6" spans="1:22" x14ac:dyDescent="0.35">
      <c r="A6" t="s">
        <v>35</v>
      </c>
      <c r="B6" t="s">
        <v>521</v>
      </c>
      <c r="C6" s="1">
        <v>44953</v>
      </c>
      <c r="D6" t="s">
        <v>37</v>
      </c>
      <c r="E6" t="s">
        <v>33</v>
      </c>
      <c r="F6" t="s">
        <v>38</v>
      </c>
      <c r="G6">
        <v>3</v>
      </c>
      <c r="H6">
        <v>0.05</v>
      </c>
      <c r="I6">
        <v>658.35</v>
      </c>
      <c r="J6">
        <v>164.59</v>
      </c>
      <c r="K6" t="s">
        <v>39</v>
      </c>
      <c r="L6" t="s">
        <v>20</v>
      </c>
      <c r="M6" s="5" t="str">
        <f t="shared" si="0"/>
        <v>New</v>
      </c>
      <c r="N6" s="5" t="str">
        <f>TEXT(C6,"yyyy")</f>
        <v>2023</v>
      </c>
      <c r="O6" s="5" t="str">
        <f t="shared" si="1"/>
        <v>Least or No</v>
      </c>
      <c r="R6" s="5" t="s">
        <v>548</v>
      </c>
      <c r="T6" s="15" t="s">
        <v>553</v>
      </c>
      <c r="U6" s="15"/>
      <c r="V6" s="15"/>
    </row>
    <row r="7" spans="1:22" x14ac:dyDescent="0.35">
      <c r="A7" t="s">
        <v>40</v>
      </c>
      <c r="B7" t="s">
        <v>522</v>
      </c>
      <c r="C7" s="1">
        <v>45210</v>
      </c>
      <c r="D7" t="s">
        <v>23</v>
      </c>
      <c r="E7" t="s">
        <v>33</v>
      </c>
      <c r="F7" t="s">
        <v>38</v>
      </c>
      <c r="G7">
        <v>1</v>
      </c>
      <c r="H7">
        <v>0.1</v>
      </c>
      <c r="I7">
        <v>262.8</v>
      </c>
      <c r="J7">
        <v>52.56</v>
      </c>
      <c r="K7" t="s">
        <v>26</v>
      </c>
      <c r="L7" t="s">
        <v>27</v>
      </c>
      <c r="M7" s="5" t="str">
        <f t="shared" si="0"/>
        <v>New</v>
      </c>
      <c r="N7" s="5" t="str">
        <f>TEXT(C7,"yyyy")</f>
        <v>2023</v>
      </c>
      <c r="O7" s="5" t="str">
        <f t="shared" si="1"/>
        <v>Medium</v>
      </c>
      <c r="R7" s="5">
        <f>COUNTA(M2:M351)</f>
        <v>350</v>
      </c>
      <c r="T7" s="16" t="s">
        <v>555</v>
      </c>
      <c r="U7" s="16"/>
      <c r="V7" s="16"/>
    </row>
    <row r="8" spans="1:22" x14ac:dyDescent="0.35">
      <c r="A8" t="s">
        <v>41</v>
      </c>
      <c r="B8" t="s">
        <v>523</v>
      </c>
      <c r="C8" s="1">
        <v>45850</v>
      </c>
      <c r="D8" t="s">
        <v>42</v>
      </c>
      <c r="E8" t="s">
        <v>33</v>
      </c>
      <c r="F8" t="s">
        <v>43</v>
      </c>
      <c r="G8">
        <v>3</v>
      </c>
      <c r="H8">
        <v>0.15</v>
      </c>
      <c r="I8">
        <v>920.55</v>
      </c>
      <c r="J8">
        <v>230.14</v>
      </c>
      <c r="K8" t="s">
        <v>26</v>
      </c>
      <c r="L8" t="s">
        <v>27</v>
      </c>
      <c r="M8" s="5" t="str">
        <f t="shared" si="0"/>
        <v>New</v>
      </c>
      <c r="N8" s="5" t="str">
        <f>TEXT(C8,"yyyy")</f>
        <v>2025</v>
      </c>
      <c r="O8" s="5" t="str">
        <f t="shared" si="1"/>
        <v>High</v>
      </c>
      <c r="R8" s="5"/>
      <c r="T8" s="16"/>
      <c r="U8" s="16"/>
      <c r="V8" s="16"/>
    </row>
    <row r="9" spans="1:22" x14ac:dyDescent="0.35">
      <c r="A9" t="s">
        <v>44</v>
      </c>
      <c r="B9" t="s">
        <v>90</v>
      </c>
      <c r="C9" s="1">
        <v>45367</v>
      </c>
      <c r="D9" t="s">
        <v>16</v>
      </c>
      <c r="E9" t="s">
        <v>17</v>
      </c>
      <c r="F9" t="s">
        <v>46</v>
      </c>
      <c r="G9">
        <v>2</v>
      </c>
      <c r="H9">
        <v>0</v>
      </c>
      <c r="I9">
        <v>222</v>
      </c>
      <c r="J9">
        <v>66.599999999999994</v>
      </c>
      <c r="K9" t="s">
        <v>19</v>
      </c>
      <c r="L9" t="s">
        <v>27</v>
      </c>
      <c r="M9" s="5" t="str">
        <f t="shared" si="0"/>
        <v>Repeat</v>
      </c>
      <c r="N9" s="5" t="str">
        <f>TEXT(C9,"yyyy")</f>
        <v>2024</v>
      </c>
      <c r="O9" s="5" t="str">
        <f t="shared" si="1"/>
        <v>Least or No</v>
      </c>
      <c r="R9" s="5">
        <f>R5/R7*100</f>
        <v>85.142857142857139</v>
      </c>
      <c r="T9" s="16"/>
      <c r="U9" s="16"/>
      <c r="V9" s="16"/>
    </row>
    <row r="10" spans="1:22" x14ac:dyDescent="0.35">
      <c r="A10" t="s">
        <v>47</v>
      </c>
      <c r="B10" t="s">
        <v>48</v>
      </c>
      <c r="C10" s="1">
        <v>45157</v>
      </c>
      <c r="D10" t="s">
        <v>16</v>
      </c>
      <c r="E10" t="s">
        <v>24</v>
      </c>
      <c r="F10" t="s">
        <v>49</v>
      </c>
      <c r="G10">
        <v>1</v>
      </c>
      <c r="H10">
        <v>0.05</v>
      </c>
      <c r="I10">
        <v>308.75</v>
      </c>
      <c r="J10">
        <v>77.19</v>
      </c>
      <c r="K10" t="s">
        <v>19</v>
      </c>
      <c r="L10" t="s">
        <v>20</v>
      </c>
      <c r="M10" s="5" t="str">
        <f t="shared" si="0"/>
        <v>Repeat</v>
      </c>
      <c r="N10" s="5" t="str">
        <f>TEXT(C10,"yyyy")</f>
        <v>2023</v>
      </c>
      <c r="O10" s="5" t="str">
        <f t="shared" si="1"/>
        <v>Least or No</v>
      </c>
    </row>
    <row r="11" spans="1:22" x14ac:dyDescent="0.35">
      <c r="A11" t="s">
        <v>50</v>
      </c>
      <c r="B11" t="s">
        <v>51</v>
      </c>
      <c r="C11" s="1">
        <v>45460</v>
      </c>
      <c r="D11" t="s">
        <v>23</v>
      </c>
      <c r="E11" t="s">
        <v>33</v>
      </c>
      <c r="F11" t="s">
        <v>34</v>
      </c>
      <c r="G11">
        <v>3</v>
      </c>
      <c r="H11">
        <v>0.1</v>
      </c>
      <c r="I11">
        <v>739.8</v>
      </c>
      <c r="J11">
        <v>147.96</v>
      </c>
      <c r="K11" t="s">
        <v>26</v>
      </c>
      <c r="L11" t="s">
        <v>20</v>
      </c>
      <c r="M11" s="5" t="str">
        <f t="shared" si="0"/>
        <v>Repeat</v>
      </c>
      <c r="N11" s="5" t="str">
        <f>TEXT(C11,"yyyy")</f>
        <v>2024</v>
      </c>
      <c r="O11" s="5" t="str">
        <f t="shared" si="1"/>
        <v>Medium</v>
      </c>
      <c r="Q11" s="18" t="s">
        <v>567</v>
      </c>
      <c r="R11" s="19"/>
      <c r="T11" s="15" t="s">
        <v>553</v>
      </c>
      <c r="U11" s="15"/>
      <c r="V11" s="15"/>
    </row>
    <row r="12" spans="1:22" x14ac:dyDescent="0.35">
      <c r="A12" t="s">
        <v>52</v>
      </c>
      <c r="B12" t="s">
        <v>53</v>
      </c>
      <c r="C12" s="1">
        <v>44990</v>
      </c>
      <c r="D12" t="s">
        <v>23</v>
      </c>
      <c r="E12" t="s">
        <v>33</v>
      </c>
      <c r="F12" t="s">
        <v>34</v>
      </c>
      <c r="G12">
        <v>1</v>
      </c>
      <c r="H12">
        <v>0.05</v>
      </c>
      <c r="I12">
        <v>168.15</v>
      </c>
      <c r="J12">
        <v>50.45</v>
      </c>
      <c r="K12" t="s">
        <v>19</v>
      </c>
      <c r="L12" t="s">
        <v>27</v>
      </c>
      <c r="M12" s="5" t="str">
        <f t="shared" si="0"/>
        <v>Repeat</v>
      </c>
      <c r="N12" s="5" t="str">
        <f>TEXT(C12,"yyyy")</f>
        <v>2023</v>
      </c>
      <c r="O12" s="5" t="str">
        <f t="shared" si="1"/>
        <v>Least or No</v>
      </c>
      <c r="Q12" s="20" t="s">
        <v>568</v>
      </c>
      <c r="R12" s="21">
        <f ca="1">TODAY()</f>
        <v>46076</v>
      </c>
      <c r="T12" s="16" t="s">
        <v>556</v>
      </c>
      <c r="U12" s="16"/>
      <c r="V12" s="16"/>
    </row>
    <row r="13" spans="1:22" x14ac:dyDescent="0.35">
      <c r="A13" t="s">
        <v>54</v>
      </c>
      <c r="B13" t="s">
        <v>55</v>
      </c>
      <c r="C13" s="1">
        <v>45265</v>
      </c>
      <c r="D13" t="s">
        <v>37</v>
      </c>
      <c r="E13" t="s">
        <v>33</v>
      </c>
      <c r="F13" t="s">
        <v>34</v>
      </c>
      <c r="G13">
        <v>3</v>
      </c>
      <c r="H13">
        <v>0.15</v>
      </c>
      <c r="I13">
        <v>762.45</v>
      </c>
      <c r="J13">
        <v>228.73</v>
      </c>
      <c r="K13" t="s">
        <v>26</v>
      </c>
      <c r="L13" t="s">
        <v>27</v>
      </c>
      <c r="M13" s="5" t="str">
        <f t="shared" si="0"/>
        <v>Repeat</v>
      </c>
      <c r="N13" s="5" t="str">
        <f>TEXT(C13,"yyyy")</f>
        <v>2023</v>
      </c>
      <c r="O13" s="5" t="str">
        <f t="shared" si="1"/>
        <v>High</v>
      </c>
      <c r="Q13" s="20" t="s">
        <v>569</v>
      </c>
      <c r="R13" s="22">
        <f ca="1">NOW()</f>
        <v>46076.821665277777</v>
      </c>
      <c r="T13" s="16"/>
      <c r="U13" s="16"/>
      <c r="V13" s="16"/>
    </row>
    <row r="14" spans="1:22" x14ac:dyDescent="0.35">
      <c r="A14" t="s">
        <v>56</v>
      </c>
      <c r="B14" t="s">
        <v>519</v>
      </c>
      <c r="C14" s="1">
        <v>45086</v>
      </c>
      <c r="D14" t="s">
        <v>37</v>
      </c>
      <c r="E14" t="s">
        <v>17</v>
      </c>
      <c r="F14" t="s">
        <v>58</v>
      </c>
      <c r="G14">
        <v>1</v>
      </c>
      <c r="H14">
        <v>0.1</v>
      </c>
      <c r="I14">
        <v>294.3</v>
      </c>
      <c r="J14">
        <v>88.29</v>
      </c>
      <c r="K14" t="s">
        <v>26</v>
      </c>
      <c r="L14" t="s">
        <v>27</v>
      </c>
      <c r="M14" s="5" t="str">
        <f t="shared" si="0"/>
        <v>Repeat</v>
      </c>
      <c r="N14" s="5" t="str">
        <f>TEXT(C14,"yyyy")</f>
        <v>2023</v>
      </c>
      <c r="O14" s="5" t="str">
        <f t="shared" si="1"/>
        <v>Medium</v>
      </c>
      <c r="T14" s="16"/>
      <c r="U14" s="16"/>
      <c r="V14" s="16"/>
    </row>
    <row r="15" spans="1:22" x14ac:dyDescent="0.35">
      <c r="A15" t="s">
        <v>59</v>
      </c>
      <c r="B15" t="s">
        <v>524</v>
      </c>
      <c r="C15" s="1">
        <v>45268</v>
      </c>
      <c r="D15" t="s">
        <v>42</v>
      </c>
      <c r="E15" t="s">
        <v>24</v>
      </c>
      <c r="F15" t="s">
        <v>25</v>
      </c>
      <c r="G15">
        <v>3</v>
      </c>
      <c r="H15">
        <v>0.05</v>
      </c>
      <c r="I15">
        <v>285</v>
      </c>
      <c r="J15">
        <v>71.25</v>
      </c>
      <c r="K15" t="s">
        <v>39</v>
      </c>
      <c r="L15" t="s">
        <v>27</v>
      </c>
      <c r="M15" s="5" t="str">
        <f t="shared" si="0"/>
        <v>New</v>
      </c>
      <c r="N15" s="5" t="str">
        <f>TEXT(C15,"yyyy")</f>
        <v>2023</v>
      </c>
      <c r="O15" s="5" t="str">
        <f t="shared" si="1"/>
        <v>Least or No</v>
      </c>
    </row>
    <row r="16" spans="1:22" x14ac:dyDescent="0.35">
      <c r="A16" t="s">
        <v>61</v>
      </c>
      <c r="B16" t="s">
        <v>525</v>
      </c>
      <c r="C16" s="1">
        <v>45184</v>
      </c>
      <c r="D16" t="s">
        <v>63</v>
      </c>
      <c r="E16" t="s">
        <v>17</v>
      </c>
      <c r="F16" t="s">
        <v>58</v>
      </c>
      <c r="G16">
        <v>4</v>
      </c>
      <c r="H16">
        <v>0</v>
      </c>
      <c r="I16">
        <v>956</v>
      </c>
      <c r="J16">
        <v>191.2</v>
      </c>
      <c r="K16" t="s">
        <v>19</v>
      </c>
      <c r="L16" t="s">
        <v>27</v>
      </c>
      <c r="M16" s="5" t="str">
        <f t="shared" si="0"/>
        <v>New</v>
      </c>
      <c r="N16" s="5" t="str">
        <f>TEXT(C16,"yyyy")</f>
        <v>2023</v>
      </c>
      <c r="O16" s="5" t="str">
        <f t="shared" si="1"/>
        <v>Least or No</v>
      </c>
      <c r="T16" s="15" t="s">
        <v>553</v>
      </c>
      <c r="U16" s="15"/>
      <c r="V16" s="15"/>
    </row>
    <row r="17" spans="1:22" x14ac:dyDescent="0.35">
      <c r="A17" t="s">
        <v>64</v>
      </c>
      <c r="B17" t="s">
        <v>526</v>
      </c>
      <c r="C17" s="1">
        <v>45298</v>
      </c>
      <c r="D17" t="s">
        <v>63</v>
      </c>
      <c r="E17" t="s">
        <v>33</v>
      </c>
      <c r="F17" t="s">
        <v>66</v>
      </c>
      <c r="G17">
        <v>3</v>
      </c>
      <c r="H17">
        <v>0</v>
      </c>
      <c r="I17">
        <v>786</v>
      </c>
      <c r="J17">
        <v>196.5</v>
      </c>
      <c r="K17" t="s">
        <v>19</v>
      </c>
      <c r="L17" t="s">
        <v>20</v>
      </c>
      <c r="M17" s="5" t="str">
        <f t="shared" si="0"/>
        <v>New</v>
      </c>
      <c r="N17" s="5" t="str">
        <f>TEXT(C17,"yyyy")</f>
        <v>2024</v>
      </c>
      <c r="O17" s="5" t="str">
        <f t="shared" si="1"/>
        <v>Least or No</v>
      </c>
      <c r="T17" s="16" t="s">
        <v>557</v>
      </c>
      <c r="U17" s="16"/>
      <c r="V17" s="16"/>
    </row>
    <row r="18" spans="1:22" x14ac:dyDescent="0.35">
      <c r="A18" t="s">
        <v>67</v>
      </c>
      <c r="B18" t="s">
        <v>68</v>
      </c>
      <c r="C18" s="1">
        <v>45127</v>
      </c>
      <c r="D18" t="s">
        <v>37</v>
      </c>
      <c r="E18" t="s">
        <v>33</v>
      </c>
      <c r="F18" t="s">
        <v>66</v>
      </c>
      <c r="G18">
        <v>1</v>
      </c>
      <c r="H18">
        <v>0.1</v>
      </c>
      <c r="I18">
        <v>284.39999999999998</v>
      </c>
      <c r="J18">
        <v>85.32</v>
      </c>
      <c r="K18" t="s">
        <v>19</v>
      </c>
      <c r="L18" t="s">
        <v>27</v>
      </c>
      <c r="M18" s="5" t="str">
        <f t="shared" si="0"/>
        <v>Repeat</v>
      </c>
      <c r="N18" s="5" t="str">
        <f>TEXT(C18,"yyyy")</f>
        <v>2023</v>
      </c>
      <c r="O18" s="5" t="str">
        <f t="shared" si="1"/>
        <v>Medium</v>
      </c>
      <c r="T18" s="16"/>
      <c r="U18" s="16"/>
      <c r="V18" s="16"/>
    </row>
    <row r="19" spans="1:22" x14ac:dyDescent="0.35">
      <c r="A19" t="s">
        <v>69</v>
      </c>
      <c r="B19" t="s">
        <v>70</v>
      </c>
      <c r="C19" s="1">
        <v>45870</v>
      </c>
      <c r="D19" t="s">
        <v>16</v>
      </c>
      <c r="E19" t="s">
        <v>33</v>
      </c>
      <c r="F19" t="s">
        <v>71</v>
      </c>
      <c r="G19">
        <v>3</v>
      </c>
      <c r="H19">
        <v>0.1</v>
      </c>
      <c r="I19">
        <v>1026</v>
      </c>
      <c r="J19">
        <v>307.8</v>
      </c>
      <c r="K19" t="s">
        <v>26</v>
      </c>
      <c r="L19" t="s">
        <v>27</v>
      </c>
      <c r="M19" s="5" t="str">
        <f t="shared" si="0"/>
        <v>Repeat</v>
      </c>
      <c r="N19" s="5" t="str">
        <f>TEXT(C19,"yyyy")</f>
        <v>2025</v>
      </c>
      <c r="O19" s="5" t="str">
        <f t="shared" si="1"/>
        <v>Medium</v>
      </c>
      <c r="T19" s="16"/>
      <c r="U19" s="16"/>
      <c r="V19" s="16"/>
    </row>
    <row r="20" spans="1:22" x14ac:dyDescent="0.35">
      <c r="A20" t="s">
        <v>72</v>
      </c>
      <c r="B20" t="s">
        <v>73</v>
      </c>
      <c r="C20" s="1">
        <v>45493</v>
      </c>
      <c r="D20" t="s">
        <v>42</v>
      </c>
      <c r="E20" t="s">
        <v>17</v>
      </c>
      <c r="F20" t="s">
        <v>18</v>
      </c>
      <c r="G20">
        <v>1</v>
      </c>
      <c r="H20">
        <v>0.15</v>
      </c>
      <c r="I20">
        <v>170.85</v>
      </c>
      <c r="J20">
        <v>42.71</v>
      </c>
      <c r="K20" t="s">
        <v>19</v>
      </c>
      <c r="L20" t="s">
        <v>27</v>
      </c>
      <c r="M20" s="5" t="str">
        <f t="shared" si="0"/>
        <v>Repeat</v>
      </c>
      <c r="N20" s="5" t="str">
        <f>TEXT(C20,"yyyy")</f>
        <v>2024</v>
      </c>
      <c r="O20" s="5" t="str">
        <f t="shared" si="1"/>
        <v>High</v>
      </c>
    </row>
    <row r="21" spans="1:22" x14ac:dyDescent="0.35">
      <c r="A21" t="s">
        <v>74</v>
      </c>
      <c r="B21" t="s">
        <v>75</v>
      </c>
      <c r="C21" s="1">
        <v>45462</v>
      </c>
      <c r="D21" t="s">
        <v>42</v>
      </c>
      <c r="E21" t="s">
        <v>24</v>
      </c>
      <c r="F21" t="s">
        <v>30</v>
      </c>
      <c r="G21">
        <v>4</v>
      </c>
      <c r="H21">
        <v>0.15</v>
      </c>
      <c r="I21">
        <v>578</v>
      </c>
      <c r="J21">
        <v>173.4</v>
      </c>
      <c r="K21" t="s">
        <v>39</v>
      </c>
      <c r="L21" t="s">
        <v>20</v>
      </c>
      <c r="M21" s="5" t="str">
        <f t="shared" si="0"/>
        <v>Repeat</v>
      </c>
      <c r="N21" s="5" t="str">
        <f>TEXT(C21,"yyyy")</f>
        <v>2024</v>
      </c>
      <c r="O21" s="5" t="str">
        <f t="shared" si="1"/>
        <v>High</v>
      </c>
      <c r="T21" s="15" t="s">
        <v>553</v>
      </c>
      <c r="U21" s="15"/>
      <c r="V21" s="15"/>
    </row>
    <row r="22" spans="1:22" x14ac:dyDescent="0.35">
      <c r="A22" t="s">
        <v>76</v>
      </c>
      <c r="B22" t="s">
        <v>77</v>
      </c>
      <c r="C22" s="1">
        <v>45908</v>
      </c>
      <c r="D22" t="s">
        <v>37</v>
      </c>
      <c r="E22" t="s">
        <v>17</v>
      </c>
      <c r="F22" t="s">
        <v>78</v>
      </c>
      <c r="G22">
        <v>3</v>
      </c>
      <c r="H22">
        <v>0.15</v>
      </c>
      <c r="I22">
        <v>362.1</v>
      </c>
      <c r="J22">
        <v>72.42</v>
      </c>
      <c r="K22" t="s">
        <v>39</v>
      </c>
      <c r="L22" t="s">
        <v>27</v>
      </c>
      <c r="M22" s="5" t="str">
        <f t="shared" si="0"/>
        <v>Repeat</v>
      </c>
      <c r="N22" s="5" t="str">
        <f>TEXT(C22,"yyyy")</f>
        <v>2025</v>
      </c>
      <c r="O22" s="5" t="str">
        <f t="shared" si="1"/>
        <v>High</v>
      </c>
      <c r="T22" s="16" t="s">
        <v>558</v>
      </c>
      <c r="U22" s="16"/>
      <c r="V22" s="16"/>
    </row>
    <row r="23" spans="1:22" x14ac:dyDescent="0.35">
      <c r="A23" t="s">
        <v>79</v>
      </c>
      <c r="B23" t="s">
        <v>527</v>
      </c>
      <c r="C23" s="1">
        <v>45262</v>
      </c>
      <c r="D23" t="s">
        <v>63</v>
      </c>
      <c r="E23" t="s">
        <v>33</v>
      </c>
      <c r="F23" t="s">
        <v>34</v>
      </c>
      <c r="G23">
        <v>1</v>
      </c>
      <c r="H23">
        <v>0</v>
      </c>
      <c r="I23">
        <v>433</v>
      </c>
      <c r="J23">
        <v>86.6</v>
      </c>
      <c r="K23" t="s">
        <v>26</v>
      </c>
      <c r="L23" t="s">
        <v>27</v>
      </c>
      <c r="M23" s="5" t="str">
        <f t="shared" si="0"/>
        <v>New</v>
      </c>
      <c r="N23" s="5" t="str">
        <f>TEXT(C23,"yyyy")</f>
        <v>2023</v>
      </c>
      <c r="O23" s="5" t="str">
        <f t="shared" si="1"/>
        <v>Least or No</v>
      </c>
      <c r="T23" s="16"/>
      <c r="U23" s="16"/>
      <c r="V23" s="16"/>
    </row>
    <row r="24" spans="1:22" x14ac:dyDescent="0.35">
      <c r="A24" t="s">
        <v>81</v>
      </c>
      <c r="B24" t="s">
        <v>528</v>
      </c>
      <c r="C24" s="1">
        <v>45593</v>
      </c>
      <c r="D24" t="s">
        <v>42</v>
      </c>
      <c r="E24" t="s">
        <v>33</v>
      </c>
      <c r="F24" t="s">
        <v>38</v>
      </c>
      <c r="G24">
        <v>2</v>
      </c>
      <c r="H24">
        <v>0.1</v>
      </c>
      <c r="I24">
        <v>651.6</v>
      </c>
      <c r="J24">
        <v>162.9</v>
      </c>
      <c r="K24" t="s">
        <v>39</v>
      </c>
      <c r="L24" t="s">
        <v>20</v>
      </c>
      <c r="M24" s="5" t="str">
        <f t="shared" si="0"/>
        <v>New</v>
      </c>
      <c r="N24" s="5" t="str">
        <f>TEXT(C24,"yyyy")</f>
        <v>2024</v>
      </c>
      <c r="O24" s="5" t="str">
        <f t="shared" si="1"/>
        <v>Medium</v>
      </c>
      <c r="T24" s="16"/>
      <c r="U24" s="16"/>
      <c r="V24" s="16"/>
    </row>
    <row r="25" spans="1:22" x14ac:dyDescent="0.35">
      <c r="A25" t="s">
        <v>83</v>
      </c>
      <c r="B25" t="s">
        <v>529</v>
      </c>
      <c r="C25" s="1">
        <v>45942</v>
      </c>
      <c r="D25" t="s">
        <v>23</v>
      </c>
      <c r="E25" t="s">
        <v>24</v>
      </c>
      <c r="F25" t="s">
        <v>25</v>
      </c>
      <c r="G25">
        <v>2</v>
      </c>
      <c r="H25">
        <v>0</v>
      </c>
      <c r="I25">
        <v>478</v>
      </c>
      <c r="J25">
        <v>95.6</v>
      </c>
      <c r="K25" t="s">
        <v>26</v>
      </c>
      <c r="L25" t="s">
        <v>20</v>
      </c>
      <c r="M25" s="5" t="str">
        <f t="shared" si="0"/>
        <v>New</v>
      </c>
      <c r="N25" s="5" t="str">
        <f>TEXT(C25,"yyyy")</f>
        <v>2025</v>
      </c>
      <c r="O25" s="5" t="str">
        <f t="shared" si="1"/>
        <v>Least or No</v>
      </c>
    </row>
    <row r="26" spans="1:22" x14ac:dyDescent="0.35">
      <c r="A26" t="s">
        <v>85</v>
      </c>
      <c r="B26" t="s">
        <v>86</v>
      </c>
      <c r="C26" s="1">
        <v>45062</v>
      </c>
      <c r="D26" t="s">
        <v>63</v>
      </c>
      <c r="E26" t="s">
        <v>17</v>
      </c>
      <c r="F26" t="s">
        <v>78</v>
      </c>
      <c r="G26">
        <v>4</v>
      </c>
      <c r="H26">
        <v>0.1</v>
      </c>
      <c r="I26">
        <v>1191.5999999999999</v>
      </c>
      <c r="J26">
        <v>297.89999999999998</v>
      </c>
      <c r="K26" t="s">
        <v>39</v>
      </c>
      <c r="L26" t="s">
        <v>27</v>
      </c>
      <c r="M26" s="5" t="str">
        <f t="shared" si="0"/>
        <v>Repeat</v>
      </c>
      <c r="N26" s="5" t="str">
        <f>TEXT(C26,"yyyy")</f>
        <v>2023</v>
      </c>
      <c r="O26" s="5" t="str">
        <f t="shared" si="1"/>
        <v>Medium</v>
      </c>
      <c r="T26" s="15" t="s">
        <v>553</v>
      </c>
      <c r="U26" s="15"/>
      <c r="V26" s="15"/>
    </row>
    <row r="27" spans="1:22" x14ac:dyDescent="0.35">
      <c r="A27" t="s">
        <v>87</v>
      </c>
      <c r="B27" t="s">
        <v>88</v>
      </c>
      <c r="C27" s="1">
        <v>45356</v>
      </c>
      <c r="D27" t="s">
        <v>37</v>
      </c>
      <c r="E27" t="s">
        <v>17</v>
      </c>
      <c r="F27" t="s">
        <v>58</v>
      </c>
      <c r="G27">
        <v>1</v>
      </c>
      <c r="H27">
        <v>0.15</v>
      </c>
      <c r="I27">
        <v>133.44999999999999</v>
      </c>
      <c r="J27">
        <v>26.69</v>
      </c>
      <c r="K27" t="s">
        <v>19</v>
      </c>
      <c r="L27" t="s">
        <v>20</v>
      </c>
      <c r="M27" s="5" t="str">
        <f t="shared" si="0"/>
        <v>Repeat</v>
      </c>
      <c r="N27" s="5" t="str">
        <f>TEXT(C27,"yyyy")</f>
        <v>2024</v>
      </c>
      <c r="O27" s="5" t="str">
        <f t="shared" si="1"/>
        <v>High</v>
      </c>
      <c r="T27" s="16" t="s">
        <v>560</v>
      </c>
      <c r="U27" s="16"/>
      <c r="V27" s="16"/>
    </row>
    <row r="28" spans="1:22" x14ac:dyDescent="0.35">
      <c r="A28" t="s">
        <v>89</v>
      </c>
      <c r="B28" t="s">
        <v>90</v>
      </c>
      <c r="C28" s="1">
        <v>45573</v>
      </c>
      <c r="D28" t="s">
        <v>37</v>
      </c>
      <c r="E28" t="s">
        <v>17</v>
      </c>
      <c r="F28" t="s">
        <v>46</v>
      </c>
      <c r="G28">
        <v>2</v>
      </c>
      <c r="H28">
        <v>0.05</v>
      </c>
      <c r="I28">
        <v>532</v>
      </c>
      <c r="J28">
        <v>159.6</v>
      </c>
      <c r="K28" t="s">
        <v>39</v>
      </c>
      <c r="L28" t="s">
        <v>20</v>
      </c>
      <c r="M28" s="5" t="str">
        <f t="shared" si="0"/>
        <v>Repeat</v>
      </c>
      <c r="N28" s="5" t="str">
        <f>TEXT(C28,"yyyy")</f>
        <v>2024</v>
      </c>
      <c r="O28" s="5" t="str">
        <f t="shared" si="1"/>
        <v>Least or No</v>
      </c>
      <c r="T28" s="16"/>
      <c r="U28" s="16"/>
      <c r="V28" s="16"/>
    </row>
    <row r="29" spans="1:22" x14ac:dyDescent="0.35">
      <c r="A29" t="s">
        <v>91</v>
      </c>
      <c r="B29" t="s">
        <v>92</v>
      </c>
      <c r="C29" s="1">
        <v>44965</v>
      </c>
      <c r="D29" t="s">
        <v>16</v>
      </c>
      <c r="E29" t="s">
        <v>17</v>
      </c>
      <c r="F29" t="s">
        <v>18</v>
      </c>
      <c r="G29">
        <v>1</v>
      </c>
      <c r="H29">
        <v>0.15</v>
      </c>
      <c r="I29">
        <v>88.4</v>
      </c>
      <c r="J29">
        <v>26.52</v>
      </c>
      <c r="K29" t="s">
        <v>39</v>
      </c>
      <c r="L29" t="s">
        <v>27</v>
      </c>
      <c r="M29" s="5" t="str">
        <f t="shared" si="0"/>
        <v>Repeat</v>
      </c>
      <c r="N29" s="5" t="str">
        <f>TEXT(C29,"yyyy")</f>
        <v>2023</v>
      </c>
      <c r="O29" s="5" t="str">
        <f t="shared" si="1"/>
        <v>High</v>
      </c>
      <c r="T29" s="16"/>
      <c r="U29" s="16"/>
      <c r="V29" s="16"/>
    </row>
    <row r="30" spans="1:22" x14ac:dyDescent="0.35">
      <c r="A30" t="s">
        <v>93</v>
      </c>
      <c r="B30" t="s">
        <v>94</v>
      </c>
      <c r="C30" s="1">
        <v>45322</v>
      </c>
      <c r="D30" t="s">
        <v>37</v>
      </c>
      <c r="E30" t="s">
        <v>24</v>
      </c>
      <c r="F30" t="s">
        <v>30</v>
      </c>
      <c r="G30">
        <v>4</v>
      </c>
      <c r="H30">
        <v>0.15</v>
      </c>
      <c r="I30">
        <v>945.2</v>
      </c>
      <c r="J30">
        <v>189.04</v>
      </c>
      <c r="K30" t="s">
        <v>26</v>
      </c>
      <c r="L30" t="s">
        <v>20</v>
      </c>
      <c r="M30" s="5" t="str">
        <f t="shared" si="0"/>
        <v>Repeat</v>
      </c>
      <c r="N30" s="5" t="str">
        <f>TEXT(C30,"yyyy")</f>
        <v>2024</v>
      </c>
      <c r="O30" s="5" t="str">
        <f t="shared" si="1"/>
        <v>High</v>
      </c>
    </row>
    <row r="31" spans="1:22" x14ac:dyDescent="0.35">
      <c r="A31" t="s">
        <v>95</v>
      </c>
      <c r="B31" t="s">
        <v>96</v>
      </c>
      <c r="C31" s="1">
        <v>45243</v>
      </c>
      <c r="D31" t="s">
        <v>42</v>
      </c>
      <c r="E31" t="s">
        <v>24</v>
      </c>
      <c r="F31" t="s">
        <v>25</v>
      </c>
      <c r="G31">
        <v>4</v>
      </c>
      <c r="H31">
        <v>0.15</v>
      </c>
      <c r="I31">
        <v>499.8</v>
      </c>
      <c r="J31">
        <v>124.95</v>
      </c>
      <c r="K31" t="s">
        <v>39</v>
      </c>
      <c r="L31" t="s">
        <v>20</v>
      </c>
      <c r="M31" s="5" t="str">
        <f t="shared" si="0"/>
        <v>Repeat</v>
      </c>
      <c r="N31" s="5" t="str">
        <f>TEXT(C31,"yyyy")</f>
        <v>2023</v>
      </c>
      <c r="O31" s="5" t="str">
        <f t="shared" si="1"/>
        <v>High</v>
      </c>
    </row>
    <row r="32" spans="1:22" x14ac:dyDescent="0.35">
      <c r="A32" t="s">
        <v>97</v>
      </c>
      <c r="B32" t="s">
        <v>98</v>
      </c>
      <c r="C32" s="1">
        <v>45022</v>
      </c>
      <c r="D32" t="s">
        <v>63</v>
      </c>
      <c r="E32" t="s">
        <v>33</v>
      </c>
      <c r="F32" t="s">
        <v>66</v>
      </c>
      <c r="G32">
        <v>3</v>
      </c>
      <c r="H32">
        <v>0.15</v>
      </c>
      <c r="I32">
        <v>841.5</v>
      </c>
      <c r="J32">
        <v>210.38</v>
      </c>
      <c r="K32" t="s">
        <v>19</v>
      </c>
      <c r="L32" t="s">
        <v>20</v>
      </c>
      <c r="M32" s="5" t="str">
        <f t="shared" si="0"/>
        <v>Repeat</v>
      </c>
      <c r="N32" s="5" t="str">
        <f>TEXT(C32,"yyyy")</f>
        <v>2023</v>
      </c>
      <c r="O32" s="5" t="str">
        <f t="shared" si="1"/>
        <v>High</v>
      </c>
    </row>
    <row r="33" spans="1:15" x14ac:dyDescent="0.35">
      <c r="A33" t="s">
        <v>99</v>
      </c>
      <c r="B33" t="s">
        <v>100</v>
      </c>
      <c r="C33" s="1">
        <v>45142</v>
      </c>
      <c r="D33" t="s">
        <v>16</v>
      </c>
      <c r="E33" t="s">
        <v>17</v>
      </c>
      <c r="F33" t="s">
        <v>58</v>
      </c>
      <c r="G33">
        <v>2</v>
      </c>
      <c r="H33">
        <v>0.15</v>
      </c>
      <c r="I33">
        <v>564.4</v>
      </c>
      <c r="J33">
        <v>141.1</v>
      </c>
      <c r="K33" t="s">
        <v>19</v>
      </c>
      <c r="L33" t="s">
        <v>20</v>
      </c>
      <c r="M33" s="5" t="str">
        <f t="shared" si="0"/>
        <v>New</v>
      </c>
      <c r="N33" s="5" t="str">
        <f>TEXT(C33,"yyyy")</f>
        <v>2023</v>
      </c>
      <c r="O33" s="5" t="str">
        <f t="shared" si="1"/>
        <v>High</v>
      </c>
    </row>
    <row r="34" spans="1:15" x14ac:dyDescent="0.35">
      <c r="A34" t="s">
        <v>101</v>
      </c>
      <c r="B34" t="s">
        <v>36</v>
      </c>
      <c r="C34" s="1">
        <v>45210</v>
      </c>
      <c r="D34" t="s">
        <v>42</v>
      </c>
      <c r="E34" t="s">
        <v>17</v>
      </c>
      <c r="F34" t="s">
        <v>58</v>
      </c>
      <c r="G34">
        <v>1</v>
      </c>
      <c r="H34">
        <v>0</v>
      </c>
      <c r="I34">
        <v>250</v>
      </c>
      <c r="J34">
        <v>75</v>
      </c>
      <c r="K34" t="s">
        <v>19</v>
      </c>
      <c r="L34" t="s">
        <v>20</v>
      </c>
      <c r="M34" s="5" t="str">
        <f t="shared" si="0"/>
        <v>Repeat</v>
      </c>
      <c r="N34" s="5" t="str">
        <f>TEXT(C34,"yyyy")</f>
        <v>2023</v>
      </c>
      <c r="O34" s="5" t="str">
        <f t="shared" si="1"/>
        <v>Least or No</v>
      </c>
    </row>
    <row r="35" spans="1:15" x14ac:dyDescent="0.35">
      <c r="A35" t="s">
        <v>102</v>
      </c>
      <c r="B35" t="s">
        <v>103</v>
      </c>
      <c r="C35" s="1">
        <v>45266</v>
      </c>
      <c r="D35" t="s">
        <v>23</v>
      </c>
      <c r="E35" t="s">
        <v>33</v>
      </c>
      <c r="F35" t="s">
        <v>38</v>
      </c>
      <c r="G35">
        <v>3</v>
      </c>
      <c r="H35">
        <v>0.15</v>
      </c>
      <c r="I35">
        <v>846.6</v>
      </c>
      <c r="J35">
        <v>169.32</v>
      </c>
      <c r="K35" t="s">
        <v>26</v>
      </c>
      <c r="L35" t="s">
        <v>20</v>
      </c>
      <c r="M35" s="5" t="str">
        <f t="shared" si="0"/>
        <v>New</v>
      </c>
      <c r="N35" s="5" t="str">
        <f>TEXT(C35,"yyyy")</f>
        <v>2023</v>
      </c>
      <c r="O35" s="5" t="str">
        <f t="shared" si="1"/>
        <v>High</v>
      </c>
    </row>
    <row r="36" spans="1:15" x14ac:dyDescent="0.35">
      <c r="A36" t="s">
        <v>104</v>
      </c>
      <c r="B36" t="s">
        <v>105</v>
      </c>
      <c r="C36" s="1">
        <v>45741</v>
      </c>
      <c r="D36" t="s">
        <v>37</v>
      </c>
      <c r="E36" t="s">
        <v>17</v>
      </c>
      <c r="F36" t="s">
        <v>46</v>
      </c>
      <c r="G36">
        <v>2</v>
      </c>
      <c r="H36">
        <v>0.1</v>
      </c>
      <c r="I36">
        <v>590.4</v>
      </c>
      <c r="J36">
        <v>177.12</v>
      </c>
      <c r="K36" t="s">
        <v>19</v>
      </c>
      <c r="L36" t="s">
        <v>27</v>
      </c>
      <c r="M36" s="5" t="str">
        <f t="shared" si="0"/>
        <v>Repeat</v>
      </c>
      <c r="N36" s="5" t="str">
        <f>TEXT(C36,"yyyy")</f>
        <v>2025</v>
      </c>
      <c r="O36" s="5" t="str">
        <f t="shared" si="1"/>
        <v>Medium</v>
      </c>
    </row>
    <row r="37" spans="1:15" x14ac:dyDescent="0.35">
      <c r="A37" t="s">
        <v>106</v>
      </c>
      <c r="B37" t="s">
        <v>60</v>
      </c>
      <c r="C37" s="1">
        <v>45711</v>
      </c>
      <c r="D37" t="s">
        <v>37</v>
      </c>
      <c r="E37" t="s">
        <v>24</v>
      </c>
      <c r="F37" t="s">
        <v>107</v>
      </c>
      <c r="G37">
        <v>1</v>
      </c>
      <c r="H37">
        <v>0</v>
      </c>
      <c r="I37">
        <v>231</v>
      </c>
      <c r="J37">
        <v>57.75</v>
      </c>
      <c r="K37" t="s">
        <v>26</v>
      </c>
      <c r="L37" t="s">
        <v>27</v>
      </c>
      <c r="M37" s="5" t="str">
        <f t="shared" si="0"/>
        <v>Repeat</v>
      </c>
      <c r="N37" s="5" t="str">
        <f>TEXT(C37,"yyyy")</f>
        <v>2025</v>
      </c>
      <c r="O37" s="5" t="str">
        <f t="shared" si="1"/>
        <v>Least or No</v>
      </c>
    </row>
    <row r="38" spans="1:15" x14ac:dyDescent="0.35">
      <c r="A38" t="s">
        <v>108</v>
      </c>
      <c r="B38" t="s">
        <v>29</v>
      </c>
      <c r="C38" s="1">
        <v>45794</v>
      </c>
      <c r="D38" t="s">
        <v>42</v>
      </c>
      <c r="E38" t="s">
        <v>17</v>
      </c>
      <c r="F38" t="s">
        <v>46</v>
      </c>
      <c r="G38">
        <v>3</v>
      </c>
      <c r="H38">
        <v>0.15</v>
      </c>
      <c r="I38">
        <v>726.75</v>
      </c>
      <c r="J38">
        <v>145.35</v>
      </c>
      <c r="K38" t="s">
        <v>39</v>
      </c>
      <c r="L38" t="s">
        <v>20</v>
      </c>
      <c r="M38" s="5" t="str">
        <f t="shared" si="0"/>
        <v>Repeat</v>
      </c>
      <c r="N38" s="5" t="str">
        <f>TEXT(C38,"yyyy")</f>
        <v>2025</v>
      </c>
      <c r="O38" s="5" t="str">
        <f t="shared" si="1"/>
        <v>High</v>
      </c>
    </row>
    <row r="39" spans="1:15" x14ac:dyDescent="0.35">
      <c r="A39" t="s">
        <v>109</v>
      </c>
      <c r="B39" t="s">
        <v>110</v>
      </c>
      <c r="C39" s="1">
        <v>45369</v>
      </c>
      <c r="D39" t="s">
        <v>37</v>
      </c>
      <c r="E39" t="s">
        <v>33</v>
      </c>
      <c r="F39" t="s">
        <v>38</v>
      </c>
      <c r="G39">
        <v>3</v>
      </c>
      <c r="H39">
        <v>0.05</v>
      </c>
      <c r="I39">
        <v>515.85</v>
      </c>
      <c r="J39">
        <v>103.17</v>
      </c>
      <c r="K39" t="s">
        <v>19</v>
      </c>
      <c r="L39" t="s">
        <v>20</v>
      </c>
      <c r="M39" s="5" t="str">
        <f t="shared" si="0"/>
        <v>Repeat</v>
      </c>
      <c r="N39" s="5" t="str">
        <f>TEXT(C39,"yyyy")</f>
        <v>2024</v>
      </c>
      <c r="O39" s="5" t="str">
        <f t="shared" si="1"/>
        <v>Least or No</v>
      </c>
    </row>
    <row r="40" spans="1:15" x14ac:dyDescent="0.35">
      <c r="A40" t="s">
        <v>111</v>
      </c>
      <c r="B40" t="s">
        <v>112</v>
      </c>
      <c r="C40" s="1">
        <v>45499</v>
      </c>
      <c r="D40" t="s">
        <v>63</v>
      </c>
      <c r="E40" t="s">
        <v>24</v>
      </c>
      <c r="F40" t="s">
        <v>25</v>
      </c>
      <c r="G40">
        <v>2</v>
      </c>
      <c r="H40">
        <v>0.05</v>
      </c>
      <c r="I40">
        <v>551</v>
      </c>
      <c r="J40">
        <v>165.3</v>
      </c>
      <c r="K40" t="s">
        <v>19</v>
      </c>
      <c r="L40" t="s">
        <v>27</v>
      </c>
      <c r="M40" s="5" t="str">
        <f t="shared" si="0"/>
        <v>Repeat</v>
      </c>
      <c r="N40" s="5" t="str">
        <f>TEXT(C40,"yyyy")</f>
        <v>2024</v>
      </c>
      <c r="O40" s="5" t="str">
        <f t="shared" si="1"/>
        <v>Least or No</v>
      </c>
    </row>
    <row r="41" spans="1:15" x14ac:dyDescent="0.35">
      <c r="A41" t="s">
        <v>113</v>
      </c>
      <c r="B41" t="s">
        <v>530</v>
      </c>
      <c r="C41" s="1">
        <v>45883</v>
      </c>
      <c r="D41" t="s">
        <v>42</v>
      </c>
      <c r="E41" t="s">
        <v>33</v>
      </c>
      <c r="F41" t="s">
        <v>66</v>
      </c>
      <c r="G41">
        <v>4</v>
      </c>
      <c r="H41">
        <v>0</v>
      </c>
      <c r="I41">
        <v>1140</v>
      </c>
      <c r="J41">
        <v>228</v>
      </c>
      <c r="K41" t="s">
        <v>26</v>
      </c>
      <c r="L41" t="s">
        <v>27</v>
      </c>
      <c r="M41" s="5" t="str">
        <f t="shared" si="0"/>
        <v>New</v>
      </c>
      <c r="N41" s="5" t="str">
        <f>TEXT(C41,"yyyy")</f>
        <v>2025</v>
      </c>
      <c r="O41" s="5" t="str">
        <f t="shared" si="1"/>
        <v>Least or No</v>
      </c>
    </row>
    <row r="42" spans="1:15" x14ac:dyDescent="0.35">
      <c r="A42" t="s">
        <v>114</v>
      </c>
      <c r="B42" t="s">
        <v>531</v>
      </c>
      <c r="C42" s="1">
        <v>45123</v>
      </c>
      <c r="D42" t="s">
        <v>37</v>
      </c>
      <c r="E42" t="s">
        <v>33</v>
      </c>
      <c r="F42" t="s">
        <v>38</v>
      </c>
      <c r="G42">
        <v>4</v>
      </c>
      <c r="H42">
        <v>0</v>
      </c>
      <c r="I42">
        <v>856</v>
      </c>
      <c r="J42">
        <v>171.2</v>
      </c>
      <c r="K42" t="s">
        <v>26</v>
      </c>
      <c r="L42" t="s">
        <v>27</v>
      </c>
      <c r="M42" s="5" t="str">
        <f t="shared" si="0"/>
        <v>New</v>
      </c>
      <c r="N42" s="5" t="str">
        <f>TEXT(C42,"yyyy")</f>
        <v>2023</v>
      </c>
      <c r="O42" s="5" t="str">
        <f t="shared" si="1"/>
        <v>Least or No</v>
      </c>
    </row>
    <row r="43" spans="1:15" x14ac:dyDescent="0.35">
      <c r="A43" t="s">
        <v>116</v>
      </c>
      <c r="B43" t="s">
        <v>387</v>
      </c>
      <c r="C43" s="1">
        <v>45018</v>
      </c>
      <c r="D43" t="s">
        <v>16</v>
      </c>
      <c r="E43" t="s">
        <v>33</v>
      </c>
      <c r="F43" t="s">
        <v>38</v>
      </c>
      <c r="G43">
        <v>3</v>
      </c>
      <c r="H43">
        <v>0.05</v>
      </c>
      <c r="I43">
        <v>518.70000000000005</v>
      </c>
      <c r="J43">
        <v>129.66999999999999</v>
      </c>
      <c r="K43" t="s">
        <v>39</v>
      </c>
      <c r="L43" t="s">
        <v>20</v>
      </c>
      <c r="M43" s="5" t="str">
        <f t="shared" si="0"/>
        <v>Repeat</v>
      </c>
      <c r="N43" s="5" t="str">
        <f>TEXT(C43,"yyyy")</f>
        <v>2023</v>
      </c>
      <c r="O43" s="5" t="str">
        <f t="shared" si="1"/>
        <v>Least or No</v>
      </c>
    </row>
    <row r="44" spans="1:15" x14ac:dyDescent="0.35">
      <c r="A44" t="s">
        <v>117</v>
      </c>
      <c r="B44" t="s">
        <v>229</v>
      </c>
      <c r="C44" s="1">
        <v>45015</v>
      </c>
      <c r="D44" t="s">
        <v>37</v>
      </c>
      <c r="E44" t="s">
        <v>17</v>
      </c>
      <c r="F44" t="s">
        <v>78</v>
      </c>
      <c r="G44">
        <v>3</v>
      </c>
      <c r="H44">
        <v>0</v>
      </c>
      <c r="I44">
        <v>318</v>
      </c>
      <c r="J44">
        <v>63.6</v>
      </c>
      <c r="K44" t="s">
        <v>39</v>
      </c>
      <c r="L44" t="s">
        <v>27</v>
      </c>
      <c r="M44" s="5" t="str">
        <f t="shared" si="0"/>
        <v>Repeat</v>
      </c>
      <c r="N44" s="5" t="str">
        <f>TEXT(C44,"yyyy")</f>
        <v>2023</v>
      </c>
      <c r="O44" s="5" t="str">
        <f t="shared" si="1"/>
        <v>Least or No</v>
      </c>
    </row>
    <row r="45" spans="1:15" x14ac:dyDescent="0.35">
      <c r="A45" t="s">
        <v>118</v>
      </c>
      <c r="B45" t="s">
        <v>532</v>
      </c>
      <c r="C45" s="1">
        <v>45396</v>
      </c>
      <c r="D45" t="s">
        <v>42</v>
      </c>
      <c r="E45" t="s">
        <v>17</v>
      </c>
      <c r="F45" t="s">
        <v>18</v>
      </c>
      <c r="G45">
        <v>2</v>
      </c>
      <c r="H45">
        <v>0.1</v>
      </c>
      <c r="I45">
        <v>446.4</v>
      </c>
      <c r="J45">
        <v>111.6</v>
      </c>
      <c r="K45" t="s">
        <v>19</v>
      </c>
      <c r="L45" t="s">
        <v>20</v>
      </c>
      <c r="M45" s="5" t="str">
        <f t="shared" si="0"/>
        <v>New</v>
      </c>
      <c r="N45" s="5" t="str">
        <f>TEXT(C45,"yyyy")</f>
        <v>2024</v>
      </c>
      <c r="O45" s="5" t="str">
        <f t="shared" si="1"/>
        <v>Medium</v>
      </c>
    </row>
    <row r="46" spans="1:15" x14ac:dyDescent="0.35">
      <c r="A46" t="s">
        <v>120</v>
      </c>
      <c r="B46" t="s">
        <v>84</v>
      </c>
      <c r="C46" s="1">
        <v>44993</v>
      </c>
      <c r="D46" t="s">
        <v>63</v>
      </c>
      <c r="E46" t="s">
        <v>24</v>
      </c>
      <c r="F46" t="s">
        <v>107</v>
      </c>
      <c r="G46">
        <v>3</v>
      </c>
      <c r="H46">
        <v>0</v>
      </c>
      <c r="I46">
        <v>513</v>
      </c>
      <c r="J46">
        <v>102.6</v>
      </c>
      <c r="K46" t="s">
        <v>19</v>
      </c>
      <c r="L46" t="s">
        <v>20</v>
      </c>
      <c r="M46" s="5" t="str">
        <f t="shared" si="0"/>
        <v>New</v>
      </c>
      <c r="N46" s="5" t="str">
        <f>TEXT(C46,"yyyy")</f>
        <v>2023</v>
      </c>
      <c r="O46" s="5" t="str">
        <f t="shared" si="1"/>
        <v>Least or No</v>
      </c>
    </row>
    <row r="47" spans="1:15" x14ac:dyDescent="0.35">
      <c r="A47" t="s">
        <v>121</v>
      </c>
      <c r="B47" t="s">
        <v>122</v>
      </c>
      <c r="C47" s="1">
        <v>45854</v>
      </c>
      <c r="D47" t="s">
        <v>16</v>
      </c>
      <c r="E47" t="s">
        <v>24</v>
      </c>
      <c r="F47" t="s">
        <v>49</v>
      </c>
      <c r="G47">
        <v>3</v>
      </c>
      <c r="H47">
        <v>0.1</v>
      </c>
      <c r="I47">
        <v>707.4</v>
      </c>
      <c r="J47">
        <v>176.85</v>
      </c>
      <c r="K47" t="s">
        <v>26</v>
      </c>
      <c r="L47" t="s">
        <v>27</v>
      </c>
      <c r="M47" s="5" t="str">
        <f t="shared" si="0"/>
        <v>Repeat</v>
      </c>
      <c r="N47" s="5" t="str">
        <f>TEXT(C47,"yyyy")</f>
        <v>2025</v>
      </c>
      <c r="O47" s="5" t="str">
        <f t="shared" si="1"/>
        <v>Medium</v>
      </c>
    </row>
    <row r="48" spans="1:15" x14ac:dyDescent="0.35">
      <c r="A48" t="s">
        <v>123</v>
      </c>
      <c r="B48" t="s">
        <v>124</v>
      </c>
      <c r="C48" s="1">
        <v>45770</v>
      </c>
      <c r="D48" t="s">
        <v>16</v>
      </c>
      <c r="E48" t="s">
        <v>24</v>
      </c>
      <c r="F48" t="s">
        <v>30</v>
      </c>
      <c r="G48">
        <v>4</v>
      </c>
      <c r="H48">
        <v>0.05</v>
      </c>
      <c r="I48">
        <v>824.6</v>
      </c>
      <c r="J48">
        <v>164.92</v>
      </c>
      <c r="K48" t="s">
        <v>39</v>
      </c>
      <c r="L48" t="s">
        <v>27</v>
      </c>
      <c r="M48" s="5" t="str">
        <f t="shared" si="0"/>
        <v>New</v>
      </c>
      <c r="N48" s="5" t="str">
        <f>TEXT(C48,"yyyy")</f>
        <v>2025</v>
      </c>
      <c r="O48" s="5" t="str">
        <f t="shared" si="1"/>
        <v>Least or No</v>
      </c>
    </row>
    <row r="49" spans="1:15" x14ac:dyDescent="0.35">
      <c r="A49" t="s">
        <v>125</v>
      </c>
      <c r="B49" t="s">
        <v>29</v>
      </c>
      <c r="C49" s="1">
        <v>45796</v>
      </c>
      <c r="D49" t="s">
        <v>63</v>
      </c>
      <c r="E49" t="s">
        <v>17</v>
      </c>
      <c r="F49" t="s">
        <v>46</v>
      </c>
      <c r="G49">
        <v>1</v>
      </c>
      <c r="H49">
        <v>0</v>
      </c>
      <c r="I49">
        <v>297</v>
      </c>
      <c r="J49">
        <v>59.4</v>
      </c>
      <c r="K49" t="s">
        <v>26</v>
      </c>
      <c r="L49" t="s">
        <v>27</v>
      </c>
      <c r="M49" s="5" t="str">
        <f t="shared" si="0"/>
        <v>Repeat</v>
      </c>
      <c r="N49" s="5" t="str">
        <f>TEXT(C49,"yyyy")</f>
        <v>2025</v>
      </c>
      <c r="O49" s="5" t="str">
        <f t="shared" si="1"/>
        <v>Least or No</v>
      </c>
    </row>
    <row r="50" spans="1:15" x14ac:dyDescent="0.35">
      <c r="A50" t="s">
        <v>126</v>
      </c>
      <c r="B50" t="s">
        <v>127</v>
      </c>
      <c r="C50" s="1">
        <v>45000</v>
      </c>
      <c r="D50" t="s">
        <v>63</v>
      </c>
      <c r="E50" t="s">
        <v>33</v>
      </c>
      <c r="F50" t="s">
        <v>71</v>
      </c>
      <c r="G50">
        <v>3</v>
      </c>
      <c r="H50">
        <v>0.05</v>
      </c>
      <c r="I50">
        <v>273.60000000000002</v>
      </c>
      <c r="J50">
        <v>82.08</v>
      </c>
      <c r="K50" t="s">
        <v>26</v>
      </c>
      <c r="L50" t="s">
        <v>27</v>
      </c>
      <c r="M50" s="5" t="str">
        <f t="shared" si="0"/>
        <v>Repeat</v>
      </c>
      <c r="N50" s="5" t="str">
        <f>TEXT(C50,"yyyy")</f>
        <v>2023</v>
      </c>
      <c r="O50" s="5" t="str">
        <f t="shared" si="1"/>
        <v>Least or No</v>
      </c>
    </row>
    <row r="51" spans="1:15" x14ac:dyDescent="0.35">
      <c r="A51" t="s">
        <v>128</v>
      </c>
      <c r="B51" t="s">
        <v>129</v>
      </c>
      <c r="C51" s="1">
        <v>45490</v>
      </c>
      <c r="D51" t="s">
        <v>16</v>
      </c>
      <c r="E51" t="s">
        <v>17</v>
      </c>
      <c r="F51" t="s">
        <v>46</v>
      </c>
      <c r="G51">
        <v>4</v>
      </c>
      <c r="H51">
        <v>0</v>
      </c>
      <c r="I51">
        <v>912</v>
      </c>
      <c r="J51">
        <v>228</v>
      </c>
      <c r="K51" t="s">
        <v>39</v>
      </c>
      <c r="L51" t="s">
        <v>27</v>
      </c>
      <c r="M51" s="5" t="str">
        <f t="shared" si="0"/>
        <v>Repeat</v>
      </c>
      <c r="N51" s="5" t="str">
        <f>TEXT(C51,"yyyy")</f>
        <v>2024</v>
      </c>
      <c r="O51" s="5" t="str">
        <f t="shared" si="1"/>
        <v>Least or No</v>
      </c>
    </row>
    <row r="52" spans="1:15" x14ac:dyDescent="0.35">
      <c r="A52" t="s">
        <v>130</v>
      </c>
      <c r="B52" t="s">
        <v>131</v>
      </c>
      <c r="C52" s="1">
        <v>45460</v>
      </c>
      <c r="D52" t="s">
        <v>42</v>
      </c>
      <c r="E52" t="s">
        <v>17</v>
      </c>
      <c r="F52" t="s">
        <v>46</v>
      </c>
      <c r="G52">
        <v>2</v>
      </c>
      <c r="H52">
        <v>0.15</v>
      </c>
      <c r="I52">
        <v>187</v>
      </c>
      <c r="J52">
        <v>37.4</v>
      </c>
      <c r="K52" t="s">
        <v>19</v>
      </c>
      <c r="L52" t="s">
        <v>20</v>
      </c>
      <c r="M52" s="5" t="str">
        <f t="shared" si="0"/>
        <v>Repeat</v>
      </c>
      <c r="N52" s="5" t="str">
        <f>TEXT(C52,"yyyy")</f>
        <v>2024</v>
      </c>
      <c r="O52" s="5" t="str">
        <f t="shared" si="1"/>
        <v>High</v>
      </c>
    </row>
    <row r="53" spans="1:15" x14ac:dyDescent="0.35">
      <c r="A53" t="s">
        <v>132</v>
      </c>
      <c r="B53" t="s">
        <v>133</v>
      </c>
      <c r="C53" s="1">
        <v>44948</v>
      </c>
      <c r="D53" t="s">
        <v>42</v>
      </c>
      <c r="E53" t="s">
        <v>24</v>
      </c>
      <c r="F53" t="s">
        <v>25</v>
      </c>
      <c r="G53">
        <v>1</v>
      </c>
      <c r="H53">
        <v>0.1</v>
      </c>
      <c r="I53">
        <v>370.8</v>
      </c>
      <c r="J53">
        <v>92.7</v>
      </c>
      <c r="K53" t="s">
        <v>39</v>
      </c>
      <c r="L53" t="s">
        <v>27</v>
      </c>
      <c r="M53" s="5" t="str">
        <f t="shared" si="0"/>
        <v>Repeat</v>
      </c>
      <c r="N53" s="5" t="str">
        <f>TEXT(C53,"yyyy")</f>
        <v>2023</v>
      </c>
      <c r="O53" s="5" t="str">
        <f t="shared" si="1"/>
        <v>Medium</v>
      </c>
    </row>
    <row r="54" spans="1:15" x14ac:dyDescent="0.35">
      <c r="A54" t="s">
        <v>134</v>
      </c>
      <c r="B54" t="s">
        <v>135</v>
      </c>
      <c r="C54" s="1">
        <v>44976</v>
      </c>
      <c r="D54" t="s">
        <v>23</v>
      </c>
      <c r="E54" t="s">
        <v>17</v>
      </c>
      <c r="F54" t="s">
        <v>18</v>
      </c>
      <c r="G54">
        <v>4</v>
      </c>
      <c r="H54">
        <v>0.15</v>
      </c>
      <c r="I54">
        <v>367.2</v>
      </c>
      <c r="J54">
        <v>73.44</v>
      </c>
      <c r="K54" t="s">
        <v>26</v>
      </c>
      <c r="L54" t="s">
        <v>27</v>
      </c>
      <c r="M54" s="5" t="str">
        <f t="shared" si="0"/>
        <v>New</v>
      </c>
      <c r="N54" s="5" t="str">
        <f>TEXT(C54,"yyyy")</f>
        <v>2023</v>
      </c>
      <c r="O54" s="5" t="str">
        <f t="shared" si="1"/>
        <v>High</v>
      </c>
    </row>
    <row r="55" spans="1:15" x14ac:dyDescent="0.35">
      <c r="A55" t="s">
        <v>136</v>
      </c>
      <c r="B55" t="s">
        <v>127</v>
      </c>
      <c r="C55" s="1">
        <v>45691</v>
      </c>
      <c r="D55" t="s">
        <v>37</v>
      </c>
      <c r="E55" t="s">
        <v>24</v>
      </c>
      <c r="F55" t="s">
        <v>107</v>
      </c>
      <c r="G55">
        <v>1</v>
      </c>
      <c r="H55">
        <v>0.05</v>
      </c>
      <c r="I55">
        <v>171</v>
      </c>
      <c r="J55">
        <v>42.75</v>
      </c>
      <c r="K55" t="s">
        <v>39</v>
      </c>
      <c r="L55" t="s">
        <v>27</v>
      </c>
      <c r="M55" s="5" t="str">
        <f t="shared" si="0"/>
        <v>Repeat</v>
      </c>
      <c r="N55" s="5" t="str">
        <f>TEXT(C55,"yyyy")</f>
        <v>2025</v>
      </c>
      <c r="O55" s="5" t="str">
        <f t="shared" si="1"/>
        <v>Least or No</v>
      </c>
    </row>
    <row r="56" spans="1:15" x14ac:dyDescent="0.35">
      <c r="A56" t="s">
        <v>137</v>
      </c>
      <c r="B56" t="s">
        <v>138</v>
      </c>
      <c r="C56" s="1">
        <v>45757</v>
      </c>
      <c r="D56" t="s">
        <v>63</v>
      </c>
      <c r="E56" t="s">
        <v>24</v>
      </c>
      <c r="F56" t="s">
        <v>107</v>
      </c>
      <c r="G56">
        <v>2</v>
      </c>
      <c r="H56">
        <v>0.1</v>
      </c>
      <c r="I56">
        <v>297</v>
      </c>
      <c r="J56">
        <v>74.25</v>
      </c>
      <c r="K56" t="s">
        <v>26</v>
      </c>
      <c r="L56" t="s">
        <v>20</v>
      </c>
      <c r="M56" s="5" t="str">
        <f t="shared" si="0"/>
        <v>Repeat</v>
      </c>
      <c r="N56" s="5" t="str">
        <f>TEXT(C56,"yyyy")</f>
        <v>2025</v>
      </c>
      <c r="O56" s="5" t="str">
        <f t="shared" si="1"/>
        <v>Medium</v>
      </c>
    </row>
    <row r="57" spans="1:15" x14ac:dyDescent="0.35">
      <c r="A57" t="s">
        <v>139</v>
      </c>
      <c r="B57" t="s">
        <v>96</v>
      </c>
      <c r="C57" s="1">
        <v>45832</v>
      </c>
      <c r="D57" t="s">
        <v>63</v>
      </c>
      <c r="E57" t="s">
        <v>24</v>
      </c>
      <c r="F57" t="s">
        <v>30</v>
      </c>
      <c r="G57">
        <v>1</v>
      </c>
      <c r="H57">
        <v>0.1</v>
      </c>
      <c r="I57">
        <v>73.8</v>
      </c>
      <c r="J57">
        <v>18.45</v>
      </c>
      <c r="K57" t="s">
        <v>39</v>
      </c>
      <c r="L57" t="s">
        <v>20</v>
      </c>
      <c r="M57" s="5" t="str">
        <f t="shared" si="0"/>
        <v>Repeat</v>
      </c>
      <c r="N57" s="5" t="str">
        <f>TEXT(C57,"yyyy")</f>
        <v>2025</v>
      </c>
      <c r="O57" s="5" t="str">
        <f t="shared" si="1"/>
        <v>Medium</v>
      </c>
    </row>
    <row r="58" spans="1:15" x14ac:dyDescent="0.35">
      <c r="A58" t="s">
        <v>140</v>
      </c>
      <c r="B58" t="s">
        <v>141</v>
      </c>
      <c r="C58" s="1">
        <v>45455</v>
      </c>
      <c r="D58" t="s">
        <v>37</v>
      </c>
      <c r="E58" t="s">
        <v>33</v>
      </c>
      <c r="F58" t="s">
        <v>38</v>
      </c>
      <c r="G58">
        <v>1</v>
      </c>
      <c r="H58">
        <v>0.1</v>
      </c>
      <c r="I58">
        <v>96.3</v>
      </c>
      <c r="J58">
        <v>24.07</v>
      </c>
      <c r="K58" t="s">
        <v>26</v>
      </c>
      <c r="L58" t="s">
        <v>20</v>
      </c>
      <c r="M58" s="5" t="str">
        <f t="shared" si="0"/>
        <v>New</v>
      </c>
      <c r="N58" s="5" t="str">
        <f>TEXT(C58,"yyyy")</f>
        <v>2024</v>
      </c>
      <c r="O58" s="5" t="str">
        <f t="shared" si="1"/>
        <v>Medium</v>
      </c>
    </row>
    <row r="59" spans="1:15" x14ac:dyDescent="0.35">
      <c r="A59" t="s">
        <v>142</v>
      </c>
      <c r="B59" t="s">
        <v>122</v>
      </c>
      <c r="C59" s="1">
        <v>45750</v>
      </c>
      <c r="D59" t="s">
        <v>63</v>
      </c>
      <c r="E59" t="s">
        <v>33</v>
      </c>
      <c r="F59" t="s">
        <v>43</v>
      </c>
      <c r="G59">
        <v>2</v>
      </c>
      <c r="H59">
        <v>0.05</v>
      </c>
      <c r="I59">
        <v>684</v>
      </c>
      <c r="J59">
        <v>205.2</v>
      </c>
      <c r="K59" t="s">
        <v>26</v>
      </c>
      <c r="L59" t="s">
        <v>27</v>
      </c>
      <c r="M59" s="5" t="str">
        <f t="shared" si="0"/>
        <v>Repeat</v>
      </c>
      <c r="N59" s="5" t="str">
        <f>TEXT(C59,"yyyy")</f>
        <v>2025</v>
      </c>
      <c r="O59" s="5" t="str">
        <f t="shared" si="1"/>
        <v>Least or No</v>
      </c>
    </row>
    <row r="60" spans="1:15" x14ac:dyDescent="0.35">
      <c r="A60" t="s">
        <v>143</v>
      </c>
      <c r="B60" t="s">
        <v>144</v>
      </c>
      <c r="C60" s="1">
        <v>45371</v>
      </c>
      <c r="D60" t="s">
        <v>23</v>
      </c>
      <c r="E60" t="s">
        <v>17</v>
      </c>
      <c r="F60" t="s">
        <v>78</v>
      </c>
      <c r="G60">
        <v>2</v>
      </c>
      <c r="H60">
        <v>0</v>
      </c>
      <c r="I60">
        <v>712</v>
      </c>
      <c r="J60">
        <v>178</v>
      </c>
      <c r="K60" t="s">
        <v>19</v>
      </c>
      <c r="L60" t="s">
        <v>27</v>
      </c>
      <c r="M60" s="5" t="str">
        <f t="shared" si="0"/>
        <v>Repeat</v>
      </c>
      <c r="N60" s="5" t="str">
        <f>TEXT(C60,"yyyy")</f>
        <v>2024</v>
      </c>
      <c r="O60" s="5" t="str">
        <f t="shared" si="1"/>
        <v>Least or No</v>
      </c>
    </row>
    <row r="61" spans="1:15" x14ac:dyDescent="0.35">
      <c r="A61" t="s">
        <v>145</v>
      </c>
      <c r="B61" t="s">
        <v>146</v>
      </c>
      <c r="C61" s="1">
        <v>44953</v>
      </c>
      <c r="D61" t="s">
        <v>23</v>
      </c>
      <c r="E61" t="s">
        <v>33</v>
      </c>
      <c r="F61" t="s">
        <v>43</v>
      </c>
      <c r="G61">
        <v>3</v>
      </c>
      <c r="H61">
        <v>0.05</v>
      </c>
      <c r="I61">
        <v>963.3</v>
      </c>
      <c r="J61">
        <v>240.82</v>
      </c>
      <c r="K61" t="s">
        <v>26</v>
      </c>
      <c r="L61" t="s">
        <v>20</v>
      </c>
      <c r="M61" s="5" t="str">
        <f t="shared" si="0"/>
        <v>Repeat</v>
      </c>
      <c r="N61" s="5" t="str">
        <f>TEXT(C61,"yyyy")</f>
        <v>2023</v>
      </c>
      <c r="O61" s="5" t="str">
        <f t="shared" si="1"/>
        <v>Least or No</v>
      </c>
    </row>
    <row r="62" spans="1:15" x14ac:dyDescent="0.35">
      <c r="A62" t="s">
        <v>147</v>
      </c>
      <c r="B62" t="s">
        <v>22</v>
      </c>
      <c r="C62" s="1">
        <v>45947</v>
      </c>
      <c r="D62" t="s">
        <v>23</v>
      </c>
      <c r="E62" t="s">
        <v>17</v>
      </c>
      <c r="F62" t="s">
        <v>58</v>
      </c>
      <c r="G62">
        <v>2</v>
      </c>
      <c r="H62">
        <v>0.15</v>
      </c>
      <c r="I62">
        <v>664.7</v>
      </c>
      <c r="J62">
        <v>132.94</v>
      </c>
      <c r="K62" t="s">
        <v>26</v>
      </c>
      <c r="L62" t="s">
        <v>27</v>
      </c>
      <c r="M62" s="5" t="str">
        <f t="shared" si="0"/>
        <v>Repeat</v>
      </c>
      <c r="N62" s="5" t="str">
        <f>TEXT(C62,"yyyy")</f>
        <v>2025</v>
      </c>
      <c r="O62" s="5" t="str">
        <f t="shared" si="1"/>
        <v>High</v>
      </c>
    </row>
    <row r="63" spans="1:15" x14ac:dyDescent="0.35">
      <c r="A63" t="s">
        <v>148</v>
      </c>
      <c r="B63" t="s">
        <v>60</v>
      </c>
      <c r="C63" s="1">
        <v>45122</v>
      </c>
      <c r="D63" t="s">
        <v>63</v>
      </c>
      <c r="E63" t="s">
        <v>33</v>
      </c>
      <c r="F63" t="s">
        <v>66</v>
      </c>
      <c r="G63">
        <v>4</v>
      </c>
      <c r="H63">
        <v>0.05</v>
      </c>
      <c r="I63">
        <v>1599.8</v>
      </c>
      <c r="J63">
        <v>319.95999999999998</v>
      </c>
      <c r="K63" t="s">
        <v>19</v>
      </c>
      <c r="L63" t="s">
        <v>27</v>
      </c>
      <c r="M63" s="5" t="str">
        <f t="shared" si="0"/>
        <v>Repeat</v>
      </c>
      <c r="N63" s="5" t="str">
        <f>TEXT(C63,"yyyy")</f>
        <v>2023</v>
      </c>
      <c r="O63" s="5" t="str">
        <f t="shared" si="1"/>
        <v>Least or No</v>
      </c>
    </row>
    <row r="64" spans="1:15" x14ac:dyDescent="0.35">
      <c r="A64" t="s">
        <v>149</v>
      </c>
      <c r="B64" t="s">
        <v>150</v>
      </c>
      <c r="C64" s="1">
        <v>45046</v>
      </c>
      <c r="D64" t="s">
        <v>37</v>
      </c>
      <c r="E64" t="s">
        <v>33</v>
      </c>
      <c r="F64" t="s">
        <v>43</v>
      </c>
      <c r="G64">
        <v>4</v>
      </c>
      <c r="H64">
        <v>0.15</v>
      </c>
      <c r="I64">
        <v>295.8</v>
      </c>
      <c r="J64">
        <v>59.16</v>
      </c>
      <c r="K64" t="s">
        <v>39</v>
      </c>
      <c r="L64" t="s">
        <v>20</v>
      </c>
      <c r="M64" s="5" t="str">
        <f t="shared" si="0"/>
        <v>Repeat</v>
      </c>
      <c r="N64" s="5" t="str">
        <f>TEXT(C64,"yyyy")</f>
        <v>2023</v>
      </c>
      <c r="O64" s="5" t="str">
        <f t="shared" si="1"/>
        <v>High</v>
      </c>
    </row>
    <row r="65" spans="1:15" x14ac:dyDescent="0.35">
      <c r="A65" t="s">
        <v>151</v>
      </c>
      <c r="B65" t="s">
        <v>77</v>
      </c>
      <c r="C65" s="1">
        <v>46004</v>
      </c>
      <c r="D65" t="s">
        <v>37</v>
      </c>
      <c r="E65" t="s">
        <v>17</v>
      </c>
      <c r="F65" t="s">
        <v>78</v>
      </c>
      <c r="G65">
        <v>4</v>
      </c>
      <c r="H65">
        <v>0.15</v>
      </c>
      <c r="I65">
        <v>768.4</v>
      </c>
      <c r="J65">
        <v>230.52</v>
      </c>
      <c r="K65" t="s">
        <v>19</v>
      </c>
      <c r="L65" t="s">
        <v>20</v>
      </c>
      <c r="M65" s="5" t="str">
        <f t="shared" si="0"/>
        <v>Repeat</v>
      </c>
      <c r="N65" s="5" t="str">
        <f>TEXT(C65,"yyyy")</f>
        <v>2025</v>
      </c>
      <c r="O65" s="5" t="str">
        <f t="shared" si="1"/>
        <v>High</v>
      </c>
    </row>
    <row r="66" spans="1:15" x14ac:dyDescent="0.35">
      <c r="A66" t="s">
        <v>152</v>
      </c>
      <c r="B66" t="s">
        <v>62</v>
      </c>
      <c r="C66" s="1">
        <v>45965</v>
      </c>
      <c r="D66" t="s">
        <v>42</v>
      </c>
      <c r="E66" t="s">
        <v>17</v>
      </c>
      <c r="F66" t="s">
        <v>58</v>
      </c>
      <c r="G66">
        <v>4</v>
      </c>
      <c r="H66">
        <v>0.15</v>
      </c>
      <c r="I66">
        <v>561</v>
      </c>
      <c r="J66">
        <v>112.2</v>
      </c>
      <c r="K66" t="s">
        <v>39</v>
      </c>
      <c r="L66" t="s">
        <v>20</v>
      </c>
      <c r="M66" s="5" t="str">
        <f t="shared" si="0"/>
        <v>New</v>
      </c>
      <c r="N66" s="5" t="str">
        <f>TEXT(C66,"yyyy")</f>
        <v>2025</v>
      </c>
      <c r="O66" s="5" t="str">
        <f t="shared" si="1"/>
        <v>High</v>
      </c>
    </row>
    <row r="67" spans="1:15" x14ac:dyDescent="0.35">
      <c r="A67" t="s">
        <v>153</v>
      </c>
      <c r="B67" t="s">
        <v>154</v>
      </c>
      <c r="C67" s="1">
        <v>45680</v>
      </c>
      <c r="D67" t="s">
        <v>42</v>
      </c>
      <c r="E67" t="s">
        <v>24</v>
      </c>
      <c r="F67" t="s">
        <v>25</v>
      </c>
      <c r="G67">
        <v>2</v>
      </c>
      <c r="H67">
        <v>0.05</v>
      </c>
      <c r="I67">
        <v>798</v>
      </c>
      <c r="J67">
        <v>159.6</v>
      </c>
      <c r="K67" t="s">
        <v>39</v>
      </c>
      <c r="L67" t="s">
        <v>27</v>
      </c>
      <c r="M67" s="5" t="str">
        <f t="shared" ref="M67:M130" si="2">IF(COUNTIF(B:B,B67)&gt;1,"Repeat","New")</f>
        <v>Repeat</v>
      </c>
      <c r="N67" s="5" t="str">
        <f>TEXT(C67,"yyyy")</f>
        <v>2025</v>
      </c>
      <c r="O67" s="5" t="str">
        <f t="shared" ref="O67:O130" si="3">IF(H67&gt;=0.15,"High",IF(H67&gt;=0.1,"Medium","Least or No"))</f>
        <v>Least or No</v>
      </c>
    </row>
    <row r="68" spans="1:15" x14ac:dyDescent="0.35">
      <c r="A68" t="s">
        <v>155</v>
      </c>
      <c r="B68" t="s">
        <v>156</v>
      </c>
      <c r="C68" s="1">
        <v>45122</v>
      </c>
      <c r="D68" t="s">
        <v>23</v>
      </c>
      <c r="E68" t="s">
        <v>33</v>
      </c>
      <c r="F68" t="s">
        <v>38</v>
      </c>
      <c r="G68">
        <v>4</v>
      </c>
      <c r="H68">
        <v>0</v>
      </c>
      <c r="I68">
        <v>888</v>
      </c>
      <c r="J68">
        <v>266.39999999999998</v>
      </c>
      <c r="K68" t="s">
        <v>26</v>
      </c>
      <c r="L68" t="s">
        <v>27</v>
      </c>
      <c r="M68" s="5" t="str">
        <f t="shared" si="2"/>
        <v>Repeat</v>
      </c>
      <c r="N68" s="5" t="str">
        <f>TEXT(C68,"yyyy")</f>
        <v>2023</v>
      </c>
      <c r="O68" s="5" t="str">
        <f t="shared" si="3"/>
        <v>Least or No</v>
      </c>
    </row>
    <row r="69" spans="1:15" x14ac:dyDescent="0.35">
      <c r="A69" t="s">
        <v>157</v>
      </c>
      <c r="B69" t="s">
        <v>90</v>
      </c>
      <c r="C69" s="1">
        <v>45123</v>
      </c>
      <c r="D69" t="s">
        <v>63</v>
      </c>
      <c r="E69" t="s">
        <v>17</v>
      </c>
      <c r="F69" t="s">
        <v>46</v>
      </c>
      <c r="G69">
        <v>2</v>
      </c>
      <c r="H69">
        <v>0</v>
      </c>
      <c r="I69">
        <v>348</v>
      </c>
      <c r="J69">
        <v>87</v>
      </c>
      <c r="K69" t="s">
        <v>39</v>
      </c>
      <c r="L69" t="s">
        <v>20</v>
      </c>
      <c r="M69" s="5" t="str">
        <f t="shared" si="2"/>
        <v>Repeat</v>
      </c>
      <c r="N69" s="5" t="str">
        <f>TEXT(C69,"yyyy")</f>
        <v>2023</v>
      </c>
      <c r="O69" s="5" t="str">
        <f t="shared" si="3"/>
        <v>Least or No</v>
      </c>
    </row>
    <row r="70" spans="1:15" x14ac:dyDescent="0.35">
      <c r="A70" t="s">
        <v>158</v>
      </c>
      <c r="B70" t="s">
        <v>159</v>
      </c>
      <c r="C70" s="1">
        <v>45207</v>
      </c>
      <c r="D70" t="s">
        <v>16</v>
      </c>
      <c r="E70" t="s">
        <v>24</v>
      </c>
      <c r="F70" t="s">
        <v>49</v>
      </c>
      <c r="G70">
        <v>1</v>
      </c>
      <c r="H70">
        <v>0</v>
      </c>
      <c r="I70">
        <v>311</v>
      </c>
      <c r="J70">
        <v>77.75</v>
      </c>
      <c r="K70" t="s">
        <v>19</v>
      </c>
      <c r="L70" t="s">
        <v>27</v>
      </c>
      <c r="M70" s="5" t="str">
        <f t="shared" si="2"/>
        <v>Repeat</v>
      </c>
      <c r="N70" s="5" t="str">
        <f>TEXT(C70,"yyyy")</f>
        <v>2023</v>
      </c>
      <c r="O70" s="5" t="str">
        <f t="shared" si="3"/>
        <v>Least or No</v>
      </c>
    </row>
    <row r="71" spans="1:15" x14ac:dyDescent="0.35">
      <c r="A71" t="s">
        <v>160</v>
      </c>
      <c r="B71" t="s">
        <v>65</v>
      </c>
      <c r="C71" s="1">
        <v>45900</v>
      </c>
      <c r="D71" t="s">
        <v>37</v>
      </c>
      <c r="E71" t="s">
        <v>33</v>
      </c>
      <c r="F71" t="s">
        <v>38</v>
      </c>
      <c r="G71">
        <v>1</v>
      </c>
      <c r="H71">
        <v>0.15</v>
      </c>
      <c r="I71">
        <v>326.39999999999998</v>
      </c>
      <c r="J71">
        <v>65.28</v>
      </c>
      <c r="K71" t="s">
        <v>19</v>
      </c>
      <c r="L71" t="s">
        <v>20</v>
      </c>
      <c r="M71" s="5" t="str">
        <f t="shared" si="2"/>
        <v>Repeat</v>
      </c>
      <c r="N71" s="5" t="str">
        <f>TEXT(C71,"yyyy")</f>
        <v>2025</v>
      </c>
      <c r="O71" s="5" t="str">
        <f t="shared" si="3"/>
        <v>High</v>
      </c>
    </row>
    <row r="72" spans="1:15" x14ac:dyDescent="0.35">
      <c r="A72" t="s">
        <v>161</v>
      </c>
      <c r="B72" t="s">
        <v>162</v>
      </c>
      <c r="C72" s="1">
        <v>45879</v>
      </c>
      <c r="D72" t="s">
        <v>37</v>
      </c>
      <c r="E72" t="s">
        <v>17</v>
      </c>
      <c r="F72" t="s">
        <v>18</v>
      </c>
      <c r="G72">
        <v>3</v>
      </c>
      <c r="H72">
        <v>0.1</v>
      </c>
      <c r="I72">
        <v>1158.3</v>
      </c>
      <c r="J72">
        <v>347.49</v>
      </c>
      <c r="K72" t="s">
        <v>26</v>
      </c>
      <c r="L72" t="s">
        <v>20</v>
      </c>
      <c r="M72" s="5" t="str">
        <f t="shared" si="2"/>
        <v>Repeat</v>
      </c>
      <c r="N72" s="5" t="str">
        <f>TEXT(C72,"yyyy")</f>
        <v>2025</v>
      </c>
      <c r="O72" s="5" t="str">
        <f t="shared" si="3"/>
        <v>Medium</v>
      </c>
    </row>
    <row r="73" spans="1:15" x14ac:dyDescent="0.35">
      <c r="A73" t="s">
        <v>163</v>
      </c>
      <c r="B73" t="s">
        <v>15</v>
      </c>
      <c r="C73" s="1">
        <v>45192</v>
      </c>
      <c r="D73" t="s">
        <v>42</v>
      </c>
      <c r="E73" t="s">
        <v>33</v>
      </c>
      <c r="F73" t="s">
        <v>34</v>
      </c>
      <c r="G73">
        <v>3</v>
      </c>
      <c r="H73">
        <v>0.1</v>
      </c>
      <c r="I73">
        <v>1120.5</v>
      </c>
      <c r="J73">
        <v>280.12</v>
      </c>
      <c r="K73" t="s">
        <v>39</v>
      </c>
      <c r="L73" t="s">
        <v>20</v>
      </c>
      <c r="M73" s="5" t="str">
        <f t="shared" si="2"/>
        <v>New</v>
      </c>
      <c r="N73" s="5" t="str">
        <f>TEXT(C73,"yyyy")</f>
        <v>2023</v>
      </c>
      <c r="O73" s="5" t="str">
        <f t="shared" si="3"/>
        <v>Medium</v>
      </c>
    </row>
    <row r="74" spans="1:15" x14ac:dyDescent="0.35">
      <c r="A74" t="s">
        <v>164</v>
      </c>
      <c r="B74" t="s">
        <v>60</v>
      </c>
      <c r="C74" s="1">
        <v>45673</v>
      </c>
      <c r="D74" t="s">
        <v>63</v>
      </c>
      <c r="E74" t="s">
        <v>33</v>
      </c>
      <c r="F74" t="s">
        <v>43</v>
      </c>
      <c r="G74">
        <v>3</v>
      </c>
      <c r="H74">
        <v>0.05</v>
      </c>
      <c r="I74">
        <v>1051.6500000000001</v>
      </c>
      <c r="J74">
        <v>315.49</v>
      </c>
      <c r="K74" t="s">
        <v>39</v>
      </c>
      <c r="L74" t="s">
        <v>20</v>
      </c>
      <c r="M74" s="5" t="str">
        <f t="shared" si="2"/>
        <v>Repeat</v>
      </c>
      <c r="N74" s="5" t="str">
        <f>TEXT(C74,"yyyy")</f>
        <v>2025</v>
      </c>
      <c r="O74" s="5" t="str">
        <f t="shared" si="3"/>
        <v>Least or No</v>
      </c>
    </row>
    <row r="75" spans="1:15" x14ac:dyDescent="0.35">
      <c r="A75" t="s">
        <v>165</v>
      </c>
      <c r="B75" t="s">
        <v>166</v>
      </c>
      <c r="C75" s="1">
        <v>44999</v>
      </c>
      <c r="D75" t="s">
        <v>63</v>
      </c>
      <c r="E75" t="s">
        <v>33</v>
      </c>
      <c r="F75" t="s">
        <v>66</v>
      </c>
      <c r="G75">
        <v>2</v>
      </c>
      <c r="H75">
        <v>0.15</v>
      </c>
      <c r="I75">
        <v>571.20000000000005</v>
      </c>
      <c r="J75">
        <v>142.80000000000001</v>
      </c>
      <c r="K75" t="s">
        <v>26</v>
      </c>
      <c r="L75" t="s">
        <v>27</v>
      </c>
      <c r="M75" s="5" t="str">
        <f t="shared" si="2"/>
        <v>Repeat</v>
      </c>
      <c r="N75" s="5" t="str">
        <f>TEXT(C75,"yyyy")</f>
        <v>2023</v>
      </c>
      <c r="O75" s="5" t="str">
        <f t="shared" si="3"/>
        <v>High</v>
      </c>
    </row>
    <row r="76" spans="1:15" x14ac:dyDescent="0.35">
      <c r="A76" t="s">
        <v>167</v>
      </c>
      <c r="B76" t="s">
        <v>162</v>
      </c>
      <c r="C76" s="1">
        <v>45196</v>
      </c>
      <c r="D76" t="s">
        <v>23</v>
      </c>
      <c r="E76" t="s">
        <v>33</v>
      </c>
      <c r="F76" t="s">
        <v>34</v>
      </c>
      <c r="G76">
        <v>4</v>
      </c>
      <c r="H76">
        <v>0.1</v>
      </c>
      <c r="I76">
        <v>1195.2</v>
      </c>
      <c r="J76">
        <v>239.04</v>
      </c>
      <c r="K76" t="s">
        <v>39</v>
      </c>
      <c r="L76" t="s">
        <v>20</v>
      </c>
      <c r="M76" s="5" t="str">
        <f t="shared" si="2"/>
        <v>Repeat</v>
      </c>
      <c r="N76" s="5" t="str">
        <f>TEXT(C76,"yyyy")</f>
        <v>2023</v>
      </c>
      <c r="O76" s="5" t="str">
        <f t="shared" si="3"/>
        <v>Medium</v>
      </c>
    </row>
    <row r="77" spans="1:15" x14ac:dyDescent="0.35">
      <c r="A77" t="s">
        <v>168</v>
      </c>
      <c r="B77" t="s">
        <v>169</v>
      </c>
      <c r="C77" s="1">
        <v>44979</v>
      </c>
      <c r="D77" t="s">
        <v>37</v>
      </c>
      <c r="E77" t="s">
        <v>33</v>
      </c>
      <c r="F77" t="s">
        <v>34</v>
      </c>
      <c r="G77">
        <v>3</v>
      </c>
      <c r="H77">
        <v>0</v>
      </c>
      <c r="I77">
        <v>588</v>
      </c>
      <c r="J77">
        <v>117.6</v>
      </c>
      <c r="K77" t="s">
        <v>39</v>
      </c>
      <c r="L77" t="s">
        <v>20</v>
      </c>
      <c r="M77" s="5" t="str">
        <f t="shared" si="2"/>
        <v>New</v>
      </c>
      <c r="N77" s="5" t="str">
        <f>TEXT(C77,"yyyy")</f>
        <v>2023</v>
      </c>
      <c r="O77" s="5" t="str">
        <f t="shared" si="3"/>
        <v>Least or No</v>
      </c>
    </row>
    <row r="78" spans="1:15" x14ac:dyDescent="0.35">
      <c r="A78" t="s">
        <v>170</v>
      </c>
      <c r="B78" t="s">
        <v>127</v>
      </c>
      <c r="C78" s="1">
        <v>45737</v>
      </c>
      <c r="D78" t="s">
        <v>23</v>
      </c>
      <c r="E78" t="s">
        <v>17</v>
      </c>
      <c r="F78" t="s">
        <v>78</v>
      </c>
      <c r="G78">
        <v>2</v>
      </c>
      <c r="H78">
        <v>0.15</v>
      </c>
      <c r="I78">
        <v>175.1</v>
      </c>
      <c r="J78">
        <v>52.53</v>
      </c>
      <c r="K78" t="s">
        <v>26</v>
      </c>
      <c r="L78" t="s">
        <v>27</v>
      </c>
      <c r="M78" s="5" t="str">
        <f t="shared" si="2"/>
        <v>Repeat</v>
      </c>
      <c r="N78" s="5" t="str">
        <f>TEXT(C78,"yyyy")</f>
        <v>2025</v>
      </c>
      <c r="O78" s="5" t="str">
        <f t="shared" si="3"/>
        <v>High</v>
      </c>
    </row>
    <row r="79" spans="1:15" x14ac:dyDescent="0.35">
      <c r="A79" t="s">
        <v>171</v>
      </c>
      <c r="B79" t="s">
        <v>172</v>
      </c>
      <c r="C79" s="1">
        <v>45717</v>
      </c>
      <c r="D79" t="s">
        <v>37</v>
      </c>
      <c r="E79" t="s">
        <v>24</v>
      </c>
      <c r="F79" t="s">
        <v>30</v>
      </c>
      <c r="G79">
        <v>1</v>
      </c>
      <c r="H79">
        <v>0.15</v>
      </c>
      <c r="I79">
        <v>332.35</v>
      </c>
      <c r="J79">
        <v>99.7</v>
      </c>
      <c r="K79" t="s">
        <v>39</v>
      </c>
      <c r="L79" t="s">
        <v>27</v>
      </c>
      <c r="M79" s="5" t="str">
        <f t="shared" si="2"/>
        <v>New</v>
      </c>
      <c r="N79" s="5" t="str">
        <f>TEXT(C79,"yyyy")</f>
        <v>2025</v>
      </c>
      <c r="O79" s="5" t="str">
        <f t="shared" si="3"/>
        <v>High</v>
      </c>
    </row>
    <row r="80" spans="1:15" x14ac:dyDescent="0.35">
      <c r="A80" t="s">
        <v>173</v>
      </c>
      <c r="B80" t="s">
        <v>174</v>
      </c>
      <c r="C80" s="1">
        <v>45896</v>
      </c>
      <c r="D80" t="s">
        <v>42</v>
      </c>
      <c r="E80" t="s">
        <v>17</v>
      </c>
      <c r="F80" t="s">
        <v>46</v>
      </c>
      <c r="G80">
        <v>4</v>
      </c>
      <c r="H80">
        <v>0.15</v>
      </c>
      <c r="I80">
        <v>598.4</v>
      </c>
      <c r="J80">
        <v>149.6</v>
      </c>
      <c r="K80" t="s">
        <v>19</v>
      </c>
      <c r="L80" t="s">
        <v>20</v>
      </c>
      <c r="M80" s="5" t="str">
        <f t="shared" si="2"/>
        <v>Repeat</v>
      </c>
      <c r="N80" s="5" t="str">
        <f>TEXT(C80,"yyyy")</f>
        <v>2025</v>
      </c>
      <c r="O80" s="5" t="str">
        <f t="shared" si="3"/>
        <v>High</v>
      </c>
    </row>
    <row r="81" spans="1:15" x14ac:dyDescent="0.35">
      <c r="A81" t="s">
        <v>175</v>
      </c>
      <c r="B81" t="s">
        <v>176</v>
      </c>
      <c r="C81" s="1">
        <v>44947</v>
      </c>
      <c r="D81" t="s">
        <v>23</v>
      </c>
      <c r="E81" t="s">
        <v>33</v>
      </c>
      <c r="F81" t="s">
        <v>43</v>
      </c>
      <c r="G81">
        <v>4</v>
      </c>
      <c r="H81">
        <v>0.15</v>
      </c>
      <c r="I81">
        <v>374</v>
      </c>
      <c r="J81">
        <v>93.5</v>
      </c>
      <c r="K81" t="s">
        <v>26</v>
      </c>
      <c r="L81" t="s">
        <v>20</v>
      </c>
      <c r="M81" s="5" t="str">
        <f t="shared" si="2"/>
        <v>Repeat</v>
      </c>
      <c r="N81" s="5" t="str">
        <f>TEXT(C81,"yyyy")</f>
        <v>2023</v>
      </c>
      <c r="O81" s="5" t="str">
        <f t="shared" si="3"/>
        <v>High</v>
      </c>
    </row>
    <row r="82" spans="1:15" x14ac:dyDescent="0.35">
      <c r="A82" t="s">
        <v>177</v>
      </c>
      <c r="B82" t="s">
        <v>178</v>
      </c>
      <c r="C82" s="1">
        <v>45879</v>
      </c>
      <c r="D82" t="s">
        <v>16</v>
      </c>
      <c r="E82" t="s">
        <v>24</v>
      </c>
      <c r="F82" t="s">
        <v>30</v>
      </c>
      <c r="G82">
        <v>3</v>
      </c>
      <c r="H82">
        <v>0.15</v>
      </c>
      <c r="I82">
        <v>785.4</v>
      </c>
      <c r="J82">
        <v>157.08000000000001</v>
      </c>
      <c r="K82" t="s">
        <v>39</v>
      </c>
      <c r="L82" t="s">
        <v>20</v>
      </c>
      <c r="M82" s="5" t="str">
        <f t="shared" si="2"/>
        <v>New</v>
      </c>
      <c r="N82" s="5" t="str">
        <f>TEXT(C82,"yyyy")</f>
        <v>2025</v>
      </c>
      <c r="O82" s="5" t="str">
        <f t="shared" si="3"/>
        <v>High</v>
      </c>
    </row>
    <row r="83" spans="1:15" x14ac:dyDescent="0.35">
      <c r="A83" t="s">
        <v>179</v>
      </c>
      <c r="B83" t="s">
        <v>180</v>
      </c>
      <c r="C83" s="1">
        <v>45927</v>
      </c>
      <c r="D83" t="s">
        <v>37</v>
      </c>
      <c r="E83" t="s">
        <v>24</v>
      </c>
      <c r="F83" t="s">
        <v>107</v>
      </c>
      <c r="G83">
        <v>1</v>
      </c>
      <c r="H83">
        <v>0.05</v>
      </c>
      <c r="I83">
        <v>229.9</v>
      </c>
      <c r="J83">
        <v>57.47</v>
      </c>
      <c r="K83" t="s">
        <v>19</v>
      </c>
      <c r="L83" t="s">
        <v>20</v>
      </c>
      <c r="M83" s="5" t="str">
        <f t="shared" si="2"/>
        <v>Repeat</v>
      </c>
      <c r="N83" s="5" t="str">
        <f>TEXT(C83,"yyyy")</f>
        <v>2025</v>
      </c>
      <c r="O83" s="5" t="str">
        <f t="shared" si="3"/>
        <v>Least or No</v>
      </c>
    </row>
    <row r="84" spans="1:15" x14ac:dyDescent="0.35">
      <c r="A84" t="s">
        <v>181</v>
      </c>
      <c r="B84" t="s">
        <v>176</v>
      </c>
      <c r="C84" s="1">
        <v>45386</v>
      </c>
      <c r="D84" t="s">
        <v>63</v>
      </c>
      <c r="E84" t="s">
        <v>33</v>
      </c>
      <c r="F84" t="s">
        <v>71</v>
      </c>
      <c r="G84">
        <v>3</v>
      </c>
      <c r="H84">
        <v>0.15</v>
      </c>
      <c r="I84">
        <v>532.95000000000005</v>
      </c>
      <c r="J84">
        <v>133.24</v>
      </c>
      <c r="K84" t="s">
        <v>19</v>
      </c>
      <c r="L84" t="s">
        <v>27</v>
      </c>
      <c r="M84" s="5" t="str">
        <f t="shared" si="2"/>
        <v>Repeat</v>
      </c>
      <c r="N84" s="5" t="str">
        <f>TEXT(C84,"yyyy")</f>
        <v>2024</v>
      </c>
      <c r="O84" s="5" t="str">
        <f t="shared" si="3"/>
        <v>High</v>
      </c>
    </row>
    <row r="85" spans="1:15" x14ac:dyDescent="0.35">
      <c r="A85" t="s">
        <v>182</v>
      </c>
      <c r="B85" t="s">
        <v>183</v>
      </c>
      <c r="C85" s="1">
        <v>44985</v>
      </c>
      <c r="D85" t="s">
        <v>16</v>
      </c>
      <c r="E85" t="s">
        <v>33</v>
      </c>
      <c r="F85" t="s">
        <v>66</v>
      </c>
      <c r="G85">
        <v>3</v>
      </c>
      <c r="H85">
        <v>0.1</v>
      </c>
      <c r="I85">
        <v>818.1</v>
      </c>
      <c r="J85">
        <v>204.53</v>
      </c>
      <c r="K85" t="s">
        <v>39</v>
      </c>
      <c r="L85" t="s">
        <v>27</v>
      </c>
      <c r="M85" s="5" t="str">
        <f t="shared" si="2"/>
        <v>Repeat</v>
      </c>
      <c r="N85" s="5" t="str">
        <f>TEXT(C85,"yyyy")</f>
        <v>2023</v>
      </c>
      <c r="O85" s="5" t="str">
        <f t="shared" si="3"/>
        <v>Medium</v>
      </c>
    </row>
    <row r="86" spans="1:15" x14ac:dyDescent="0.35">
      <c r="A86" t="s">
        <v>184</v>
      </c>
      <c r="B86" t="s">
        <v>185</v>
      </c>
      <c r="C86" s="1">
        <v>45639</v>
      </c>
      <c r="D86" t="s">
        <v>16</v>
      </c>
      <c r="E86" t="s">
        <v>17</v>
      </c>
      <c r="F86" t="s">
        <v>18</v>
      </c>
      <c r="G86">
        <v>4</v>
      </c>
      <c r="H86">
        <v>0</v>
      </c>
      <c r="I86">
        <v>1028</v>
      </c>
      <c r="J86">
        <v>257</v>
      </c>
      <c r="K86" t="s">
        <v>39</v>
      </c>
      <c r="L86" t="s">
        <v>27</v>
      </c>
      <c r="M86" s="5" t="str">
        <f t="shared" si="2"/>
        <v>Repeat</v>
      </c>
      <c r="N86" s="5" t="str">
        <f>TEXT(C86,"yyyy")</f>
        <v>2024</v>
      </c>
      <c r="O86" s="5" t="str">
        <f t="shared" si="3"/>
        <v>Least or No</v>
      </c>
    </row>
    <row r="87" spans="1:15" x14ac:dyDescent="0.35">
      <c r="A87" t="s">
        <v>186</v>
      </c>
      <c r="B87" t="s">
        <v>187</v>
      </c>
      <c r="C87" s="1">
        <v>45502</v>
      </c>
      <c r="D87" t="s">
        <v>42</v>
      </c>
      <c r="E87" t="s">
        <v>33</v>
      </c>
      <c r="F87" t="s">
        <v>43</v>
      </c>
      <c r="G87">
        <v>1</v>
      </c>
      <c r="H87">
        <v>0.15</v>
      </c>
      <c r="I87">
        <v>340.85</v>
      </c>
      <c r="J87">
        <v>68.17</v>
      </c>
      <c r="K87" t="s">
        <v>19</v>
      </c>
      <c r="L87" t="s">
        <v>27</v>
      </c>
      <c r="M87" s="5" t="str">
        <f t="shared" si="2"/>
        <v>Repeat</v>
      </c>
      <c r="N87" s="5" t="str">
        <f>TEXT(C87,"yyyy")</f>
        <v>2024</v>
      </c>
      <c r="O87" s="5" t="str">
        <f t="shared" si="3"/>
        <v>High</v>
      </c>
    </row>
    <row r="88" spans="1:15" x14ac:dyDescent="0.35">
      <c r="A88" t="s">
        <v>188</v>
      </c>
      <c r="B88" t="s">
        <v>189</v>
      </c>
      <c r="C88" s="1">
        <v>45067</v>
      </c>
      <c r="D88" t="s">
        <v>63</v>
      </c>
      <c r="E88" t="s">
        <v>24</v>
      </c>
      <c r="F88" t="s">
        <v>25</v>
      </c>
      <c r="G88">
        <v>3</v>
      </c>
      <c r="H88">
        <v>0.15</v>
      </c>
      <c r="I88">
        <v>800.7</v>
      </c>
      <c r="J88">
        <v>200.17</v>
      </c>
      <c r="K88" t="s">
        <v>19</v>
      </c>
      <c r="L88" t="s">
        <v>27</v>
      </c>
      <c r="M88" s="5" t="str">
        <f t="shared" si="2"/>
        <v>Repeat</v>
      </c>
      <c r="N88" s="5" t="str">
        <f>TEXT(C88,"yyyy")</f>
        <v>2023</v>
      </c>
      <c r="O88" s="5" t="str">
        <f t="shared" si="3"/>
        <v>High</v>
      </c>
    </row>
    <row r="89" spans="1:15" x14ac:dyDescent="0.35">
      <c r="A89" t="s">
        <v>190</v>
      </c>
      <c r="B89" t="s">
        <v>75</v>
      </c>
      <c r="C89" s="1">
        <v>45035</v>
      </c>
      <c r="D89" t="s">
        <v>63</v>
      </c>
      <c r="E89" t="s">
        <v>24</v>
      </c>
      <c r="F89" t="s">
        <v>25</v>
      </c>
      <c r="G89">
        <v>4</v>
      </c>
      <c r="H89">
        <v>0.15</v>
      </c>
      <c r="I89">
        <v>289</v>
      </c>
      <c r="J89">
        <v>57.8</v>
      </c>
      <c r="K89" t="s">
        <v>19</v>
      </c>
      <c r="L89" t="s">
        <v>27</v>
      </c>
      <c r="M89" s="5" t="str">
        <f t="shared" si="2"/>
        <v>Repeat</v>
      </c>
      <c r="N89" s="5" t="str">
        <f>TEXT(C89,"yyyy")</f>
        <v>2023</v>
      </c>
      <c r="O89" s="5" t="str">
        <f t="shared" si="3"/>
        <v>High</v>
      </c>
    </row>
    <row r="90" spans="1:15" x14ac:dyDescent="0.35">
      <c r="A90" t="s">
        <v>191</v>
      </c>
      <c r="B90" t="s">
        <v>22</v>
      </c>
      <c r="C90" s="1">
        <v>45305</v>
      </c>
      <c r="D90" t="s">
        <v>23</v>
      </c>
      <c r="E90" t="s">
        <v>33</v>
      </c>
      <c r="F90" t="s">
        <v>38</v>
      </c>
      <c r="G90">
        <v>1</v>
      </c>
      <c r="H90">
        <v>0</v>
      </c>
      <c r="I90">
        <v>205</v>
      </c>
      <c r="J90">
        <v>41</v>
      </c>
      <c r="K90" t="s">
        <v>26</v>
      </c>
      <c r="L90" t="s">
        <v>27</v>
      </c>
      <c r="M90" s="5" t="str">
        <f t="shared" si="2"/>
        <v>Repeat</v>
      </c>
      <c r="N90" s="5" t="str">
        <f>TEXT(C90,"yyyy")</f>
        <v>2024</v>
      </c>
      <c r="O90" s="5" t="str">
        <f t="shared" si="3"/>
        <v>Least or No</v>
      </c>
    </row>
    <row r="91" spans="1:15" x14ac:dyDescent="0.35">
      <c r="A91" t="s">
        <v>192</v>
      </c>
      <c r="B91" t="s">
        <v>133</v>
      </c>
      <c r="C91" s="1">
        <v>45404</v>
      </c>
      <c r="D91" t="s">
        <v>42</v>
      </c>
      <c r="E91" t="s">
        <v>24</v>
      </c>
      <c r="F91" t="s">
        <v>107</v>
      </c>
      <c r="G91">
        <v>4</v>
      </c>
      <c r="H91">
        <v>0.05</v>
      </c>
      <c r="I91">
        <v>760</v>
      </c>
      <c r="J91">
        <v>190</v>
      </c>
      <c r="K91" t="s">
        <v>39</v>
      </c>
      <c r="L91" t="s">
        <v>20</v>
      </c>
      <c r="M91" s="5" t="str">
        <f t="shared" si="2"/>
        <v>Repeat</v>
      </c>
      <c r="N91" s="5" t="str">
        <f>TEXT(C91,"yyyy")</f>
        <v>2024</v>
      </c>
      <c r="O91" s="5" t="str">
        <f t="shared" si="3"/>
        <v>Least or No</v>
      </c>
    </row>
    <row r="92" spans="1:15" x14ac:dyDescent="0.35">
      <c r="A92" t="s">
        <v>193</v>
      </c>
      <c r="B92" t="s">
        <v>70</v>
      </c>
      <c r="C92" s="1">
        <v>45629</v>
      </c>
      <c r="D92" t="s">
        <v>63</v>
      </c>
      <c r="E92" t="s">
        <v>17</v>
      </c>
      <c r="F92" t="s">
        <v>78</v>
      </c>
      <c r="G92">
        <v>3</v>
      </c>
      <c r="H92">
        <v>0</v>
      </c>
      <c r="I92">
        <v>948</v>
      </c>
      <c r="J92">
        <v>284.39999999999998</v>
      </c>
      <c r="K92" t="s">
        <v>39</v>
      </c>
      <c r="L92" t="s">
        <v>20</v>
      </c>
      <c r="M92" s="5" t="str">
        <f t="shared" si="2"/>
        <v>Repeat</v>
      </c>
      <c r="N92" s="5" t="str">
        <f>TEXT(C92,"yyyy")</f>
        <v>2024</v>
      </c>
      <c r="O92" s="5" t="str">
        <f t="shared" si="3"/>
        <v>Least or No</v>
      </c>
    </row>
    <row r="93" spans="1:15" x14ac:dyDescent="0.35">
      <c r="A93" t="s">
        <v>194</v>
      </c>
      <c r="B93" t="s">
        <v>195</v>
      </c>
      <c r="C93" s="1">
        <v>44932</v>
      </c>
      <c r="D93" t="s">
        <v>37</v>
      </c>
      <c r="E93" t="s">
        <v>24</v>
      </c>
      <c r="F93" t="s">
        <v>25</v>
      </c>
      <c r="G93">
        <v>2</v>
      </c>
      <c r="H93">
        <v>0</v>
      </c>
      <c r="I93">
        <v>328</v>
      </c>
      <c r="J93">
        <v>65.599999999999994</v>
      </c>
      <c r="K93" t="s">
        <v>26</v>
      </c>
      <c r="L93" t="s">
        <v>27</v>
      </c>
      <c r="M93" s="5" t="str">
        <f t="shared" si="2"/>
        <v>Repeat</v>
      </c>
      <c r="N93" s="5" t="str">
        <f>TEXT(C93,"yyyy")</f>
        <v>2023</v>
      </c>
      <c r="O93" s="5" t="str">
        <f t="shared" si="3"/>
        <v>Least or No</v>
      </c>
    </row>
    <row r="94" spans="1:15" x14ac:dyDescent="0.35">
      <c r="A94" t="s">
        <v>196</v>
      </c>
      <c r="B94" t="s">
        <v>55</v>
      </c>
      <c r="C94" s="1">
        <v>45731</v>
      </c>
      <c r="D94" t="s">
        <v>42</v>
      </c>
      <c r="E94" t="s">
        <v>24</v>
      </c>
      <c r="F94" t="s">
        <v>49</v>
      </c>
      <c r="G94">
        <v>3</v>
      </c>
      <c r="H94">
        <v>0.15</v>
      </c>
      <c r="I94">
        <v>1114.3499999999999</v>
      </c>
      <c r="J94">
        <v>222.87</v>
      </c>
      <c r="K94" t="s">
        <v>19</v>
      </c>
      <c r="L94" t="s">
        <v>20</v>
      </c>
      <c r="M94" s="5" t="str">
        <f t="shared" si="2"/>
        <v>Repeat</v>
      </c>
      <c r="N94" s="5" t="str">
        <f>TEXT(C94,"yyyy")</f>
        <v>2025</v>
      </c>
      <c r="O94" s="5" t="str">
        <f t="shared" si="3"/>
        <v>High</v>
      </c>
    </row>
    <row r="95" spans="1:15" x14ac:dyDescent="0.35">
      <c r="A95" t="s">
        <v>197</v>
      </c>
      <c r="B95" t="s">
        <v>198</v>
      </c>
      <c r="C95" s="1">
        <v>45610</v>
      </c>
      <c r="D95" t="s">
        <v>37</v>
      </c>
      <c r="E95" t="s">
        <v>24</v>
      </c>
      <c r="F95" t="s">
        <v>49</v>
      </c>
      <c r="G95">
        <v>4</v>
      </c>
      <c r="H95">
        <v>0.05</v>
      </c>
      <c r="I95">
        <v>319.2</v>
      </c>
      <c r="J95">
        <v>79.8</v>
      </c>
      <c r="K95" t="s">
        <v>19</v>
      </c>
      <c r="L95" t="s">
        <v>27</v>
      </c>
      <c r="M95" s="5" t="str">
        <f t="shared" si="2"/>
        <v>Repeat</v>
      </c>
      <c r="N95" s="5" t="str">
        <f>TEXT(C95,"yyyy")</f>
        <v>2024</v>
      </c>
      <c r="O95" s="5" t="str">
        <f t="shared" si="3"/>
        <v>Least or No</v>
      </c>
    </row>
    <row r="96" spans="1:15" x14ac:dyDescent="0.35">
      <c r="A96" t="s">
        <v>199</v>
      </c>
      <c r="B96" t="s">
        <v>45</v>
      </c>
      <c r="C96" s="1">
        <v>45554</v>
      </c>
      <c r="D96" t="s">
        <v>37</v>
      </c>
      <c r="E96" t="s">
        <v>24</v>
      </c>
      <c r="F96" t="s">
        <v>107</v>
      </c>
      <c r="G96">
        <v>4</v>
      </c>
      <c r="H96">
        <v>0</v>
      </c>
      <c r="I96">
        <v>1636</v>
      </c>
      <c r="J96">
        <v>409</v>
      </c>
      <c r="K96" t="s">
        <v>26</v>
      </c>
      <c r="L96" t="s">
        <v>20</v>
      </c>
      <c r="M96" s="5" t="str">
        <f t="shared" si="2"/>
        <v>Repeat</v>
      </c>
      <c r="N96" s="5" t="str">
        <f>TEXT(C96,"yyyy")</f>
        <v>2024</v>
      </c>
      <c r="O96" s="5" t="str">
        <f t="shared" si="3"/>
        <v>Least or No</v>
      </c>
    </row>
    <row r="97" spans="1:15" x14ac:dyDescent="0.35">
      <c r="A97" t="s">
        <v>200</v>
      </c>
      <c r="B97" t="s">
        <v>129</v>
      </c>
      <c r="C97" s="1">
        <v>45685</v>
      </c>
      <c r="D97" t="s">
        <v>42</v>
      </c>
      <c r="E97" t="s">
        <v>33</v>
      </c>
      <c r="F97" t="s">
        <v>66</v>
      </c>
      <c r="G97">
        <v>1</v>
      </c>
      <c r="H97">
        <v>0</v>
      </c>
      <c r="I97">
        <v>414</v>
      </c>
      <c r="J97">
        <v>124.2</v>
      </c>
      <c r="K97" t="s">
        <v>19</v>
      </c>
      <c r="L97" t="s">
        <v>27</v>
      </c>
      <c r="M97" s="5" t="str">
        <f t="shared" si="2"/>
        <v>Repeat</v>
      </c>
      <c r="N97" s="5" t="str">
        <f>TEXT(C97,"yyyy")</f>
        <v>2025</v>
      </c>
      <c r="O97" s="5" t="str">
        <f t="shared" si="3"/>
        <v>Least or No</v>
      </c>
    </row>
    <row r="98" spans="1:15" x14ac:dyDescent="0.35">
      <c r="A98" t="s">
        <v>201</v>
      </c>
      <c r="B98" t="s">
        <v>202</v>
      </c>
      <c r="C98" s="1">
        <v>45194</v>
      </c>
      <c r="D98" t="s">
        <v>23</v>
      </c>
      <c r="E98" t="s">
        <v>33</v>
      </c>
      <c r="F98" t="s">
        <v>71</v>
      </c>
      <c r="G98">
        <v>4</v>
      </c>
      <c r="H98">
        <v>0.15</v>
      </c>
      <c r="I98">
        <v>1159.4000000000001</v>
      </c>
      <c r="J98">
        <v>347.82</v>
      </c>
      <c r="K98" t="s">
        <v>19</v>
      </c>
      <c r="L98" t="s">
        <v>27</v>
      </c>
      <c r="M98" s="5" t="str">
        <f t="shared" si="2"/>
        <v>Repeat</v>
      </c>
      <c r="N98" s="5" t="str">
        <f>TEXT(C98,"yyyy")</f>
        <v>2023</v>
      </c>
      <c r="O98" s="5" t="str">
        <f t="shared" si="3"/>
        <v>High</v>
      </c>
    </row>
    <row r="99" spans="1:15" x14ac:dyDescent="0.35">
      <c r="A99" t="s">
        <v>203</v>
      </c>
      <c r="B99" t="s">
        <v>204</v>
      </c>
      <c r="C99" s="1">
        <v>45739</v>
      </c>
      <c r="D99" t="s">
        <v>37</v>
      </c>
      <c r="E99" t="s">
        <v>24</v>
      </c>
      <c r="F99" t="s">
        <v>49</v>
      </c>
      <c r="G99">
        <v>3</v>
      </c>
      <c r="H99">
        <v>0</v>
      </c>
      <c r="I99">
        <v>1263</v>
      </c>
      <c r="J99">
        <v>252.6</v>
      </c>
      <c r="K99" t="s">
        <v>19</v>
      </c>
      <c r="L99" t="s">
        <v>27</v>
      </c>
      <c r="M99" s="5" t="str">
        <f t="shared" si="2"/>
        <v>Repeat</v>
      </c>
      <c r="N99" s="5" t="str">
        <f>TEXT(C99,"yyyy")</f>
        <v>2025</v>
      </c>
      <c r="O99" s="5" t="str">
        <f t="shared" si="3"/>
        <v>Least or No</v>
      </c>
    </row>
    <row r="100" spans="1:15" x14ac:dyDescent="0.35">
      <c r="A100" t="s">
        <v>205</v>
      </c>
      <c r="B100" t="s">
        <v>60</v>
      </c>
      <c r="C100" s="1">
        <v>45222</v>
      </c>
      <c r="D100" t="s">
        <v>16</v>
      </c>
      <c r="E100" t="s">
        <v>24</v>
      </c>
      <c r="F100" t="s">
        <v>30</v>
      </c>
      <c r="G100">
        <v>3</v>
      </c>
      <c r="H100">
        <v>0.1</v>
      </c>
      <c r="I100">
        <v>469.8</v>
      </c>
      <c r="J100">
        <v>93.96</v>
      </c>
      <c r="K100" t="s">
        <v>39</v>
      </c>
      <c r="L100" t="s">
        <v>27</v>
      </c>
      <c r="M100" s="5" t="str">
        <f t="shared" si="2"/>
        <v>Repeat</v>
      </c>
      <c r="N100" s="5" t="str">
        <f>TEXT(C100,"yyyy")</f>
        <v>2023</v>
      </c>
      <c r="O100" s="5" t="str">
        <f t="shared" si="3"/>
        <v>Medium</v>
      </c>
    </row>
    <row r="101" spans="1:15" x14ac:dyDescent="0.35">
      <c r="A101" t="s">
        <v>206</v>
      </c>
      <c r="B101" t="s">
        <v>207</v>
      </c>
      <c r="C101" s="1">
        <v>45639</v>
      </c>
      <c r="D101" t="s">
        <v>63</v>
      </c>
      <c r="E101" t="s">
        <v>33</v>
      </c>
      <c r="F101" t="s">
        <v>66</v>
      </c>
      <c r="G101">
        <v>3</v>
      </c>
      <c r="H101">
        <v>0.15</v>
      </c>
      <c r="I101">
        <v>535.5</v>
      </c>
      <c r="J101">
        <v>107.1</v>
      </c>
      <c r="K101" t="s">
        <v>26</v>
      </c>
      <c r="L101" t="s">
        <v>27</v>
      </c>
      <c r="M101" s="5" t="str">
        <f t="shared" si="2"/>
        <v>Repeat</v>
      </c>
      <c r="N101" s="5" t="str">
        <f>TEXT(C101,"yyyy")</f>
        <v>2024</v>
      </c>
      <c r="O101" s="5" t="str">
        <f t="shared" si="3"/>
        <v>High</v>
      </c>
    </row>
    <row r="102" spans="1:15" x14ac:dyDescent="0.35">
      <c r="A102" t="s">
        <v>208</v>
      </c>
      <c r="B102" t="s">
        <v>176</v>
      </c>
      <c r="C102" s="1">
        <v>45207</v>
      </c>
      <c r="D102" t="s">
        <v>63</v>
      </c>
      <c r="E102" t="s">
        <v>33</v>
      </c>
      <c r="F102" t="s">
        <v>34</v>
      </c>
      <c r="G102">
        <v>3</v>
      </c>
      <c r="H102">
        <v>0.15</v>
      </c>
      <c r="I102">
        <v>997.05</v>
      </c>
      <c r="J102">
        <v>249.26</v>
      </c>
      <c r="K102" t="s">
        <v>19</v>
      </c>
      <c r="L102" t="s">
        <v>20</v>
      </c>
      <c r="M102" s="5" t="str">
        <f t="shared" si="2"/>
        <v>Repeat</v>
      </c>
      <c r="N102" s="5" t="str">
        <f>TEXT(C102,"yyyy")</f>
        <v>2023</v>
      </c>
      <c r="O102" s="5" t="str">
        <f t="shared" si="3"/>
        <v>High</v>
      </c>
    </row>
    <row r="103" spans="1:15" x14ac:dyDescent="0.35">
      <c r="A103" t="s">
        <v>209</v>
      </c>
      <c r="B103" t="s">
        <v>210</v>
      </c>
      <c r="C103" s="1">
        <v>45816</v>
      </c>
      <c r="D103" t="s">
        <v>63</v>
      </c>
      <c r="E103" t="s">
        <v>24</v>
      </c>
      <c r="F103" t="s">
        <v>25</v>
      </c>
      <c r="G103">
        <v>3</v>
      </c>
      <c r="H103">
        <v>0.1</v>
      </c>
      <c r="I103">
        <v>699.3</v>
      </c>
      <c r="J103">
        <v>174.83</v>
      </c>
      <c r="K103" t="s">
        <v>39</v>
      </c>
      <c r="L103" t="s">
        <v>20</v>
      </c>
      <c r="M103" s="5" t="str">
        <f t="shared" si="2"/>
        <v>Repeat</v>
      </c>
      <c r="N103" s="5" t="str">
        <f>TEXT(C103,"yyyy")</f>
        <v>2025</v>
      </c>
      <c r="O103" s="5" t="str">
        <f t="shared" si="3"/>
        <v>Medium</v>
      </c>
    </row>
    <row r="104" spans="1:15" x14ac:dyDescent="0.35">
      <c r="A104" t="s">
        <v>211</v>
      </c>
      <c r="B104" t="s">
        <v>212</v>
      </c>
      <c r="C104" s="1">
        <v>45505</v>
      </c>
      <c r="D104" t="s">
        <v>37</v>
      </c>
      <c r="E104" t="s">
        <v>17</v>
      </c>
      <c r="F104" t="s">
        <v>18</v>
      </c>
      <c r="G104">
        <v>1</v>
      </c>
      <c r="H104">
        <v>0.15</v>
      </c>
      <c r="I104">
        <v>188.7</v>
      </c>
      <c r="J104">
        <v>37.74</v>
      </c>
      <c r="K104" t="s">
        <v>39</v>
      </c>
      <c r="L104" t="s">
        <v>20</v>
      </c>
      <c r="M104" s="5" t="str">
        <f t="shared" si="2"/>
        <v>New</v>
      </c>
      <c r="N104" s="5" t="str">
        <f>TEXT(C104,"yyyy")</f>
        <v>2024</v>
      </c>
      <c r="O104" s="5" t="str">
        <f t="shared" si="3"/>
        <v>High</v>
      </c>
    </row>
    <row r="105" spans="1:15" x14ac:dyDescent="0.35">
      <c r="A105" t="s">
        <v>213</v>
      </c>
      <c r="B105" t="s">
        <v>150</v>
      </c>
      <c r="C105" s="1">
        <v>45707</v>
      </c>
      <c r="D105" t="s">
        <v>23</v>
      </c>
      <c r="E105" t="s">
        <v>17</v>
      </c>
      <c r="F105" t="s">
        <v>78</v>
      </c>
      <c r="G105">
        <v>1</v>
      </c>
      <c r="H105">
        <v>0.05</v>
      </c>
      <c r="I105">
        <v>427.5</v>
      </c>
      <c r="J105">
        <v>85.5</v>
      </c>
      <c r="K105" t="s">
        <v>26</v>
      </c>
      <c r="L105" t="s">
        <v>27</v>
      </c>
      <c r="M105" s="5" t="str">
        <f t="shared" si="2"/>
        <v>Repeat</v>
      </c>
      <c r="N105" s="5" t="str">
        <f>TEXT(C105,"yyyy")</f>
        <v>2025</v>
      </c>
      <c r="O105" s="5" t="str">
        <f t="shared" si="3"/>
        <v>Least or No</v>
      </c>
    </row>
    <row r="106" spans="1:15" x14ac:dyDescent="0.35">
      <c r="A106" t="s">
        <v>214</v>
      </c>
      <c r="B106" t="s">
        <v>189</v>
      </c>
      <c r="C106" s="1">
        <v>45001</v>
      </c>
      <c r="D106" t="s">
        <v>23</v>
      </c>
      <c r="E106" t="s">
        <v>24</v>
      </c>
      <c r="F106" t="s">
        <v>30</v>
      </c>
      <c r="G106">
        <v>3</v>
      </c>
      <c r="H106">
        <v>0.15</v>
      </c>
      <c r="I106">
        <v>1050.5999999999999</v>
      </c>
      <c r="J106">
        <v>262.64999999999998</v>
      </c>
      <c r="K106" t="s">
        <v>19</v>
      </c>
      <c r="L106" t="s">
        <v>20</v>
      </c>
      <c r="M106" s="5" t="str">
        <f t="shared" si="2"/>
        <v>Repeat</v>
      </c>
      <c r="N106" s="5" t="str">
        <f>TEXT(C106,"yyyy")</f>
        <v>2023</v>
      </c>
      <c r="O106" s="5" t="str">
        <f t="shared" si="3"/>
        <v>High</v>
      </c>
    </row>
    <row r="107" spans="1:15" x14ac:dyDescent="0.35">
      <c r="A107" t="s">
        <v>215</v>
      </c>
      <c r="B107" t="s">
        <v>216</v>
      </c>
      <c r="C107" s="1">
        <v>44993</v>
      </c>
      <c r="D107" t="s">
        <v>37</v>
      </c>
      <c r="E107" t="s">
        <v>24</v>
      </c>
      <c r="F107" t="s">
        <v>30</v>
      </c>
      <c r="G107">
        <v>2</v>
      </c>
      <c r="H107">
        <v>0</v>
      </c>
      <c r="I107">
        <v>454</v>
      </c>
      <c r="J107">
        <v>90.8</v>
      </c>
      <c r="K107" t="s">
        <v>39</v>
      </c>
      <c r="L107" t="s">
        <v>20</v>
      </c>
      <c r="M107" s="5" t="str">
        <f t="shared" si="2"/>
        <v>New</v>
      </c>
      <c r="N107" s="5" t="str">
        <f>TEXT(C107,"yyyy")</f>
        <v>2023</v>
      </c>
      <c r="O107" s="5" t="str">
        <f t="shared" si="3"/>
        <v>Least or No</v>
      </c>
    </row>
    <row r="108" spans="1:15" x14ac:dyDescent="0.35">
      <c r="A108" t="s">
        <v>217</v>
      </c>
      <c r="B108" t="s">
        <v>55</v>
      </c>
      <c r="C108" s="1">
        <v>45405</v>
      </c>
      <c r="D108" t="s">
        <v>63</v>
      </c>
      <c r="E108" t="s">
        <v>17</v>
      </c>
      <c r="F108" t="s">
        <v>78</v>
      </c>
      <c r="G108">
        <v>3</v>
      </c>
      <c r="H108">
        <v>0.05</v>
      </c>
      <c r="I108">
        <v>1008.9</v>
      </c>
      <c r="J108">
        <v>302.67</v>
      </c>
      <c r="K108" t="s">
        <v>26</v>
      </c>
      <c r="L108" t="s">
        <v>20</v>
      </c>
      <c r="M108" s="5" t="str">
        <f t="shared" si="2"/>
        <v>Repeat</v>
      </c>
      <c r="N108" s="5" t="str">
        <f>TEXT(C108,"yyyy")</f>
        <v>2024</v>
      </c>
      <c r="O108" s="5" t="str">
        <f t="shared" si="3"/>
        <v>Least or No</v>
      </c>
    </row>
    <row r="109" spans="1:15" x14ac:dyDescent="0.35">
      <c r="A109" t="s">
        <v>218</v>
      </c>
      <c r="B109" t="s">
        <v>90</v>
      </c>
      <c r="C109" s="1">
        <v>45239</v>
      </c>
      <c r="D109" t="s">
        <v>23</v>
      </c>
      <c r="E109" t="s">
        <v>33</v>
      </c>
      <c r="F109" t="s">
        <v>43</v>
      </c>
      <c r="G109">
        <v>4</v>
      </c>
      <c r="H109">
        <v>0.05</v>
      </c>
      <c r="I109">
        <v>1584.6</v>
      </c>
      <c r="J109">
        <v>396.15</v>
      </c>
      <c r="K109" t="s">
        <v>19</v>
      </c>
      <c r="L109" t="s">
        <v>27</v>
      </c>
      <c r="M109" s="5" t="str">
        <f t="shared" si="2"/>
        <v>Repeat</v>
      </c>
      <c r="N109" s="5" t="str">
        <f>TEXT(C109,"yyyy")</f>
        <v>2023</v>
      </c>
      <c r="O109" s="5" t="str">
        <f t="shared" si="3"/>
        <v>Least or No</v>
      </c>
    </row>
    <row r="110" spans="1:15" x14ac:dyDescent="0.35">
      <c r="A110" t="s">
        <v>219</v>
      </c>
      <c r="B110" t="s">
        <v>144</v>
      </c>
      <c r="C110" s="1">
        <v>45531</v>
      </c>
      <c r="D110" t="s">
        <v>42</v>
      </c>
      <c r="E110" t="s">
        <v>17</v>
      </c>
      <c r="F110" t="s">
        <v>18</v>
      </c>
      <c r="G110">
        <v>2</v>
      </c>
      <c r="H110">
        <v>0.15</v>
      </c>
      <c r="I110">
        <v>589.9</v>
      </c>
      <c r="J110">
        <v>176.97</v>
      </c>
      <c r="K110" t="s">
        <v>39</v>
      </c>
      <c r="L110" t="s">
        <v>20</v>
      </c>
      <c r="M110" s="5" t="str">
        <f t="shared" si="2"/>
        <v>Repeat</v>
      </c>
      <c r="N110" s="5" t="str">
        <f>TEXT(C110,"yyyy")</f>
        <v>2024</v>
      </c>
      <c r="O110" s="5" t="str">
        <f t="shared" si="3"/>
        <v>High</v>
      </c>
    </row>
    <row r="111" spans="1:15" x14ac:dyDescent="0.35">
      <c r="A111" t="s">
        <v>220</v>
      </c>
      <c r="B111" t="s">
        <v>204</v>
      </c>
      <c r="C111" s="1">
        <v>45320</v>
      </c>
      <c r="D111" t="s">
        <v>42</v>
      </c>
      <c r="E111" t="s">
        <v>33</v>
      </c>
      <c r="F111" t="s">
        <v>43</v>
      </c>
      <c r="G111">
        <v>2</v>
      </c>
      <c r="H111">
        <v>0.05</v>
      </c>
      <c r="I111">
        <v>199.5</v>
      </c>
      <c r="J111">
        <v>59.85</v>
      </c>
      <c r="K111" t="s">
        <v>39</v>
      </c>
      <c r="L111" t="s">
        <v>20</v>
      </c>
      <c r="M111" s="5" t="str">
        <f t="shared" si="2"/>
        <v>Repeat</v>
      </c>
      <c r="N111" s="5" t="str">
        <f>TEXT(C111,"yyyy")</f>
        <v>2024</v>
      </c>
      <c r="O111" s="5" t="str">
        <f t="shared" si="3"/>
        <v>Least or No</v>
      </c>
    </row>
    <row r="112" spans="1:15" x14ac:dyDescent="0.35">
      <c r="A112" t="s">
        <v>221</v>
      </c>
      <c r="B112" t="s">
        <v>176</v>
      </c>
      <c r="C112" s="1">
        <v>45787</v>
      </c>
      <c r="D112" t="s">
        <v>42</v>
      </c>
      <c r="E112" t="s">
        <v>17</v>
      </c>
      <c r="F112" t="s">
        <v>18</v>
      </c>
      <c r="G112">
        <v>2</v>
      </c>
      <c r="H112">
        <v>0.15</v>
      </c>
      <c r="I112">
        <v>712.3</v>
      </c>
      <c r="J112">
        <v>142.46</v>
      </c>
      <c r="K112" t="s">
        <v>19</v>
      </c>
      <c r="L112" t="s">
        <v>27</v>
      </c>
      <c r="M112" s="5" t="str">
        <f t="shared" si="2"/>
        <v>Repeat</v>
      </c>
      <c r="N112" s="5" t="str">
        <f>TEXT(C112,"yyyy")</f>
        <v>2025</v>
      </c>
      <c r="O112" s="5" t="str">
        <f t="shared" si="3"/>
        <v>High</v>
      </c>
    </row>
    <row r="113" spans="1:15" x14ac:dyDescent="0.35">
      <c r="A113" t="s">
        <v>222</v>
      </c>
      <c r="B113" t="s">
        <v>223</v>
      </c>
      <c r="C113" s="1">
        <v>45194</v>
      </c>
      <c r="D113" t="s">
        <v>63</v>
      </c>
      <c r="E113" t="s">
        <v>33</v>
      </c>
      <c r="F113" t="s">
        <v>66</v>
      </c>
      <c r="G113">
        <v>4</v>
      </c>
      <c r="H113">
        <v>0.05</v>
      </c>
      <c r="I113">
        <v>452.2</v>
      </c>
      <c r="J113">
        <v>113.05</v>
      </c>
      <c r="K113" t="s">
        <v>39</v>
      </c>
      <c r="L113" t="s">
        <v>20</v>
      </c>
      <c r="M113" s="5" t="str">
        <f t="shared" si="2"/>
        <v>Repeat</v>
      </c>
      <c r="N113" s="5" t="str">
        <f>TEXT(C113,"yyyy")</f>
        <v>2023</v>
      </c>
      <c r="O113" s="5" t="str">
        <f t="shared" si="3"/>
        <v>Least or No</v>
      </c>
    </row>
    <row r="114" spans="1:15" x14ac:dyDescent="0.35">
      <c r="A114" t="s">
        <v>224</v>
      </c>
      <c r="B114" t="s">
        <v>225</v>
      </c>
      <c r="C114" s="1">
        <v>45788</v>
      </c>
      <c r="D114" t="s">
        <v>63</v>
      </c>
      <c r="E114" t="s">
        <v>24</v>
      </c>
      <c r="F114" t="s">
        <v>30</v>
      </c>
      <c r="G114">
        <v>1</v>
      </c>
      <c r="H114">
        <v>0.15</v>
      </c>
      <c r="I114">
        <v>329.8</v>
      </c>
      <c r="J114">
        <v>65.959999999999994</v>
      </c>
      <c r="K114" t="s">
        <v>26</v>
      </c>
      <c r="L114" t="s">
        <v>27</v>
      </c>
      <c r="M114" s="5" t="str">
        <f t="shared" si="2"/>
        <v>Repeat</v>
      </c>
      <c r="N114" s="5" t="str">
        <f>TEXT(C114,"yyyy")</f>
        <v>2025</v>
      </c>
      <c r="O114" s="5" t="str">
        <f t="shared" si="3"/>
        <v>High</v>
      </c>
    </row>
    <row r="115" spans="1:15" x14ac:dyDescent="0.35">
      <c r="A115" t="s">
        <v>226</v>
      </c>
      <c r="B115" t="s">
        <v>227</v>
      </c>
      <c r="C115" s="1">
        <v>45541</v>
      </c>
      <c r="D115" t="s">
        <v>23</v>
      </c>
      <c r="E115" t="s">
        <v>24</v>
      </c>
      <c r="F115" t="s">
        <v>49</v>
      </c>
      <c r="G115">
        <v>3</v>
      </c>
      <c r="H115">
        <v>0.1</v>
      </c>
      <c r="I115">
        <v>828.9</v>
      </c>
      <c r="J115">
        <v>207.22</v>
      </c>
      <c r="K115" t="s">
        <v>39</v>
      </c>
      <c r="L115" t="s">
        <v>20</v>
      </c>
      <c r="M115" s="5" t="str">
        <f t="shared" si="2"/>
        <v>Repeat</v>
      </c>
      <c r="N115" s="5" t="str">
        <f>TEXT(C115,"yyyy")</f>
        <v>2024</v>
      </c>
      <c r="O115" s="5" t="str">
        <f t="shared" si="3"/>
        <v>Medium</v>
      </c>
    </row>
    <row r="116" spans="1:15" x14ac:dyDescent="0.35">
      <c r="A116" t="s">
        <v>228</v>
      </c>
      <c r="B116" t="s">
        <v>229</v>
      </c>
      <c r="C116" s="1">
        <v>45916</v>
      </c>
      <c r="D116" t="s">
        <v>42</v>
      </c>
      <c r="E116" t="s">
        <v>33</v>
      </c>
      <c r="F116" t="s">
        <v>66</v>
      </c>
      <c r="G116">
        <v>3</v>
      </c>
      <c r="H116">
        <v>0.1</v>
      </c>
      <c r="I116">
        <v>1031.4000000000001</v>
      </c>
      <c r="J116">
        <v>206.28</v>
      </c>
      <c r="K116" t="s">
        <v>39</v>
      </c>
      <c r="L116" t="s">
        <v>20</v>
      </c>
      <c r="M116" s="5" t="str">
        <f t="shared" si="2"/>
        <v>Repeat</v>
      </c>
      <c r="N116" s="5" t="str">
        <f>TEXT(C116,"yyyy")</f>
        <v>2025</v>
      </c>
      <c r="O116" s="5" t="str">
        <f t="shared" si="3"/>
        <v>Medium</v>
      </c>
    </row>
    <row r="117" spans="1:15" x14ac:dyDescent="0.35">
      <c r="A117" t="s">
        <v>230</v>
      </c>
      <c r="B117" t="s">
        <v>159</v>
      </c>
      <c r="C117" s="1">
        <v>45323</v>
      </c>
      <c r="D117" t="s">
        <v>37</v>
      </c>
      <c r="E117" t="s">
        <v>24</v>
      </c>
      <c r="F117" t="s">
        <v>49</v>
      </c>
      <c r="G117">
        <v>3</v>
      </c>
      <c r="H117">
        <v>0</v>
      </c>
      <c r="I117">
        <v>1248</v>
      </c>
      <c r="J117">
        <v>249.6</v>
      </c>
      <c r="K117" t="s">
        <v>39</v>
      </c>
      <c r="L117" t="s">
        <v>20</v>
      </c>
      <c r="M117" s="5" t="str">
        <f t="shared" si="2"/>
        <v>Repeat</v>
      </c>
      <c r="N117" s="5" t="str">
        <f>TEXT(C117,"yyyy")</f>
        <v>2024</v>
      </c>
      <c r="O117" s="5" t="str">
        <f t="shared" si="3"/>
        <v>Least or No</v>
      </c>
    </row>
    <row r="118" spans="1:15" x14ac:dyDescent="0.35">
      <c r="A118" t="s">
        <v>231</v>
      </c>
      <c r="B118" t="s">
        <v>232</v>
      </c>
      <c r="C118" s="1">
        <v>45547</v>
      </c>
      <c r="D118" t="s">
        <v>42</v>
      </c>
      <c r="E118" t="s">
        <v>17</v>
      </c>
      <c r="F118" t="s">
        <v>46</v>
      </c>
      <c r="G118">
        <v>3</v>
      </c>
      <c r="H118">
        <v>0.05</v>
      </c>
      <c r="I118">
        <v>1271.0999999999999</v>
      </c>
      <c r="J118">
        <v>381.33</v>
      </c>
      <c r="K118" t="s">
        <v>39</v>
      </c>
      <c r="L118" t="s">
        <v>20</v>
      </c>
      <c r="M118" s="5" t="str">
        <f t="shared" si="2"/>
        <v>Repeat</v>
      </c>
      <c r="N118" s="5" t="str">
        <f>TEXT(C118,"yyyy")</f>
        <v>2024</v>
      </c>
      <c r="O118" s="5" t="str">
        <f t="shared" si="3"/>
        <v>Least or No</v>
      </c>
    </row>
    <row r="119" spans="1:15" x14ac:dyDescent="0.35">
      <c r="A119" t="s">
        <v>233</v>
      </c>
      <c r="B119" t="s">
        <v>234</v>
      </c>
      <c r="C119" s="1">
        <v>44994</v>
      </c>
      <c r="D119" t="s">
        <v>16</v>
      </c>
      <c r="E119" t="s">
        <v>33</v>
      </c>
      <c r="F119" t="s">
        <v>43</v>
      </c>
      <c r="G119">
        <v>2</v>
      </c>
      <c r="H119">
        <v>0</v>
      </c>
      <c r="I119">
        <v>800</v>
      </c>
      <c r="J119">
        <v>160</v>
      </c>
      <c r="K119" t="s">
        <v>26</v>
      </c>
      <c r="L119" t="s">
        <v>27</v>
      </c>
      <c r="M119" s="5" t="str">
        <f t="shared" si="2"/>
        <v>Repeat</v>
      </c>
      <c r="N119" s="5" t="str">
        <f>TEXT(C119,"yyyy")</f>
        <v>2023</v>
      </c>
      <c r="O119" s="5" t="str">
        <f t="shared" si="3"/>
        <v>Least or No</v>
      </c>
    </row>
    <row r="120" spans="1:15" x14ac:dyDescent="0.35">
      <c r="A120" t="s">
        <v>235</v>
      </c>
      <c r="B120" t="s">
        <v>32</v>
      </c>
      <c r="C120" s="1">
        <v>45175</v>
      </c>
      <c r="D120" t="s">
        <v>42</v>
      </c>
      <c r="E120" t="s">
        <v>24</v>
      </c>
      <c r="F120" t="s">
        <v>49</v>
      </c>
      <c r="G120">
        <v>2</v>
      </c>
      <c r="H120">
        <v>0.05</v>
      </c>
      <c r="I120">
        <v>824.6</v>
      </c>
      <c r="J120">
        <v>164.92</v>
      </c>
      <c r="K120" t="s">
        <v>19</v>
      </c>
      <c r="L120" t="s">
        <v>20</v>
      </c>
      <c r="M120" s="5" t="str">
        <f t="shared" si="2"/>
        <v>Repeat</v>
      </c>
      <c r="N120" s="5" t="str">
        <f>TEXT(C120,"yyyy")</f>
        <v>2023</v>
      </c>
      <c r="O120" s="5" t="str">
        <f t="shared" si="3"/>
        <v>Least or No</v>
      </c>
    </row>
    <row r="121" spans="1:15" x14ac:dyDescent="0.35">
      <c r="A121" t="s">
        <v>236</v>
      </c>
      <c r="B121" t="s">
        <v>156</v>
      </c>
      <c r="C121" s="1">
        <v>45323</v>
      </c>
      <c r="D121" t="s">
        <v>16</v>
      </c>
      <c r="E121" t="s">
        <v>24</v>
      </c>
      <c r="F121" t="s">
        <v>25</v>
      </c>
      <c r="G121">
        <v>4</v>
      </c>
      <c r="H121">
        <v>0.1</v>
      </c>
      <c r="I121">
        <v>612</v>
      </c>
      <c r="J121">
        <v>183.6</v>
      </c>
      <c r="K121" t="s">
        <v>39</v>
      </c>
      <c r="L121" t="s">
        <v>20</v>
      </c>
      <c r="M121" s="5" t="str">
        <f t="shared" si="2"/>
        <v>Repeat</v>
      </c>
      <c r="N121" s="5" t="str">
        <f>TEXT(C121,"yyyy")</f>
        <v>2024</v>
      </c>
      <c r="O121" s="5" t="str">
        <f t="shared" si="3"/>
        <v>Medium</v>
      </c>
    </row>
    <row r="122" spans="1:15" x14ac:dyDescent="0.35">
      <c r="A122" t="s">
        <v>237</v>
      </c>
      <c r="B122" t="s">
        <v>238</v>
      </c>
      <c r="C122" s="1">
        <v>45725</v>
      </c>
      <c r="D122" t="s">
        <v>16</v>
      </c>
      <c r="E122" t="s">
        <v>24</v>
      </c>
      <c r="F122" t="s">
        <v>30</v>
      </c>
      <c r="G122">
        <v>1</v>
      </c>
      <c r="H122">
        <v>0</v>
      </c>
      <c r="I122">
        <v>275</v>
      </c>
      <c r="J122">
        <v>82.5</v>
      </c>
      <c r="K122" t="s">
        <v>19</v>
      </c>
      <c r="L122" t="s">
        <v>20</v>
      </c>
      <c r="M122" s="5" t="str">
        <f t="shared" si="2"/>
        <v>Repeat</v>
      </c>
      <c r="N122" s="5" t="str">
        <f>TEXT(C122,"yyyy")</f>
        <v>2025</v>
      </c>
      <c r="O122" s="5" t="str">
        <f t="shared" si="3"/>
        <v>Least or No</v>
      </c>
    </row>
    <row r="123" spans="1:15" x14ac:dyDescent="0.35">
      <c r="A123" t="s">
        <v>239</v>
      </c>
      <c r="B123" t="s">
        <v>240</v>
      </c>
      <c r="C123" s="1">
        <v>45025</v>
      </c>
      <c r="D123" t="s">
        <v>63</v>
      </c>
      <c r="E123" t="s">
        <v>24</v>
      </c>
      <c r="F123" t="s">
        <v>107</v>
      </c>
      <c r="G123">
        <v>1</v>
      </c>
      <c r="H123">
        <v>0.05</v>
      </c>
      <c r="I123">
        <v>103.55</v>
      </c>
      <c r="J123">
        <v>25.89</v>
      </c>
      <c r="K123" t="s">
        <v>26</v>
      </c>
      <c r="L123" t="s">
        <v>20</v>
      </c>
      <c r="M123" s="5" t="str">
        <f t="shared" si="2"/>
        <v>Repeat</v>
      </c>
      <c r="N123" s="5" t="str">
        <f>TEXT(C123,"yyyy")</f>
        <v>2023</v>
      </c>
      <c r="O123" s="5" t="str">
        <f t="shared" si="3"/>
        <v>Least or No</v>
      </c>
    </row>
    <row r="124" spans="1:15" x14ac:dyDescent="0.35">
      <c r="A124" t="s">
        <v>241</v>
      </c>
      <c r="B124" t="s">
        <v>180</v>
      </c>
      <c r="C124" s="1">
        <v>45581</v>
      </c>
      <c r="D124" t="s">
        <v>23</v>
      </c>
      <c r="E124" t="s">
        <v>17</v>
      </c>
      <c r="F124" t="s">
        <v>78</v>
      </c>
      <c r="G124">
        <v>3</v>
      </c>
      <c r="H124">
        <v>0.15</v>
      </c>
      <c r="I124">
        <v>232.05</v>
      </c>
      <c r="J124">
        <v>69.61</v>
      </c>
      <c r="K124" t="s">
        <v>39</v>
      </c>
      <c r="L124" t="s">
        <v>20</v>
      </c>
      <c r="M124" s="5" t="str">
        <f t="shared" si="2"/>
        <v>Repeat</v>
      </c>
      <c r="N124" s="5" t="str">
        <f>TEXT(C124,"yyyy")</f>
        <v>2024</v>
      </c>
      <c r="O124" s="5" t="str">
        <f t="shared" si="3"/>
        <v>High</v>
      </c>
    </row>
    <row r="125" spans="1:15" x14ac:dyDescent="0.35">
      <c r="A125" t="s">
        <v>242</v>
      </c>
      <c r="B125" t="s">
        <v>96</v>
      </c>
      <c r="C125" s="1">
        <v>45714</v>
      </c>
      <c r="D125" t="s">
        <v>16</v>
      </c>
      <c r="E125" t="s">
        <v>17</v>
      </c>
      <c r="F125" t="s">
        <v>46</v>
      </c>
      <c r="G125">
        <v>1</v>
      </c>
      <c r="H125">
        <v>0.1</v>
      </c>
      <c r="I125">
        <v>117</v>
      </c>
      <c r="J125">
        <v>29.25</v>
      </c>
      <c r="K125" t="s">
        <v>26</v>
      </c>
      <c r="L125" t="s">
        <v>27</v>
      </c>
      <c r="M125" s="5" t="str">
        <f t="shared" si="2"/>
        <v>Repeat</v>
      </c>
      <c r="N125" s="5" t="str">
        <f>TEXT(C125,"yyyy")</f>
        <v>2025</v>
      </c>
      <c r="O125" s="5" t="str">
        <f t="shared" si="3"/>
        <v>Medium</v>
      </c>
    </row>
    <row r="126" spans="1:15" x14ac:dyDescent="0.35">
      <c r="A126" t="s">
        <v>243</v>
      </c>
      <c r="B126" t="s">
        <v>234</v>
      </c>
      <c r="C126" s="1">
        <v>45980</v>
      </c>
      <c r="D126" t="s">
        <v>23</v>
      </c>
      <c r="E126" t="s">
        <v>33</v>
      </c>
      <c r="F126" t="s">
        <v>71</v>
      </c>
      <c r="G126">
        <v>1</v>
      </c>
      <c r="H126">
        <v>0.05</v>
      </c>
      <c r="I126">
        <v>236.55</v>
      </c>
      <c r="J126">
        <v>59.14</v>
      </c>
      <c r="K126" t="s">
        <v>19</v>
      </c>
      <c r="L126" t="s">
        <v>20</v>
      </c>
      <c r="M126" s="5" t="str">
        <f t="shared" si="2"/>
        <v>Repeat</v>
      </c>
      <c r="N126" s="5" t="str">
        <f>TEXT(C126,"yyyy")</f>
        <v>2025</v>
      </c>
      <c r="O126" s="5" t="str">
        <f t="shared" si="3"/>
        <v>Least or No</v>
      </c>
    </row>
    <row r="127" spans="1:15" x14ac:dyDescent="0.35">
      <c r="A127" t="s">
        <v>244</v>
      </c>
      <c r="B127" t="s">
        <v>133</v>
      </c>
      <c r="C127" s="1">
        <v>45610</v>
      </c>
      <c r="D127" t="s">
        <v>42</v>
      </c>
      <c r="E127" t="s">
        <v>17</v>
      </c>
      <c r="F127" t="s">
        <v>58</v>
      </c>
      <c r="G127">
        <v>2</v>
      </c>
      <c r="H127">
        <v>0.1</v>
      </c>
      <c r="I127">
        <v>442.8</v>
      </c>
      <c r="J127">
        <v>110.7</v>
      </c>
      <c r="K127" t="s">
        <v>19</v>
      </c>
      <c r="L127" t="s">
        <v>27</v>
      </c>
      <c r="M127" s="5" t="str">
        <f t="shared" si="2"/>
        <v>Repeat</v>
      </c>
      <c r="N127" s="5" t="str">
        <f>TEXT(C127,"yyyy")</f>
        <v>2024</v>
      </c>
      <c r="O127" s="5" t="str">
        <f t="shared" si="3"/>
        <v>Medium</v>
      </c>
    </row>
    <row r="128" spans="1:15" x14ac:dyDescent="0.35">
      <c r="A128" t="s">
        <v>245</v>
      </c>
      <c r="B128" t="s">
        <v>246</v>
      </c>
      <c r="C128" s="1">
        <v>45532</v>
      </c>
      <c r="D128" t="s">
        <v>37</v>
      </c>
      <c r="E128" t="s">
        <v>24</v>
      </c>
      <c r="F128" t="s">
        <v>30</v>
      </c>
      <c r="G128">
        <v>1</v>
      </c>
      <c r="H128">
        <v>0.1</v>
      </c>
      <c r="I128">
        <v>256.5</v>
      </c>
      <c r="J128">
        <v>64.12</v>
      </c>
      <c r="K128" t="s">
        <v>26</v>
      </c>
      <c r="L128" t="s">
        <v>20</v>
      </c>
      <c r="M128" s="5" t="str">
        <f t="shared" si="2"/>
        <v>Repeat</v>
      </c>
      <c r="N128" s="5" t="str">
        <f>TEXT(C128,"yyyy")</f>
        <v>2024</v>
      </c>
      <c r="O128" s="5" t="str">
        <f t="shared" si="3"/>
        <v>Medium</v>
      </c>
    </row>
    <row r="129" spans="1:15" x14ac:dyDescent="0.35">
      <c r="A129" t="s">
        <v>247</v>
      </c>
      <c r="B129" t="s">
        <v>162</v>
      </c>
      <c r="C129" s="1">
        <v>45805</v>
      </c>
      <c r="D129" t="s">
        <v>16</v>
      </c>
      <c r="E129" t="s">
        <v>17</v>
      </c>
      <c r="F129" t="s">
        <v>78</v>
      </c>
      <c r="G129">
        <v>2</v>
      </c>
      <c r="H129">
        <v>0.1</v>
      </c>
      <c r="I129">
        <v>608.4</v>
      </c>
      <c r="J129">
        <v>182.52</v>
      </c>
      <c r="K129" t="s">
        <v>39</v>
      </c>
      <c r="L129" t="s">
        <v>27</v>
      </c>
      <c r="M129" s="5" t="str">
        <f t="shared" si="2"/>
        <v>Repeat</v>
      </c>
      <c r="N129" s="5" t="str">
        <f>TEXT(C129,"yyyy")</f>
        <v>2025</v>
      </c>
      <c r="O129" s="5" t="str">
        <f t="shared" si="3"/>
        <v>Medium</v>
      </c>
    </row>
    <row r="130" spans="1:15" x14ac:dyDescent="0.35">
      <c r="A130" t="s">
        <v>248</v>
      </c>
      <c r="B130" t="s">
        <v>98</v>
      </c>
      <c r="C130" s="1">
        <v>45435</v>
      </c>
      <c r="D130" t="s">
        <v>42</v>
      </c>
      <c r="E130" t="s">
        <v>24</v>
      </c>
      <c r="F130" t="s">
        <v>107</v>
      </c>
      <c r="G130">
        <v>3</v>
      </c>
      <c r="H130">
        <v>0.15</v>
      </c>
      <c r="I130">
        <v>785.4</v>
      </c>
      <c r="J130">
        <v>196.35</v>
      </c>
      <c r="K130" t="s">
        <v>19</v>
      </c>
      <c r="L130" t="s">
        <v>20</v>
      </c>
      <c r="M130" s="5" t="str">
        <f t="shared" si="2"/>
        <v>Repeat</v>
      </c>
      <c r="N130" s="5" t="str">
        <f>TEXT(C130,"yyyy")</f>
        <v>2024</v>
      </c>
      <c r="O130" s="5" t="str">
        <f t="shared" si="3"/>
        <v>High</v>
      </c>
    </row>
    <row r="131" spans="1:15" x14ac:dyDescent="0.35">
      <c r="A131" t="s">
        <v>249</v>
      </c>
      <c r="B131" t="s">
        <v>250</v>
      </c>
      <c r="C131" s="1">
        <v>45799</v>
      </c>
      <c r="D131" t="s">
        <v>37</v>
      </c>
      <c r="E131" t="s">
        <v>24</v>
      </c>
      <c r="F131" t="s">
        <v>49</v>
      </c>
      <c r="G131">
        <v>3</v>
      </c>
      <c r="H131">
        <v>0.15</v>
      </c>
      <c r="I131">
        <v>1078.6500000000001</v>
      </c>
      <c r="J131">
        <v>215.73</v>
      </c>
      <c r="K131" t="s">
        <v>39</v>
      </c>
      <c r="L131" t="s">
        <v>27</v>
      </c>
      <c r="M131" s="5" t="str">
        <f t="shared" ref="M131:M194" si="4">IF(COUNTIF(B:B,B131)&gt;1,"Repeat","New")</f>
        <v>Repeat</v>
      </c>
      <c r="N131" s="5" t="str">
        <f>TEXT(C131,"yyyy")</f>
        <v>2025</v>
      </c>
      <c r="O131" s="5" t="str">
        <f t="shared" ref="O131:O194" si="5">IF(H131&gt;=0.15,"High",IF(H131&gt;=0.1,"Medium","Least or No"))</f>
        <v>High</v>
      </c>
    </row>
    <row r="132" spans="1:15" x14ac:dyDescent="0.35">
      <c r="A132" t="s">
        <v>251</v>
      </c>
      <c r="B132" t="s">
        <v>252</v>
      </c>
      <c r="C132" s="1">
        <v>45323</v>
      </c>
      <c r="D132" t="s">
        <v>63</v>
      </c>
      <c r="E132" t="s">
        <v>17</v>
      </c>
      <c r="F132" t="s">
        <v>78</v>
      </c>
      <c r="G132">
        <v>2</v>
      </c>
      <c r="H132">
        <v>0</v>
      </c>
      <c r="I132">
        <v>408</v>
      </c>
      <c r="J132">
        <v>81.599999999999994</v>
      </c>
      <c r="K132" t="s">
        <v>26</v>
      </c>
      <c r="L132" t="s">
        <v>27</v>
      </c>
      <c r="M132" s="5" t="str">
        <f t="shared" si="4"/>
        <v>New</v>
      </c>
      <c r="N132" s="5" t="str">
        <f>TEXT(C132,"yyyy")</f>
        <v>2024</v>
      </c>
      <c r="O132" s="5" t="str">
        <f t="shared" si="5"/>
        <v>Least or No</v>
      </c>
    </row>
    <row r="133" spans="1:15" x14ac:dyDescent="0.35">
      <c r="A133" t="s">
        <v>253</v>
      </c>
      <c r="B133" t="s">
        <v>254</v>
      </c>
      <c r="C133" s="1">
        <v>45239</v>
      </c>
      <c r="D133" t="s">
        <v>23</v>
      </c>
      <c r="E133" t="s">
        <v>24</v>
      </c>
      <c r="F133" t="s">
        <v>30</v>
      </c>
      <c r="G133">
        <v>1</v>
      </c>
      <c r="H133">
        <v>0.1</v>
      </c>
      <c r="I133">
        <v>199.8</v>
      </c>
      <c r="J133">
        <v>49.95</v>
      </c>
      <c r="K133" t="s">
        <v>39</v>
      </c>
      <c r="L133" t="s">
        <v>20</v>
      </c>
      <c r="M133" s="5" t="str">
        <f t="shared" si="4"/>
        <v>Repeat</v>
      </c>
      <c r="N133" s="5" t="str">
        <f>TEXT(C133,"yyyy")</f>
        <v>2023</v>
      </c>
      <c r="O133" s="5" t="str">
        <f t="shared" si="5"/>
        <v>Medium</v>
      </c>
    </row>
    <row r="134" spans="1:15" x14ac:dyDescent="0.35">
      <c r="A134" t="s">
        <v>255</v>
      </c>
      <c r="B134" t="s">
        <v>256</v>
      </c>
      <c r="C134" s="1">
        <v>45940</v>
      </c>
      <c r="D134" t="s">
        <v>42</v>
      </c>
      <c r="E134" t="s">
        <v>33</v>
      </c>
      <c r="F134" t="s">
        <v>66</v>
      </c>
      <c r="G134">
        <v>3</v>
      </c>
      <c r="H134">
        <v>0</v>
      </c>
      <c r="I134">
        <v>684</v>
      </c>
      <c r="J134">
        <v>171</v>
      </c>
      <c r="K134" t="s">
        <v>39</v>
      </c>
      <c r="L134" t="s">
        <v>20</v>
      </c>
      <c r="M134" s="5" t="str">
        <f t="shared" si="4"/>
        <v>Repeat</v>
      </c>
      <c r="N134" s="5" t="str">
        <f>TEXT(C134,"yyyy")</f>
        <v>2025</v>
      </c>
      <c r="O134" s="5" t="str">
        <f t="shared" si="5"/>
        <v>Least or No</v>
      </c>
    </row>
    <row r="135" spans="1:15" x14ac:dyDescent="0.35">
      <c r="A135" t="s">
        <v>257</v>
      </c>
      <c r="B135" t="s">
        <v>204</v>
      </c>
      <c r="C135" s="1">
        <v>45477</v>
      </c>
      <c r="D135" t="s">
        <v>16</v>
      </c>
      <c r="E135" t="s">
        <v>24</v>
      </c>
      <c r="F135" t="s">
        <v>107</v>
      </c>
      <c r="G135">
        <v>4</v>
      </c>
      <c r="H135">
        <v>0.05</v>
      </c>
      <c r="I135">
        <v>817</v>
      </c>
      <c r="J135">
        <v>204.25</v>
      </c>
      <c r="K135" t="s">
        <v>19</v>
      </c>
      <c r="L135" t="s">
        <v>20</v>
      </c>
      <c r="M135" s="5" t="str">
        <f t="shared" si="4"/>
        <v>Repeat</v>
      </c>
      <c r="N135" s="5" t="str">
        <f>TEXT(C135,"yyyy")</f>
        <v>2024</v>
      </c>
      <c r="O135" s="5" t="str">
        <f t="shared" si="5"/>
        <v>Least or No</v>
      </c>
    </row>
    <row r="136" spans="1:15" x14ac:dyDescent="0.35">
      <c r="A136" t="s">
        <v>258</v>
      </c>
      <c r="B136" t="s">
        <v>256</v>
      </c>
      <c r="C136" s="1">
        <v>45968</v>
      </c>
      <c r="D136" t="s">
        <v>42</v>
      </c>
      <c r="E136" t="s">
        <v>24</v>
      </c>
      <c r="F136" t="s">
        <v>30</v>
      </c>
      <c r="G136">
        <v>3</v>
      </c>
      <c r="H136">
        <v>0.05</v>
      </c>
      <c r="I136">
        <v>1117.2</v>
      </c>
      <c r="J136">
        <v>279.3</v>
      </c>
      <c r="K136" t="s">
        <v>19</v>
      </c>
      <c r="L136" t="s">
        <v>20</v>
      </c>
      <c r="M136" s="5" t="str">
        <f t="shared" si="4"/>
        <v>Repeat</v>
      </c>
      <c r="N136" s="5" t="str">
        <f>TEXT(C136,"yyyy")</f>
        <v>2025</v>
      </c>
      <c r="O136" s="5" t="str">
        <f t="shared" si="5"/>
        <v>Least or No</v>
      </c>
    </row>
    <row r="137" spans="1:15" x14ac:dyDescent="0.35">
      <c r="A137" t="s">
        <v>259</v>
      </c>
      <c r="B137" t="s">
        <v>260</v>
      </c>
      <c r="C137" s="1">
        <v>44927</v>
      </c>
      <c r="D137" t="s">
        <v>42</v>
      </c>
      <c r="E137" t="s">
        <v>17</v>
      </c>
      <c r="F137" t="s">
        <v>58</v>
      </c>
      <c r="G137">
        <v>3</v>
      </c>
      <c r="H137">
        <v>0.15</v>
      </c>
      <c r="I137">
        <v>367.2</v>
      </c>
      <c r="J137">
        <v>91.8</v>
      </c>
      <c r="K137" t="s">
        <v>39</v>
      </c>
      <c r="L137" t="s">
        <v>27</v>
      </c>
      <c r="M137" s="5" t="str">
        <f t="shared" si="4"/>
        <v>Repeat</v>
      </c>
      <c r="N137" s="5" t="str">
        <f>TEXT(C137,"yyyy")</f>
        <v>2023</v>
      </c>
      <c r="O137" s="5" t="str">
        <f t="shared" si="5"/>
        <v>High</v>
      </c>
    </row>
    <row r="138" spans="1:15" x14ac:dyDescent="0.35">
      <c r="A138" t="s">
        <v>261</v>
      </c>
      <c r="B138" t="s">
        <v>48</v>
      </c>
      <c r="C138" s="1">
        <v>44980</v>
      </c>
      <c r="D138" t="s">
        <v>63</v>
      </c>
      <c r="E138" t="s">
        <v>24</v>
      </c>
      <c r="F138" t="s">
        <v>25</v>
      </c>
      <c r="G138">
        <v>4</v>
      </c>
      <c r="H138">
        <v>0.15</v>
      </c>
      <c r="I138">
        <v>802.4</v>
      </c>
      <c r="J138">
        <v>240.72</v>
      </c>
      <c r="K138" t="s">
        <v>26</v>
      </c>
      <c r="L138" t="s">
        <v>27</v>
      </c>
      <c r="M138" s="5" t="str">
        <f t="shared" si="4"/>
        <v>Repeat</v>
      </c>
      <c r="N138" s="5" t="str">
        <f>TEXT(C138,"yyyy")</f>
        <v>2023</v>
      </c>
      <c r="O138" s="5" t="str">
        <f t="shared" si="5"/>
        <v>High</v>
      </c>
    </row>
    <row r="139" spans="1:15" x14ac:dyDescent="0.35">
      <c r="A139" t="s">
        <v>262</v>
      </c>
      <c r="B139" t="s">
        <v>176</v>
      </c>
      <c r="C139" s="1">
        <v>45390</v>
      </c>
      <c r="D139" t="s">
        <v>63</v>
      </c>
      <c r="E139" t="s">
        <v>17</v>
      </c>
      <c r="F139" t="s">
        <v>46</v>
      </c>
      <c r="G139">
        <v>2</v>
      </c>
      <c r="H139">
        <v>0.1</v>
      </c>
      <c r="I139">
        <v>684</v>
      </c>
      <c r="J139">
        <v>205.2</v>
      </c>
      <c r="K139" t="s">
        <v>26</v>
      </c>
      <c r="L139" t="s">
        <v>27</v>
      </c>
      <c r="M139" s="5" t="str">
        <f t="shared" si="4"/>
        <v>Repeat</v>
      </c>
      <c r="N139" s="5" t="str">
        <f>TEXT(C139,"yyyy")</f>
        <v>2024</v>
      </c>
      <c r="O139" s="5" t="str">
        <f t="shared" si="5"/>
        <v>Medium</v>
      </c>
    </row>
    <row r="140" spans="1:15" x14ac:dyDescent="0.35">
      <c r="A140" t="s">
        <v>263</v>
      </c>
      <c r="B140" t="s">
        <v>156</v>
      </c>
      <c r="C140" s="1">
        <v>45401</v>
      </c>
      <c r="D140" t="s">
        <v>16</v>
      </c>
      <c r="E140" t="s">
        <v>17</v>
      </c>
      <c r="F140" t="s">
        <v>78</v>
      </c>
      <c r="G140">
        <v>3</v>
      </c>
      <c r="H140">
        <v>0.15</v>
      </c>
      <c r="I140">
        <v>660.45</v>
      </c>
      <c r="J140">
        <v>132.09</v>
      </c>
      <c r="K140" t="s">
        <v>39</v>
      </c>
      <c r="L140" t="s">
        <v>27</v>
      </c>
      <c r="M140" s="5" t="str">
        <f t="shared" si="4"/>
        <v>Repeat</v>
      </c>
      <c r="N140" s="5" t="str">
        <f>TEXT(C140,"yyyy")</f>
        <v>2024</v>
      </c>
      <c r="O140" s="5" t="str">
        <f t="shared" si="5"/>
        <v>High</v>
      </c>
    </row>
    <row r="141" spans="1:15" x14ac:dyDescent="0.35">
      <c r="A141" t="s">
        <v>264</v>
      </c>
      <c r="B141" t="s">
        <v>265</v>
      </c>
      <c r="C141" s="1">
        <v>45157</v>
      </c>
      <c r="D141" t="s">
        <v>63</v>
      </c>
      <c r="E141" t="s">
        <v>24</v>
      </c>
      <c r="F141" t="s">
        <v>30</v>
      </c>
      <c r="G141">
        <v>1</v>
      </c>
      <c r="H141">
        <v>0</v>
      </c>
      <c r="I141">
        <v>299</v>
      </c>
      <c r="J141">
        <v>59.8</v>
      </c>
      <c r="K141" t="s">
        <v>39</v>
      </c>
      <c r="L141" t="s">
        <v>20</v>
      </c>
      <c r="M141" s="5" t="str">
        <f t="shared" si="4"/>
        <v>Repeat</v>
      </c>
      <c r="N141" s="5" t="str">
        <f>TEXT(C141,"yyyy")</f>
        <v>2023</v>
      </c>
      <c r="O141" s="5" t="str">
        <f t="shared" si="5"/>
        <v>Least or No</v>
      </c>
    </row>
    <row r="142" spans="1:15" x14ac:dyDescent="0.35">
      <c r="A142" t="s">
        <v>266</v>
      </c>
      <c r="B142" t="s">
        <v>267</v>
      </c>
      <c r="C142" s="1">
        <v>45649</v>
      </c>
      <c r="D142" t="s">
        <v>23</v>
      </c>
      <c r="E142" t="s">
        <v>17</v>
      </c>
      <c r="F142" t="s">
        <v>46</v>
      </c>
      <c r="G142">
        <v>4</v>
      </c>
      <c r="H142">
        <v>0</v>
      </c>
      <c r="I142">
        <v>1232</v>
      </c>
      <c r="J142">
        <v>308</v>
      </c>
      <c r="K142" t="s">
        <v>39</v>
      </c>
      <c r="L142" t="s">
        <v>27</v>
      </c>
      <c r="M142" s="5" t="str">
        <f t="shared" si="4"/>
        <v>Repeat</v>
      </c>
      <c r="N142" s="5" t="str">
        <f>TEXT(C142,"yyyy")</f>
        <v>2024</v>
      </c>
      <c r="O142" s="5" t="str">
        <f t="shared" si="5"/>
        <v>Least or No</v>
      </c>
    </row>
    <row r="143" spans="1:15" x14ac:dyDescent="0.35">
      <c r="A143" t="s">
        <v>268</v>
      </c>
      <c r="B143" t="s">
        <v>232</v>
      </c>
      <c r="C143" s="1">
        <v>45977</v>
      </c>
      <c r="D143" t="s">
        <v>37</v>
      </c>
      <c r="E143" t="s">
        <v>24</v>
      </c>
      <c r="F143" t="s">
        <v>25</v>
      </c>
      <c r="G143">
        <v>1</v>
      </c>
      <c r="H143">
        <v>0.1</v>
      </c>
      <c r="I143">
        <v>237.6</v>
      </c>
      <c r="J143">
        <v>47.52</v>
      </c>
      <c r="K143" t="s">
        <v>26</v>
      </c>
      <c r="L143" t="s">
        <v>20</v>
      </c>
      <c r="M143" s="5" t="str">
        <f t="shared" si="4"/>
        <v>Repeat</v>
      </c>
      <c r="N143" s="5" t="str">
        <f>TEXT(C143,"yyyy")</f>
        <v>2025</v>
      </c>
      <c r="O143" s="5" t="str">
        <f t="shared" si="5"/>
        <v>Medium</v>
      </c>
    </row>
    <row r="144" spans="1:15" x14ac:dyDescent="0.35">
      <c r="A144" t="s">
        <v>269</v>
      </c>
      <c r="B144" t="s">
        <v>270</v>
      </c>
      <c r="C144" s="1">
        <v>46021</v>
      </c>
      <c r="D144" t="s">
        <v>23</v>
      </c>
      <c r="E144" t="s">
        <v>33</v>
      </c>
      <c r="F144" t="s">
        <v>43</v>
      </c>
      <c r="G144">
        <v>4</v>
      </c>
      <c r="H144">
        <v>0</v>
      </c>
      <c r="I144">
        <v>1732</v>
      </c>
      <c r="J144">
        <v>519.6</v>
      </c>
      <c r="K144" t="s">
        <v>39</v>
      </c>
      <c r="L144" t="s">
        <v>27</v>
      </c>
      <c r="M144" s="5" t="str">
        <f t="shared" si="4"/>
        <v>New</v>
      </c>
      <c r="N144" s="5" t="str">
        <f>TEXT(C144,"yyyy")</f>
        <v>2025</v>
      </c>
      <c r="O144" s="5" t="str">
        <f t="shared" si="5"/>
        <v>Least or No</v>
      </c>
    </row>
    <row r="145" spans="1:15" x14ac:dyDescent="0.35">
      <c r="A145" t="s">
        <v>271</v>
      </c>
      <c r="B145" t="s">
        <v>70</v>
      </c>
      <c r="C145" s="1">
        <v>45050</v>
      </c>
      <c r="D145" t="s">
        <v>63</v>
      </c>
      <c r="E145" t="s">
        <v>33</v>
      </c>
      <c r="F145" t="s">
        <v>66</v>
      </c>
      <c r="G145">
        <v>3</v>
      </c>
      <c r="H145">
        <v>0.05</v>
      </c>
      <c r="I145">
        <v>1242.5999999999999</v>
      </c>
      <c r="J145">
        <v>372.78</v>
      </c>
      <c r="K145" t="s">
        <v>19</v>
      </c>
      <c r="L145" t="s">
        <v>27</v>
      </c>
      <c r="M145" s="5" t="str">
        <f t="shared" si="4"/>
        <v>Repeat</v>
      </c>
      <c r="N145" s="5" t="str">
        <f>TEXT(C145,"yyyy")</f>
        <v>2023</v>
      </c>
      <c r="O145" s="5" t="str">
        <f t="shared" si="5"/>
        <v>Least or No</v>
      </c>
    </row>
    <row r="146" spans="1:15" x14ac:dyDescent="0.35">
      <c r="A146" t="s">
        <v>272</v>
      </c>
      <c r="B146" t="s">
        <v>273</v>
      </c>
      <c r="C146" s="1">
        <v>44981</v>
      </c>
      <c r="D146" t="s">
        <v>23</v>
      </c>
      <c r="E146" t="s">
        <v>24</v>
      </c>
      <c r="F146" t="s">
        <v>25</v>
      </c>
      <c r="G146">
        <v>2</v>
      </c>
      <c r="H146">
        <v>0</v>
      </c>
      <c r="I146">
        <v>248</v>
      </c>
      <c r="J146">
        <v>49.6</v>
      </c>
      <c r="K146" t="s">
        <v>19</v>
      </c>
      <c r="L146" t="s">
        <v>20</v>
      </c>
      <c r="M146" s="5" t="str">
        <f t="shared" si="4"/>
        <v>Repeat</v>
      </c>
      <c r="N146" s="5" t="str">
        <f>TEXT(C146,"yyyy")</f>
        <v>2023</v>
      </c>
      <c r="O146" s="5" t="str">
        <f t="shared" si="5"/>
        <v>Least or No</v>
      </c>
    </row>
    <row r="147" spans="1:15" x14ac:dyDescent="0.35">
      <c r="A147" t="s">
        <v>274</v>
      </c>
      <c r="B147" t="s">
        <v>265</v>
      </c>
      <c r="C147" s="1">
        <v>45700</v>
      </c>
      <c r="D147" t="s">
        <v>63</v>
      </c>
      <c r="E147" t="s">
        <v>33</v>
      </c>
      <c r="F147" t="s">
        <v>38</v>
      </c>
      <c r="G147">
        <v>3</v>
      </c>
      <c r="H147">
        <v>0.15</v>
      </c>
      <c r="I147">
        <v>206.55</v>
      </c>
      <c r="J147">
        <v>41.31</v>
      </c>
      <c r="K147" t="s">
        <v>19</v>
      </c>
      <c r="L147" t="s">
        <v>27</v>
      </c>
      <c r="M147" s="5" t="str">
        <f t="shared" si="4"/>
        <v>Repeat</v>
      </c>
      <c r="N147" s="5" t="str">
        <f>TEXT(C147,"yyyy")</f>
        <v>2025</v>
      </c>
      <c r="O147" s="5" t="str">
        <f t="shared" si="5"/>
        <v>High</v>
      </c>
    </row>
    <row r="148" spans="1:15" x14ac:dyDescent="0.35">
      <c r="A148" t="s">
        <v>275</v>
      </c>
      <c r="B148" t="s">
        <v>238</v>
      </c>
      <c r="C148" s="1">
        <v>45903</v>
      </c>
      <c r="D148" t="s">
        <v>37</v>
      </c>
      <c r="E148" t="s">
        <v>24</v>
      </c>
      <c r="F148" t="s">
        <v>25</v>
      </c>
      <c r="G148">
        <v>4</v>
      </c>
      <c r="H148">
        <v>0.1</v>
      </c>
      <c r="I148">
        <v>1317.6</v>
      </c>
      <c r="J148">
        <v>329.4</v>
      </c>
      <c r="K148" t="s">
        <v>26</v>
      </c>
      <c r="L148" t="s">
        <v>20</v>
      </c>
      <c r="M148" s="5" t="str">
        <f t="shared" si="4"/>
        <v>Repeat</v>
      </c>
      <c r="N148" s="5" t="str">
        <f>TEXT(C148,"yyyy")</f>
        <v>2025</v>
      </c>
      <c r="O148" s="5" t="str">
        <f t="shared" si="5"/>
        <v>Medium</v>
      </c>
    </row>
    <row r="149" spans="1:15" x14ac:dyDescent="0.35">
      <c r="A149" t="s">
        <v>276</v>
      </c>
      <c r="B149" t="s">
        <v>48</v>
      </c>
      <c r="C149" s="1">
        <v>45524</v>
      </c>
      <c r="D149" t="s">
        <v>37</v>
      </c>
      <c r="E149" t="s">
        <v>33</v>
      </c>
      <c r="F149" t="s">
        <v>43</v>
      </c>
      <c r="G149">
        <v>1</v>
      </c>
      <c r="H149">
        <v>0</v>
      </c>
      <c r="I149">
        <v>209</v>
      </c>
      <c r="J149">
        <v>52.25</v>
      </c>
      <c r="K149" t="s">
        <v>19</v>
      </c>
      <c r="L149" t="s">
        <v>20</v>
      </c>
      <c r="M149" s="5" t="str">
        <f t="shared" si="4"/>
        <v>Repeat</v>
      </c>
      <c r="N149" s="5" t="str">
        <f>TEXT(C149,"yyyy")</f>
        <v>2024</v>
      </c>
      <c r="O149" s="5" t="str">
        <f t="shared" si="5"/>
        <v>Least or No</v>
      </c>
    </row>
    <row r="150" spans="1:15" x14ac:dyDescent="0.35">
      <c r="A150" t="s">
        <v>277</v>
      </c>
      <c r="B150" t="s">
        <v>278</v>
      </c>
      <c r="C150" s="1">
        <v>45917</v>
      </c>
      <c r="D150" t="s">
        <v>23</v>
      </c>
      <c r="E150" t="s">
        <v>17</v>
      </c>
      <c r="F150" t="s">
        <v>46</v>
      </c>
      <c r="G150">
        <v>3</v>
      </c>
      <c r="H150">
        <v>0.1</v>
      </c>
      <c r="I150">
        <v>963.9</v>
      </c>
      <c r="J150">
        <v>240.97</v>
      </c>
      <c r="K150" t="s">
        <v>19</v>
      </c>
      <c r="L150" t="s">
        <v>27</v>
      </c>
      <c r="M150" s="5" t="str">
        <f t="shared" si="4"/>
        <v>New</v>
      </c>
      <c r="N150" s="5" t="str">
        <f>TEXT(C150,"yyyy")</f>
        <v>2025</v>
      </c>
      <c r="O150" s="5" t="str">
        <f t="shared" si="5"/>
        <v>Medium</v>
      </c>
    </row>
    <row r="151" spans="1:15" x14ac:dyDescent="0.35">
      <c r="A151" t="s">
        <v>279</v>
      </c>
      <c r="B151" t="s">
        <v>280</v>
      </c>
      <c r="C151" s="1">
        <v>45226</v>
      </c>
      <c r="D151" t="s">
        <v>23</v>
      </c>
      <c r="E151" t="s">
        <v>33</v>
      </c>
      <c r="F151" t="s">
        <v>38</v>
      </c>
      <c r="G151">
        <v>2</v>
      </c>
      <c r="H151">
        <v>0.15</v>
      </c>
      <c r="I151">
        <v>445.4</v>
      </c>
      <c r="J151">
        <v>89.08</v>
      </c>
      <c r="K151" t="s">
        <v>39</v>
      </c>
      <c r="L151" t="s">
        <v>20</v>
      </c>
      <c r="M151" s="5" t="str">
        <f t="shared" si="4"/>
        <v>New</v>
      </c>
      <c r="N151" s="5" t="str">
        <f>TEXT(C151,"yyyy")</f>
        <v>2023</v>
      </c>
      <c r="O151" s="5" t="str">
        <f t="shared" si="5"/>
        <v>High</v>
      </c>
    </row>
    <row r="152" spans="1:15" x14ac:dyDescent="0.35">
      <c r="A152" t="s">
        <v>281</v>
      </c>
      <c r="B152" t="s">
        <v>265</v>
      </c>
      <c r="C152" s="1">
        <v>45833</v>
      </c>
      <c r="D152" t="s">
        <v>37</v>
      </c>
      <c r="E152" t="s">
        <v>17</v>
      </c>
      <c r="F152" t="s">
        <v>58</v>
      </c>
      <c r="G152">
        <v>4</v>
      </c>
      <c r="H152">
        <v>0.15</v>
      </c>
      <c r="I152">
        <v>751.4</v>
      </c>
      <c r="J152">
        <v>225.42</v>
      </c>
      <c r="K152" t="s">
        <v>26</v>
      </c>
      <c r="L152" t="s">
        <v>20</v>
      </c>
      <c r="M152" s="5" t="str">
        <f t="shared" si="4"/>
        <v>Repeat</v>
      </c>
      <c r="N152" s="5" t="str">
        <f>TEXT(C152,"yyyy")</f>
        <v>2025</v>
      </c>
      <c r="O152" s="5" t="str">
        <f t="shared" si="5"/>
        <v>High</v>
      </c>
    </row>
    <row r="153" spans="1:15" x14ac:dyDescent="0.35">
      <c r="A153" t="s">
        <v>282</v>
      </c>
      <c r="B153" t="s">
        <v>283</v>
      </c>
      <c r="C153" s="1">
        <v>45229</v>
      </c>
      <c r="D153" t="s">
        <v>42</v>
      </c>
      <c r="E153" t="s">
        <v>24</v>
      </c>
      <c r="F153" t="s">
        <v>49</v>
      </c>
      <c r="G153">
        <v>2</v>
      </c>
      <c r="H153">
        <v>0.05</v>
      </c>
      <c r="I153">
        <v>668.8</v>
      </c>
      <c r="J153">
        <v>167.2</v>
      </c>
      <c r="K153" t="s">
        <v>26</v>
      </c>
      <c r="L153" t="s">
        <v>20</v>
      </c>
      <c r="M153" s="5" t="str">
        <f t="shared" si="4"/>
        <v>Repeat</v>
      </c>
      <c r="N153" s="5" t="str">
        <f>TEXT(C153,"yyyy")</f>
        <v>2023</v>
      </c>
      <c r="O153" s="5" t="str">
        <f t="shared" si="5"/>
        <v>Least or No</v>
      </c>
    </row>
    <row r="154" spans="1:15" x14ac:dyDescent="0.35">
      <c r="A154" t="s">
        <v>284</v>
      </c>
      <c r="B154" t="s">
        <v>285</v>
      </c>
      <c r="C154" s="1">
        <v>45173</v>
      </c>
      <c r="D154" t="s">
        <v>16</v>
      </c>
      <c r="E154" t="s">
        <v>33</v>
      </c>
      <c r="F154" t="s">
        <v>43</v>
      </c>
      <c r="G154">
        <v>2</v>
      </c>
      <c r="H154">
        <v>0</v>
      </c>
      <c r="I154">
        <v>868</v>
      </c>
      <c r="J154">
        <v>260.39999999999998</v>
      </c>
      <c r="K154" t="s">
        <v>39</v>
      </c>
      <c r="L154" t="s">
        <v>27</v>
      </c>
      <c r="M154" s="5" t="str">
        <f t="shared" si="4"/>
        <v>Repeat</v>
      </c>
      <c r="N154" s="5" t="str">
        <f>TEXT(C154,"yyyy")</f>
        <v>2023</v>
      </c>
      <c r="O154" s="5" t="str">
        <f t="shared" si="5"/>
        <v>Least or No</v>
      </c>
    </row>
    <row r="155" spans="1:15" x14ac:dyDescent="0.35">
      <c r="A155" t="s">
        <v>286</v>
      </c>
      <c r="B155" t="s">
        <v>287</v>
      </c>
      <c r="C155" s="1">
        <v>45506</v>
      </c>
      <c r="D155" t="s">
        <v>42</v>
      </c>
      <c r="E155" t="s">
        <v>33</v>
      </c>
      <c r="F155" t="s">
        <v>66</v>
      </c>
      <c r="G155">
        <v>3</v>
      </c>
      <c r="H155">
        <v>0.05</v>
      </c>
      <c r="I155">
        <v>433.2</v>
      </c>
      <c r="J155">
        <v>86.64</v>
      </c>
      <c r="K155" t="s">
        <v>39</v>
      </c>
      <c r="L155" t="s">
        <v>20</v>
      </c>
      <c r="M155" s="5" t="str">
        <f t="shared" si="4"/>
        <v>Repeat</v>
      </c>
      <c r="N155" s="5" t="str">
        <f>TEXT(C155,"yyyy")</f>
        <v>2024</v>
      </c>
      <c r="O155" s="5" t="str">
        <f t="shared" si="5"/>
        <v>Least or No</v>
      </c>
    </row>
    <row r="156" spans="1:15" x14ac:dyDescent="0.35">
      <c r="A156" t="s">
        <v>288</v>
      </c>
      <c r="B156" t="s">
        <v>159</v>
      </c>
      <c r="C156" s="1">
        <v>45698</v>
      </c>
      <c r="D156" t="s">
        <v>23</v>
      </c>
      <c r="E156" t="s">
        <v>33</v>
      </c>
      <c r="F156" t="s">
        <v>43</v>
      </c>
      <c r="G156">
        <v>3</v>
      </c>
      <c r="H156">
        <v>0.15</v>
      </c>
      <c r="I156">
        <v>991.95</v>
      </c>
      <c r="J156">
        <v>198.39</v>
      </c>
      <c r="K156" t="s">
        <v>19</v>
      </c>
      <c r="L156" t="s">
        <v>27</v>
      </c>
      <c r="M156" s="5" t="str">
        <f t="shared" si="4"/>
        <v>Repeat</v>
      </c>
      <c r="N156" s="5" t="str">
        <f>TEXT(C156,"yyyy")</f>
        <v>2025</v>
      </c>
      <c r="O156" s="5" t="str">
        <f t="shared" si="5"/>
        <v>High</v>
      </c>
    </row>
    <row r="157" spans="1:15" x14ac:dyDescent="0.35">
      <c r="A157" t="s">
        <v>289</v>
      </c>
      <c r="B157" t="s">
        <v>176</v>
      </c>
      <c r="C157" s="1">
        <v>45054</v>
      </c>
      <c r="D157" t="s">
        <v>16</v>
      </c>
      <c r="E157" t="s">
        <v>33</v>
      </c>
      <c r="F157" t="s">
        <v>38</v>
      </c>
      <c r="G157">
        <v>1</v>
      </c>
      <c r="H157">
        <v>0.15</v>
      </c>
      <c r="I157">
        <v>181.9</v>
      </c>
      <c r="J157">
        <v>54.57</v>
      </c>
      <c r="K157" t="s">
        <v>26</v>
      </c>
      <c r="L157" t="s">
        <v>20</v>
      </c>
      <c r="M157" s="5" t="str">
        <f t="shared" si="4"/>
        <v>Repeat</v>
      </c>
      <c r="N157" s="5" t="str">
        <f>TEXT(C157,"yyyy")</f>
        <v>2023</v>
      </c>
      <c r="O157" s="5" t="str">
        <f t="shared" si="5"/>
        <v>High</v>
      </c>
    </row>
    <row r="158" spans="1:15" x14ac:dyDescent="0.35">
      <c r="A158" t="s">
        <v>290</v>
      </c>
      <c r="B158" t="s">
        <v>232</v>
      </c>
      <c r="C158" s="1">
        <v>45063</v>
      </c>
      <c r="D158" t="s">
        <v>23</v>
      </c>
      <c r="E158" t="s">
        <v>33</v>
      </c>
      <c r="F158" t="s">
        <v>34</v>
      </c>
      <c r="G158">
        <v>3</v>
      </c>
      <c r="H158">
        <v>0</v>
      </c>
      <c r="I158">
        <v>366</v>
      </c>
      <c r="J158">
        <v>109.8</v>
      </c>
      <c r="K158" t="s">
        <v>39</v>
      </c>
      <c r="L158" t="s">
        <v>27</v>
      </c>
      <c r="M158" s="5" t="str">
        <f t="shared" si="4"/>
        <v>Repeat</v>
      </c>
      <c r="N158" s="5" t="str">
        <f>TEXT(C158,"yyyy")</f>
        <v>2023</v>
      </c>
      <c r="O158" s="5" t="str">
        <f t="shared" si="5"/>
        <v>Least or No</v>
      </c>
    </row>
    <row r="159" spans="1:15" x14ac:dyDescent="0.35">
      <c r="A159" t="s">
        <v>291</v>
      </c>
      <c r="B159" t="s">
        <v>70</v>
      </c>
      <c r="C159" s="1">
        <v>45260</v>
      </c>
      <c r="D159" t="s">
        <v>63</v>
      </c>
      <c r="E159" t="s">
        <v>24</v>
      </c>
      <c r="F159" t="s">
        <v>107</v>
      </c>
      <c r="G159">
        <v>2</v>
      </c>
      <c r="H159">
        <v>0.15</v>
      </c>
      <c r="I159">
        <v>765</v>
      </c>
      <c r="J159">
        <v>153</v>
      </c>
      <c r="K159" t="s">
        <v>39</v>
      </c>
      <c r="L159" t="s">
        <v>20</v>
      </c>
      <c r="M159" s="5" t="str">
        <f t="shared" si="4"/>
        <v>Repeat</v>
      </c>
      <c r="N159" s="5" t="str">
        <f>TEXT(C159,"yyyy")</f>
        <v>2023</v>
      </c>
      <c r="O159" s="5" t="str">
        <f t="shared" si="5"/>
        <v>High</v>
      </c>
    </row>
    <row r="160" spans="1:15" x14ac:dyDescent="0.35">
      <c r="A160" t="s">
        <v>292</v>
      </c>
      <c r="B160" t="s">
        <v>202</v>
      </c>
      <c r="C160" s="1">
        <v>45414</v>
      </c>
      <c r="D160" t="s">
        <v>63</v>
      </c>
      <c r="E160" t="s">
        <v>33</v>
      </c>
      <c r="F160" t="s">
        <v>71</v>
      </c>
      <c r="G160">
        <v>2</v>
      </c>
      <c r="H160">
        <v>0</v>
      </c>
      <c r="I160">
        <v>446</v>
      </c>
      <c r="J160">
        <v>133.80000000000001</v>
      </c>
      <c r="K160" t="s">
        <v>19</v>
      </c>
      <c r="L160" t="s">
        <v>27</v>
      </c>
      <c r="M160" s="5" t="str">
        <f t="shared" si="4"/>
        <v>Repeat</v>
      </c>
      <c r="N160" s="5" t="str">
        <f>TEXT(C160,"yyyy")</f>
        <v>2024</v>
      </c>
      <c r="O160" s="5" t="str">
        <f t="shared" si="5"/>
        <v>Least or No</v>
      </c>
    </row>
    <row r="161" spans="1:15" x14ac:dyDescent="0.35">
      <c r="A161" t="s">
        <v>293</v>
      </c>
      <c r="B161" t="s">
        <v>187</v>
      </c>
      <c r="C161" s="1">
        <v>45638</v>
      </c>
      <c r="D161" t="s">
        <v>63</v>
      </c>
      <c r="E161" t="s">
        <v>33</v>
      </c>
      <c r="F161" t="s">
        <v>38</v>
      </c>
      <c r="G161">
        <v>2</v>
      </c>
      <c r="H161">
        <v>0.05</v>
      </c>
      <c r="I161">
        <v>663.1</v>
      </c>
      <c r="J161">
        <v>198.93</v>
      </c>
      <c r="K161" t="s">
        <v>19</v>
      </c>
      <c r="L161" t="s">
        <v>27</v>
      </c>
      <c r="M161" s="5" t="str">
        <f t="shared" si="4"/>
        <v>Repeat</v>
      </c>
      <c r="N161" s="5" t="str">
        <f>TEXT(C161,"yyyy")</f>
        <v>2024</v>
      </c>
      <c r="O161" s="5" t="str">
        <f t="shared" si="5"/>
        <v>Least or No</v>
      </c>
    </row>
    <row r="162" spans="1:15" x14ac:dyDescent="0.35">
      <c r="A162" t="s">
        <v>294</v>
      </c>
      <c r="B162" t="s">
        <v>295</v>
      </c>
      <c r="C162" s="1">
        <v>45689</v>
      </c>
      <c r="D162" t="s">
        <v>63</v>
      </c>
      <c r="E162" t="s">
        <v>33</v>
      </c>
      <c r="F162" t="s">
        <v>34</v>
      </c>
      <c r="G162">
        <v>3</v>
      </c>
      <c r="H162">
        <v>0.05</v>
      </c>
      <c r="I162">
        <v>242.25</v>
      </c>
      <c r="J162">
        <v>72.67</v>
      </c>
      <c r="K162" t="s">
        <v>39</v>
      </c>
      <c r="L162" t="s">
        <v>20</v>
      </c>
      <c r="M162" s="5" t="str">
        <f t="shared" si="4"/>
        <v>Repeat</v>
      </c>
      <c r="N162" s="5" t="str">
        <f>TEXT(C162,"yyyy")</f>
        <v>2025</v>
      </c>
      <c r="O162" s="5" t="str">
        <f t="shared" si="5"/>
        <v>Least or No</v>
      </c>
    </row>
    <row r="163" spans="1:15" x14ac:dyDescent="0.35">
      <c r="A163" t="s">
        <v>296</v>
      </c>
      <c r="B163" t="s">
        <v>86</v>
      </c>
      <c r="C163" s="1">
        <v>45268</v>
      </c>
      <c r="D163" t="s">
        <v>16</v>
      </c>
      <c r="E163" t="s">
        <v>17</v>
      </c>
      <c r="F163" t="s">
        <v>78</v>
      </c>
      <c r="G163">
        <v>3</v>
      </c>
      <c r="H163">
        <v>0.1</v>
      </c>
      <c r="I163">
        <v>685.8</v>
      </c>
      <c r="J163">
        <v>137.16</v>
      </c>
      <c r="K163" t="s">
        <v>26</v>
      </c>
      <c r="L163" t="s">
        <v>20</v>
      </c>
      <c r="M163" s="5" t="str">
        <f t="shared" si="4"/>
        <v>Repeat</v>
      </c>
      <c r="N163" s="5" t="str">
        <f>TEXT(C163,"yyyy")</f>
        <v>2023</v>
      </c>
      <c r="O163" s="5" t="str">
        <f t="shared" si="5"/>
        <v>Medium</v>
      </c>
    </row>
    <row r="164" spans="1:15" x14ac:dyDescent="0.35">
      <c r="A164" t="s">
        <v>297</v>
      </c>
      <c r="B164" t="s">
        <v>154</v>
      </c>
      <c r="C164" s="1">
        <v>44991</v>
      </c>
      <c r="D164" t="s">
        <v>16</v>
      </c>
      <c r="E164" t="s">
        <v>33</v>
      </c>
      <c r="F164" t="s">
        <v>43</v>
      </c>
      <c r="G164">
        <v>2</v>
      </c>
      <c r="H164">
        <v>0.1</v>
      </c>
      <c r="I164">
        <v>279</v>
      </c>
      <c r="J164">
        <v>55.8</v>
      </c>
      <c r="K164" t="s">
        <v>19</v>
      </c>
      <c r="L164" t="s">
        <v>27</v>
      </c>
      <c r="M164" s="5" t="str">
        <f t="shared" si="4"/>
        <v>Repeat</v>
      </c>
      <c r="N164" s="5" t="str">
        <f>TEXT(C164,"yyyy")</f>
        <v>2023</v>
      </c>
      <c r="O164" s="5" t="str">
        <f t="shared" si="5"/>
        <v>Medium</v>
      </c>
    </row>
    <row r="165" spans="1:15" x14ac:dyDescent="0.35">
      <c r="A165" t="s">
        <v>298</v>
      </c>
      <c r="B165" t="s">
        <v>105</v>
      </c>
      <c r="C165" s="1">
        <v>45047</v>
      </c>
      <c r="D165" t="s">
        <v>63</v>
      </c>
      <c r="E165" t="s">
        <v>33</v>
      </c>
      <c r="F165" t="s">
        <v>34</v>
      </c>
      <c r="G165">
        <v>4</v>
      </c>
      <c r="H165">
        <v>0</v>
      </c>
      <c r="I165">
        <v>1012</v>
      </c>
      <c r="J165">
        <v>202.4</v>
      </c>
      <c r="K165" t="s">
        <v>26</v>
      </c>
      <c r="L165" t="s">
        <v>27</v>
      </c>
      <c r="M165" s="5" t="str">
        <f t="shared" si="4"/>
        <v>Repeat</v>
      </c>
      <c r="N165" s="5" t="str">
        <f>TEXT(C165,"yyyy")</f>
        <v>2023</v>
      </c>
      <c r="O165" s="5" t="str">
        <f t="shared" si="5"/>
        <v>Least or No</v>
      </c>
    </row>
    <row r="166" spans="1:15" x14ac:dyDescent="0.35">
      <c r="A166" t="s">
        <v>299</v>
      </c>
      <c r="B166" t="s">
        <v>70</v>
      </c>
      <c r="C166" s="1">
        <v>45959</v>
      </c>
      <c r="D166" t="s">
        <v>23</v>
      </c>
      <c r="E166" t="s">
        <v>33</v>
      </c>
      <c r="F166" t="s">
        <v>38</v>
      </c>
      <c r="G166">
        <v>3</v>
      </c>
      <c r="H166">
        <v>0.05</v>
      </c>
      <c r="I166">
        <v>333.45</v>
      </c>
      <c r="J166">
        <v>66.69</v>
      </c>
      <c r="K166" t="s">
        <v>19</v>
      </c>
      <c r="L166" t="s">
        <v>20</v>
      </c>
      <c r="M166" s="5" t="str">
        <f t="shared" si="4"/>
        <v>Repeat</v>
      </c>
      <c r="N166" s="5" t="str">
        <f>TEXT(C166,"yyyy")</f>
        <v>2025</v>
      </c>
      <c r="O166" s="5" t="str">
        <f t="shared" si="5"/>
        <v>Least or No</v>
      </c>
    </row>
    <row r="167" spans="1:15" x14ac:dyDescent="0.35">
      <c r="A167" t="s">
        <v>300</v>
      </c>
      <c r="B167" t="s">
        <v>301</v>
      </c>
      <c r="C167" s="1">
        <v>45353</v>
      </c>
      <c r="D167" t="s">
        <v>42</v>
      </c>
      <c r="E167" t="s">
        <v>17</v>
      </c>
      <c r="F167" t="s">
        <v>46</v>
      </c>
      <c r="G167">
        <v>3</v>
      </c>
      <c r="H167">
        <v>0.1</v>
      </c>
      <c r="I167">
        <v>459</v>
      </c>
      <c r="J167">
        <v>137.69999999999999</v>
      </c>
      <c r="K167" t="s">
        <v>26</v>
      </c>
      <c r="L167" t="s">
        <v>27</v>
      </c>
      <c r="M167" s="5" t="str">
        <f t="shared" si="4"/>
        <v>New</v>
      </c>
      <c r="N167" s="5" t="str">
        <f>TEXT(C167,"yyyy")</f>
        <v>2024</v>
      </c>
      <c r="O167" s="5" t="str">
        <f t="shared" si="5"/>
        <v>Medium</v>
      </c>
    </row>
    <row r="168" spans="1:15" x14ac:dyDescent="0.35">
      <c r="A168" t="s">
        <v>302</v>
      </c>
      <c r="B168" t="s">
        <v>110</v>
      </c>
      <c r="C168" s="1">
        <v>45839</v>
      </c>
      <c r="D168" t="s">
        <v>16</v>
      </c>
      <c r="E168" t="s">
        <v>24</v>
      </c>
      <c r="F168" t="s">
        <v>49</v>
      </c>
      <c r="G168">
        <v>1</v>
      </c>
      <c r="H168">
        <v>0.1</v>
      </c>
      <c r="I168">
        <v>150.30000000000001</v>
      </c>
      <c r="J168">
        <v>37.58</v>
      </c>
      <c r="K168" t="s">
        <v>19</v>
      </c>
      <c r="L168" t="s">
        <v>20</v>
      </c>
      <c r="M168" s="5" t="str">
        <f t="shared" si="4"/>
        <v>Repeat</v>
      </c>
      <c r="N168" s="5" t="str">
        <f>TEXT(C168,"yyyy")</f>
        <v>2025</v>
      </c>
      <c r="O168" s="5" t="str">
        <f t="shared" si="5"/>
        <v>Medium</v>
      </c>
    </row>
    <row r="169" spans="1:15" x14ac:dyDescent="0.35">
      <c r="A169" t="s">
        <v>303</v>
      </c>
      <c r="B169" t="s">
        <v>304</v>
      </c>
      <c r="C169" s="1">
        <v>45421</v>
      </c>
      <c r="D169" t="s">
        <v>63</v>
      </c>
      <c r="E169" t="s">
        <v>33</v>
      </c>
      <c r="F169" t="s">
        <v>66</v>
      </c>
      <c r="G169">
        <v>4</v>
      </c>
      <c r="H169">
        <v>0.1</v>
      </c>
      <c r="I169">
        <v>1011.6</v>
      </c>
      <c r="J169">
        <v>202.32</v>
      </c>
      <c r="K169" t="s">
        <v>26</v>
      </c>
      <c r="L169" t="s">
        <v>27</v>
      </c>
      <c r="M169" s="5" t="str">
        <f t="shared" si="4"/>
        <v>Repeat</v>
      </c>
      <c r="N169" s="5" t="str">
        <f>TEXT(C169,"yyyy")</f>
        <v>2024</v>
      </c>
      <c r="O169" s="5" t="str">
        <f t="shared" si="5"/>
        <v>Medium</v>
      </c>
    </row>
    <row r="170" spans="1:15" x14ac:dyDescent="0.35">
      <c r="A170" t="s">
        <v>305</v>
      </c>
      <c r="B170" t="s">
        <v>112</v>
      </c>
      <c r="C170" s="1">
        <v>45457</v>
      </c>
      <c r="D170" t="s">
        <v>37</v>
      </c>
      <c r="E170" t="s">
        <v>24</v>
      </c>
      <c r="F170" t="s">
        <v>25</v>
      </c>
      <c r="G170">
        <v>4</v>
      </c>
      <c r="H170">
        <v>0.05</v>
      </c>
      <c r="I170">
        <v>1406</v>
      </c>
      <c r="J170">
        <v>351.5</v>
      </c>
      <c r="K170" t="s">
        <v>39</v>
      </c>
      <c r="L170" t="s">
        <v>27</v>
      </c>
      <c r="M170" s="5" t="str">
        <f t="shared" si="4"/>
        <v>Repeat</v>
      </c>
      <c r="N170" s="5" t="str">
        <f>TEXT(C170,"yyyy")</f>
        <v>2024</v>
      </c>
      <c r="O170" s="5" t="str">
        <f t="shared" si="5"/>
        <v>Least or No</v>
      </c>
    </row>
    <row r="171" spans="1:15" x14ac:dyDescent="0.35">
      <c r="A171" t="s">
        <v>306</v>
      </c>
      <c r="B171" t="s">
        <v>307</v>
      </c>
      <c r="C171" s="1">
        <v>45810</v>
      </c>
      <c r="D171" t="s">
        <v>23</v>
      </c>
      <c r="E171" t="s">
        <v>24</v>
      </c>
      <c r="F171" t="s">
        <v>25</v>
      </c>
      <c r="G171">
        <v>4</v>
      </c>
      <c r="H171">
        <v>0.05</v>
      </c>
      <c r="I171">
        <v>862.6</v>
      </c>
      <c r="J171">
        <v>215.65</v>
      </c>
      <c r="K171" t="s">
        <v>26</v>
      </c>
      <c r="L171" t="s">
        <v>27</v>
      </c>
      <c r="M171" s="5" t="str">
        <f t="shared" si="4"/>
        <v>Repeat</v>
      </c>
      <c r="N171" s="5" t="str">
        <f>TEXT(C171,"yyyy")</f>
        <v>2025</v>
      </c>
      <c r="O171" s="5" t="str">
        <f t="shared" si="5"/>
        <v>Least or No</v>
      </c>
    </row>
    <row r="172" spans="1:15" x14ac:dyDescent="0.35">
      <c r="A172" t="s">
        <v>308</v>
      </c>
      <c r="B172" t="s">
        <v>92</v>
      </c>
      <c r="C172" s="1">
        <v>45637</v>
      </c>
      <c r="D172" t="s">
        <v>37</v>
      </c>
      <c r="E172" t="s">
        <v>17</v>
      </c>
      <c r="F172" t="s">
        <v>78</v>
      </c>
      <c r="G172">
        <v>2</v>
      </c>
      <c r="H172">
        <v>0.1</v>
      </c>
      <c r="I172">
        <v>680.4</v>
      </c>
      <c r="J172">
        <v>204.12</v>
      </c>
      <c r="K172" t="s">
        <v>26</v>
      </c>
      <c r="L172" t="s">
        <v>20</v>
      </c>
      <c r="M172" s="5" t="str">
        <f t="shared" si="4"/>
        <v>Repeat</v>
      </c>
      <c r="N172" s="5" t="str">
        <f>TEXT(C172,"yyyy")</f>
        <v>2024</v>
      </c>
      <c r="O172" s="5" t="str">
        <f t="shared" si="5"/>
        <v>Medium</v>
      </c>
    </row>
    <row r="173" spans="1:15" x14ac:dyDescent="0.35">
      <c r="A173" t="s">
        <v>309</v>
      </c>
      <c r="B173" t="s">
        <v>254</v>
      </c>
      <c r="C173" s="1">
        <v>45850</v>
      </c>
      <c r="D173" t="s">
        <v>23</v>
      </c>
      <c r="E173" t="s">
        <v>33</v>
      </c>
      <c r="F173" t="s">
        <v>34</v>
      </c>
      <c r="G173">
        <v>2</v>
      </c>
      <c r="H173">
        <v>0.1</v>
      </c>
      <c r="I173">
        <v>806.4</v>
      </c>
      <c r="J173">
        <v>201.6</v>
      </c>
      <c r="K173" t="s">
        <v>26</v>
      </c>
      <c r="L173" t="s">
        <v>20</v>
      </c>
      <c r="M173" s="5" t="str">
        <f t="shared" si="4"/>
        <v>Repeat</v>
      </c>
      <c r="N173" s="5" t="str">
        <f>TEXT(C173,"yyyy")</f>
        <v>2025</v>
      </c>
      <c r="O173" s="5" t="str">
        <f t="shared" si="5"/>
        <v>Medium</v>
      </c>
    </row>
    <row r="174" spans="1:15" x14ac:dyDescent="0.35">
      <c r="A174" t="s">
        <v>310</v>
      </c>
      <c r="B174" t="s">
        <v>57</v>
      </c>
      <c r="C174" s="1">
        <v>45701</v>
      </c>
      <c r="D174" t="s">
        <v>23</v>
      </c>
      <c r="E174" t="s">
        <v>17</v>
      </c>
      <c r="F174" t="s">
        <v>58</v>
      </c>
      <c r="G174">
        <v>4</v>
      </c>
      <c r="H174">
        <v>0.05</v>
      </c>
      <c r="I174">
        <v>1200.8</v>
      </c>
      <c r="J174">
        <v>360.24</v>
      </c>
      <c r="K174" t="s">
        <v>39</v>
      </c>
      <c r="L174" t="s">
        <v>20</v>
      </c>
      <c r="M174" s="5" t="str">
        <f t="shared" si="4"/>
        <v>Repeat</v>
      </c>
      <c r="N174" s="5" t="str">
        <f>TEXT(C174,"yyyy")</f>
        <v>2025</v>
      </c>
      <c r="O174" s="5" t="str">
        <f t="shared" si="5"/>
        <v>Least or No</v>
      </c>
    </row>
    <row r="175" spans="1:15" x14ac:dyDescent="0.35">
      <c r="A175" t="s">
        <v>311</v>
      </c>
      <c r="B175" t="s">
        <v>210</v>
      </c>
      <c r="C175" s="1">
        <v>45014</v>
      </c>
      <c r="D175" t="s">
        <v>42</v>
      </c>
      <c r="E175" t="s">
        <v>24</v>
      </c>
      <c r="F175" t="s">
        <v>25</v>
      </c>
      <c r="G175">
        <v>3</v>
      </c>
      <c r="H175">
        <v>0.1</v>
      </c>
      <c r="I175">
        <v>839.7</v>
      </c>
      <c r="J175">
        <v>209.93</v>
      </c>
      <c r="K175" t="s">
        <v>39</v>
      </c>
      <c r="L175" t="s">
        <v>20</v>
      </c>
      <c r="M175" s="5" t="str">
        <f t="shared" si="4"/>
        <v>Repeat</v>
      </c>
      <c r="N175" s="5" t="str">
        <f>TEXT(C175,"yyyy")</f>
        <v>2023</v>
      </c>
      <c r="O175" s="5" t="str">
        <f t="shared" si="5"/>
        <v>Medium</v>
      </c>
    </row>
    <row r="176" spans="1:15" x14ac:dyDescent="0.35">
      <c r="A176" t="s">
        <v>312</v>
      </c>
      <c r="B176" t="s">
        <v>313</v>
      </c>
      <c r="C176" s="1">
        <v>45143</v>
      </c>
      <c r="D176" t="s">
        <v>37</v>
      </c>
      <c r="E176" t="s">
        <v>33</v>
      </c>
      <c r="F176" t="s">
        <v>38</v>
      </c>
      <c r="G176">
        <v>1</v>
      </c>
      <c r="H176">
        <v>0.15</v>
      </c>
      <c r="I176">
        <v>199.75</v>
      </c>
      <c r="J176">
        <v>59.92</v>
      </c>
      <c r="K176" t="s">
        <v>19</v>
      </c>
      <c r="L176" t="s">
        <v>27</v>
      </c>
      <c r="M176" s="5" t="str">
        <f t="shared" si="4"/>
        <v>Repeat</v>
      </c>
      <c r="N176" s="5" t="str">
        <f>TEXT(C176,"yyyy")</f>
        <v>2023</v>
      </c>
      <c r="O176" s="5" t="str">
        <f t="shared" si="5"/>
        <v>High</v>
      </c>
    </row>
    <row r="177" spans="1:15" x14ac:dyDescent="0.35">
      <c r="A177" t="s">
        <v>314</v>
      </c>
      <c r="B177" t="s">
        <v>176</v>
      </c>
      <c r="C177" s="1">
        <v>45102</v>
      </c>
      <c r="D177" t="s">
        <v>23</v>
      </c>
      <c r="E177" t="s">
        <v>24</v>
      </c>
      <c r="F177" t="s">
        <v>49</v>
      </c>
      <c r="G177">
        <v>4</v>
      </c>
      <c r="H177">
        <v>0</v>
      </c>
      <c r="I177">
        <v>1324</v>
      </c>
      <c r="J177">
        <v>397.2</v>
      </c>
      <c r="K177" t="s">
        <v>39</v>
      </c>
      <c r="L177" t="s">
        <v>27</v>
      </c>
      <c r="M177" s="5" t="str">
        <f t="shared" si="4"/>
        <v>Repeat</v>
      </c>
      <c r="N177" s="5" t="str">
        <f>TEXT(C177,"yyyy")</f>
        <v>2023</v>
      </c>
      <c r="O177" s="5" t="str">
        <f t="shared" si="5"/>
        <v>Least or No</v>
      </c>
    </row>
    <row r="178" spans="1:15" x14ac:dyDescent="0.35">
      <c r="A178" t="s">
        <v>315</v>
      </c>
      <c r="B178" t="s">
        <v>304</v>
      </c>
      <c r="C178" s="1">
        <v>45658</v>
      </c>
      <c r="D178" t="s">
        <v>37</v>
      </c>
      <c r="E178" t="s">
        <v>24</v>
      </c>
      <c r="F178" t="s">
        <v>30</v>
      </c>
      <c r="G178">
        <v>1</v>
      </c>
      <c r="H178">
        <v>0</v>
      </c>
      <c r="I178">
        <v>242</v>
      </c>
      <c r="J178">
        <v>60.5</v>
      </c>
      <c r="K178" t="s">
        <v>19</v>
      </c>
      <c r="L178" t="s">
        <v>20</v>
      </c>
      <c r="M178" s="5" t="str">
        <f t="shared" si="4"/>
        <v>Repeat</v>
      </c>
      <c r="N178" s="5" t="str">
        <f>TEXT(C178,"yyyy")</f>
        <v>2025</v>
      </c>
      <c r="O178" s="5" t="str">
        <f t="shared" si="5"/>
        <v>Least or No</v>
      </c>
    </row>
    <row r="179" spans="1:15" x14ac:dyDescent="0.35">
      <c r="A179" t="s">
        <v>316</v>
      </c>
      <c r="B179" t="s">
        <v>317</v>
      </c>
      <c r="C179" s="1">
        <v>45057</v>
      </c>
      <c r="D179" t="s">
        <v>63</v>
      </c>
      <c r="E179" t="s">
        <v>17</v>
      </c>
      <c r="F179" t="s">
        <v>18</v>
      </c>
      <c r="G179">
        <v>1</v>
      </c>
      <c r="H179">
        <v>0.1</v>
      </c>
      <c r="I179">
        <v>357.3</v>
      </c>
      <c r="J179">
        <v>107.19</v>
      </c>
      <c r="K179" t="s">
        <v>19</v>
      </c>
      <c r="L179" t="s">
        <v>20</v>
      </c>
      <c r="M179" s="5" t="str">
        <f t="shared" si="4"/>
        <v>New</v>
      </c>
      <c r="N179" s="5" t="str">
        <f>TEXT(C179,"yyyy")</f>
        <v>2023</v>
      </c>
      <c r="O179" s="5" t="str">
        <f t="shared" si="5"/>
        <v>Medium</v>
      </c>
    </row>
    <row r="180" spans="1:15" x14ac:dyDescent="0.35">
      <c r="A180" t="s">
        <v>318</v>
      </c>
      <c r="B180" t="s">
        <v>166</v>
      </c>
      <c r="C180" s="1">
        <v>45505</v>
      </c>
      <c r="D180" t="s">
        <v>16</v>
      </c>
      <c r="E180" t="s">
        <v>17</v>
      </c>
      <c r="F180" t="s">
        <v>78</v>
      </c>
      <c r="G180">
        <v>2</v>
      </c>
      <c r="H180">
        <v>0</v>
      </c>
      <c r="I180">
        <v>880</v>
      </c>
      <c r="J180">
        <v>264</v>
      </c>
      <c r="K180" t="s">
        <v>26</v>
      </c>
      <c r="L180" t="s">
        <v>20</v>
      </c>
      <c r="M180" s="5" t="str">
        <f t="shared" si="4"/>
        <v>Repeat</v>
      </c>
      <c r="N180" s="5" t="str">
        <f>TEXT(C180,"yyyy")</f>
        <v>2024</v>
      </c>
      <c r="O180" s="5" t="str">
        <f t="shared" si="5"/>
        <v>Least or No</v>
      </c>
    </row>
    <row r="181" spans="1:15" x14ac:dyDescent="0.35">
      <c r="A181" t="s">
        <v>319</v>
      </c>
      <c r="B181" t="s">
        <v>246</v>
      </c>
      <c r="C181" s="1">
        <v>45233</v>
      </c>
      <c r="D181" t="s">
        <v>42</v>
      </c>
      <c r="E181" t="s">
        <v>17</v>
      </c>
      <c r="F181" t="s">
        <v>78</v>
      </c>
      <c r="G181">
        <v>2</v>
      </c>
      <c r="H181">
        <v>0</v>
      </c>
      <c r="I181">
        <v>762</v>
      </c>
      <c r="J181">
        <v>190.5</v>
      </c>
      <c r="K181" t="s">
        <v>19</v>
      </c>
      <c r="L181" t="s">
        <v>27</v>
      </c>
      <c r="M181" s="5" t="str">
        <f t="shared" si="4"/>
        <v>Repeat</v>
      </c>
      <c r="N181" s="5" t="str">
        <f>TEXT(C181,"yyyy")</f>
        <v>2023</v>
      </c>
      <c r="O181" s="5" t="str">
        <f t="shared" si="5"/>
        <v>Least or No</v>
      </c>
    </row>
    <row r="182" spans="1:15" x14ac:dyDescent="0.35">
      <c r="A182" t="s">
        <v>320</v>
      </c>
      <c r="B182" t="s">
        <v>183</v>
      </c>
      <c r="C182" s="1">
        <v>45079</v>
      </c>
      <c r="D182" t="s">
        <v>63</v>
      </c>
      <c r="E182" t="s">
        <v>33</v>
      </c>
      <c r="F182" t="s">
        <v>71</v>
      </c>
      <c r="G182">
        <v>3</v>
      </c>
      <c r="H182">
        <v>0.15</v>
      </c>
      <c r="I182">
        <v>255</v>
      </c>
      <c r="J182">
        <v>63.75</v>
      </c>
      <c r="K182" t="s">
        <v>39</v>
      </c>
      <c r="L182" t="s">
        <v>27</v>
      </c>
      <c r="M182" s="5" t="str">
        <f t="shared" si="4"/>
        <v>Repeat</v>
      </c>
      <c r="N182" s="5" t="str">
        <f>TEXT(C182,"yyyy")</f>
        <v>2023</v>
      </c>
      <c r="O182" s="5" t="str">
        <f t="shared" si="5"/>
        <v>High</v>
      </c>
    </row>
    <row r="183" spans="1:15" x14ac:dyDescent="0.35">
      <c r="A183" t="s">
        <v>321</v>
      </c>
      <c r="B183" t="s">
        <v>322</v>
      </c>
      <c r="C183" s="1">
        <v>44965</v>
      </c>
      <c r="D183" t="s">
        <v>37</v>
      </c>
      <c r="E183" t="s">
        <v>17</v>
      </c>
      <c r="F183" t="s">
        <v>46</v>
      </c>
      <c r="G183">
        <v>4</v>
      </c>
      <c r="H183">
        <v>0.15</v>
      </c>
      <c r="I183">
        <v>272</v>
      </c>
      <c r="J183">
        <v>68</v>
      </c>
      <c r="K183" t="s">
        <v>19</v>
      </c>
      <c r="L183" t="s">
        <v>20</v>
      </c>
      <c r="M183" s="5" t="str">
        <f t="shared" si="4"/>
        <v>New</v>
      </c>
      <c r="N183" s="5" t="str">
        <f>TEXT(C183,"yyyy")</f>
        <v>2023</v>
      </c>
      <c r="O183" s="5" t="str">
        <f t="shared" si="5"/>
        <v>High</v>
      </c>
    </row>
    <row r="184" spans="1:15" x14ac:dyDescent="0.35">
      <c r="A184" t="s">
        <v>323</v>
      </c>
      <c r="B184" t="s">
        <v>185</v>
      </c>
      <c r="C184" s="1">
        <v>45781</v>
      </c>
      <c r="D184" t="s">
        <v>42</v>
      </c>
      <c r="E184" t="s">
        <v>33</v>
      </c>
      <c r="F184" t="s">
        <v>43</v>
      </c>
      <c r="G184">
        <v>1</v>
      </c>
      <c r="H184">
        <v>0</v>
      </c>
      <c r="I184">
        <v>108</v>
      </c>
      <c r="J184">
        <v>21.6</v>
      </c>
      <c r="K184" t="s">
        <v>19</v>
      </c>
      <c r="L184" t="s">
        <v>27</v>
      </c>
      <c r="M184" s="5" t="str">
        <f t="shared" si="4"/>
        <v>Repeat</v>
      </c>
      <c r="N184" s="5" t="str">
        <f>TEXT(C184,"yyyy")</f>
        <v>2025</v>
      </c>
      <c r="O184" s="5" t="str">
        <f t="shared" si="5"/>
        <v>Least or No</v>
      </c>
    </row>
    <row r="185" spans="1:15" x14ac:dyDescent="0.35">
      <c r="A185" t="s">
        <v>324</v>
      </c>
      <c r="B185" t="s">
        <v>80</v>
      </c>
      <c r="C185" s="1">
        <v>46009</v>
      </c>
      <c r="D185" t="s">
        <v>16</v>
      </c>
      <c r="E185" t="s">
        <v>33</v>
      </c>
      <c r="F185" t="s">
        <v>38</v>
      </c>
      <c r="G185">
        <v>4</v>
      </c>
      <c r="H185">
        <v>0.1</v>
      </c>
      <c r="I185">
        <v>1612.8</v>
      </c>
      <c r="J185">
        <v>483.84</v>
      </c>
      <c r="K185" t="s">
        <v>19</v>
      </c>
      <c r="L185" t="s">
        <v>20</v>
      </c>
      <c r="M185" s="5" t="str">
        <f t="shared" si="4"/>
        <v>Repeat</v>
      </c>
      <c r="N185" s="5" t="str">
        <f>TEXT(C185,"yyyy")</f>
        <v>2025</v>
      </c>
      <c r="O185" s="5" t="str">
        <f t="shared" si="5"/>
        <v>Medium</v>
      </c>
    </row>
    <row r="186" spans="1:15" x14ac:dyDescent="0.35">
      <c r="A186" t="s">
        <v>325</v>
      </c>
      <c r="B186" t="s">
        <v>326</v>
      </c>
      <c r="C186" s="1">
        <v>45218</v>
      </c>
      <c r="D186" t="s">
        <v>37</v>
      </c>
      <c r="E186" t="s">
        <v>33</v>
      </c>
      <c r="F186" t="s">
        <v>66</v>
      </c>
      <c r="G186">
        <v>2</v>
      </c>
      <c r="H186">
        <v>0.1</v>
      </c>
      <c r="I186">
        <v>806.4</v>
      </c>
      <c r="J186">
        <v>161.28</v>
      </c>
      <c r="K186" t="s">
        <v>39</v>
      </c>
      <c r="L186" t="s">
        <v>20</v>
      </c>
      <c r="M186" s="5" t="str">
        <f t="shared" si="4"/>
        <v>New</v>
      </c>
      <c r="N186" s="5" t="str">
        <f>TEXT(C186,"yyyy")</f>
        <v>2023</v>
      </c>
      <c r="O186" s="5" t="str">
        <f t="shared" si="5"/>
        <v>Medium</v>
      </c>
    </row>
    <row r="187" spans="1:15" x14ac:dyDescent="0.35">
      <c r="A187" t="s">
        <v>327</v>
      </c>
      <c r="B187" t="s">
        <v>110</v>
      </c>
      <c r="C187" s="1">
        <v>45368</v>
      </c>
      <c r="D187" t="s">
        <v>42</v>
      </c>
      <c r="E187" t="s">
        <v>33</v>
      </c>
      <c r="F187" t="s">
        <v>34</v>
      </c>
      <c r="G187">
        <v>3</v>
      </c>
      <c r="H187">
        <v>0.05</v>
      </c>
      <c r="I187">
        <v>356.25</v>
      </c>
      <c r="J187">
        <v>106.88</v>
      </c>
      <c r="K187" t="s">
        <v>19</v>
      </c>
      <c r="L187" t="s">
        <v>27</v>
      </c>
      <c r="M187" s="5" t="str">
        <f t="shared" si="4"/>
        <v>Repeat</v>
      </c>
      <c r="N187" s="5" t="str">
        <f>TEXT(C187,"yyyy")</f>
        <v>2024</v>
      </c>
      <c r="O187" s="5" t="str">
        <f t="shared" si="5"/>
        <v>Least or No</v>
      </c>
    </row>
    <row r="188" spans="1:15" x14ac:dyDescent="0.35">
      <c r="A188" t="s">
        <v>328</v>
      </c>
      <c r="B188" t="s">
        <v>273</v>
      </c>
      <c r="C188" s="1">
        <v>45857</v>
      </c>
      <c r="D188" t="s">
        <v>42</v>
      </c>
      <c r="E188" t="s">
        <v>17</v>
      </c>
      <c r="F188" t="s">
        <v>18</v>
      </c>
      <c r="G188">
        <v>1</v>
      </c>
      <c r="H188">
        <v>0.15</v>
      </c>
      <c r="I188">
        <v>92.65</v>
      </c>
      <c r="J188">
        <v>23.16</v>
      </c>
      <c r="K188" t="s">
        <v>39</v>
      </c>
      <c r="L188" t="s">
        <v>20</v>
      </c>
      <c r="M188" s="5" t="str">
        <f t="shared" si="4"/>
        <v>Repeat</v>
      </c>
      <c r="N188" s="5" t="str">
        <f>TEXT(C188,"yyyy")</f>
        <v>2025</v>
      </c>
      <c r="O188" s="5" t="str">
        <f t="shared" si="5"/>
        <v>High</v>
      </c>
    </row>
    <row r="189" spans="1:15" x14ac:dyDescent="0.35">
      <c r="A189" t="s">
        <v>329</v>
      </c>
      <c r="B189" t="s">
        <v>176</v>
      </c>
      <c r="C189" s="1">
        <v>45095</v>
      </c>
      <c r="D189" t="s">
        <v>42</v>
      </c>
      <c r="E189" t="s">
        <v>17</v>
      </c>
      <c r="F189" t="s">
        <v>46</v>
      </c>
      <c r="G189">
        <v>3</v>
      </c>
      <c r="H189">
        <v>0.05</v>
      </c>
      <c r="I189">
        <v>1017.45</v>
      </c>
      <c r="J189">
        <v>203.49</v>
      </c>
      <c r="K189" t="s">
        <v>19</v>
      </c>
      <c r="L189" t="s">
        <v>27</v>
      </c>
      <c r="M189" s="5" t="str">
        <f t="shared" si="4"/>
        <v>Repeat</v>
      </c>
      <c r="N189" s="5" t="str">
        <f>TEXT(C189,"yyyy")</f>
        <v>2023</v>
      </c>
      <c r="O189" s="5" t="str">
        <f t="shared" si="5"/>
        <v>Least or No</v>
      </c>
    </row>
    <row r="190" spans="1:15" x14ac:dyDescent="0.35">
      <c r="A190" t="s">
        <v>330</v>
      </c>
      <c r="B190" t="s">
        <v>86</v>
      </c>
      <c r="C190" s="1">
        <v>45584</v>
      </c>
      <c r="D190" t="s">
        <v>42</v>
      </c>
      <c r="E190" t="s">
        <v>33</v>
      </c>
      <c r="F190" t="s">
        <v>66</v>
      </c>
      <c r="G190">
        <v>1</v>
      </c>
      <c r="H190">
        <v>0</v>
      </c>
      <c r="I190">
        <v>388</v>
      </c>
      <c r="J190">
        <v>116.4</v>
      </c>
      <c r="K190" t="s">
        <v>26</v>
      </c>
      <c r="L190" t="s">
        <v>27</v>
      </c>
      <c r="M190" s="5" t="str">
        <f t="shared" si="4"/>
        <v>Repeat</v>
      </c>
      <c r="N190" s="5" t="str">
        <f>TEXT(C190,"yyyy")</f>
        <v>2024</v>
      </c>
      <c r="O190" s="5" t="str">
        <f t="shared" si="5"/>
        <v>Least or No</v>
      </c>
    </row>
    <row r="191" spans="1:15" x14ac:dyDescent="0.35">
      <c r="A191" t="s">
        <v>331</v>
      </c>
      <c r="B191" t="s">
        <v>332</v>
      </c>
      <c r="C191" s="1">
        <v>45576</v>
      </c>
      <c r="D191" t="s">
        <v>42</v>
      </c>
      <c r="E191" t="s">
        <v>33</v>
      </c>
      <c r="F191" t="s">
        <v>66</v>
      </c>
      <c r="G191">
        <v>2</v>
      </c>
      <c r="H191">
        <v>0.05</v>
      </c>
      <c r="I191">
        <v>381.9</v>
      </c>
      <c r="J191">
        <v>76.38</v>
      </c>
      <c r="K191" t="s">
        <v>39</v>
      </c>
      <c r="L191" t="s">
        <v>20</v>
      </c>
      <c r="M191" s="5" t="str">
        <f t="shared" si="4"/>
        <v>New</v>
      </c>
      <c r="N191" s="5" t="str">
        <f>TEXT(C191,"yyyy")</f>
        <v>2024</v>
      </c>
      <c r="O191" s="5" t="str">
        <f t="shared" si="5"/>
        <v>Least or No</v>
      </c>
    </row>
    <row r="192" spans="1:15" x14ac:dyDescent="0.35">
      <c r="A192" t="s">
        <v>333</v>
      </c>
      <c r="B192" t="s">
        <v>232</v>
      </c>
      <c r="C192" s="1">
        <v>44947</v>
      </c>
      <c r="D192" t="s">
        <v>37</v>
      </c>
      <c r="E192" t="s">
        <v>17</v>
      </c>
      <c r="F192" t="s">
        <v>78</v>
      </c>
      <c r="G192">
        <v>3</v>
      </c>
      <c r="H192">
        <v>0.1</v>
      </c>
      <c r="I192">
        <v>337.5</v>
      </c>
      <c r="J192">
        <v>84.38</v>
      </c>
      <c r="K192" t="s">
        <v>19</v>
      </c>
      <c r="L192" t="s">
        <v>27</v>
      </c>
      <c r="M192" s="5" t="str">
        <f t="shared" si="4"/>
        <v>Repeat</v>
      </c>
      <c r="N192" s="5" t="str">
        <f>TEXT(C192,"yyyy")</f>
        <v>2023</v>
      </c>
      <c r="O192" s="5" t="str">
        <f t="shared" si="5"/>
        <v>Medium</v>
      </c>
    </row>
    <row r="193" spans="1:15" x14ac:dyDescent="0.35">
      <c r="A193" t="s">
        <v>334</v>
      </c>
      <c r="B193" t="s">
        <v>225</v>
      </c>
      <c r="C193" s="1">
        <v>45163</v>
      </c>
      <c r="D193" t="s">
        <v>37</v>
      </c>
      <c r="E193" t="s">
        <v>33</v>
      </c>
      <c r="F193" t="s">
        <v>43</v>
      </c>
      <c r="G193">
        <v>2</v>
      </c>
      <c r="H193">
        <v>0.1</v>
      </c>
      <c r="I193">
        <v>275.39999999999998</v>
      </c>
      <c r="J193">
        <v>82.62</v>
      </c>
      <c r="K193" t="s">
        <v>19</v>
      </c>
      <c r="L193" t="s">
        <v>20</v>
      </c>
      <c r="M193" s="5" t="str">
        <f t="shared" si="4"/>
        <v>Repeat</v>
      </c>
      <c r="N193" s="5" t="str">
        <f>TEXT(C193,"yyyy")</f>
        <v>2023</v>
      </c>
      <c r="O193" s="5" t="str">
        <f t="shared" si="5"/>
        <v>Medium</v>
      </c>
    </row>
    <row r="194" spans="1:15" x14ac:dyDescent="0.35">
      <c r="A194" t="s">
        <v>335</v>
      </c>
      <c r="B194" t="s">
        <v>285</v>
      </c>
      <c r="C194" s="1">
        <v>45611</v>
      </c>
      <c r="D194" t="s">
        <v>63</v>
      </c>
      <c r="E194" t="s">
        <v>17</v>
      </c>
      <c r="F194" t="s">
        <v>46</v>
      </c>
      <c r="G194">
        <v>3</v>
      </c>
      <c r="H194">
        <v>0.15</v>
      </c>
      <c r="I194">
        <v>1076.0999999999999</v>
      </c>
      <c r="J194">
        <v>215.22</v>
      </c>
      <c r="K194" t="s">
        <v>26</v>
      </c>
      <c r="L194" t="s">
        <v>20</v>
      </c>
      <c r="M194" s="5" t="str">
        <f t="shared" si="4"/>
        <v>Repeat</v>
      </c>
      <c r="N194" s="5" t="str">
        <f>TEXT(C194,"yyyy")</f>
        <v>2024</v>
      </c>
      <c r="O194" s="5" t="str">
        <f t="shared" si="5"/>
        <v>High</v>
      </c>
    </row>
    <row r="195" spans="1:15" x14ac:dyDescent="0.35">
      <c r="A195" t="s">
        <v>336</v>
      </c>
      <c r="B195" t="s">
        <v>146</v>
      </c>
      <c r="C195" s="1">
        <v>45311</v>
      </c>
      <c r="D195" t="s">
        <v>63</v>
      </c>
      <c r="E195" t="s">
        <v>33</v>
      </c>
      <c r="F195" t="s">
        <v>66</v>
      </c>
      <c r="G195">
        <v>3</v>
      </c>
      <c r="H195">
        <v>0.1</v>
      </c>
      <c r="I195">
        <v>588.6</v>
      </c>
      <c r="J195">
        <v>117.72</v>
      </c>
      <c r="K195" t="s">
        <v>39</v>
      </c>
      <c r="L195" t="s">
        <v>20</v>
      </c>
      <c r="M195" s="5" t="str">
        <f t="shared" ref="M195:M258" si="6">IF(COUNTIF(B:B,B195)&gt;1,"Repeat","New")</f>
        <v>Repeat</v>
      </c>
      <c r="N195" s="5" t="str">
        <f>TEXT(C195,"yyyy")</f>
        <v>2024</v>
      </c>
      <c r="O195" s="5" t="str">
        <f t="shared" ref="O195:O258" si="7">IF(H195&gt;=0.15,"High",IF(H195&gt;=0.1,"Medium","Least or No"))</f>
        <v>Medium</v>
      </c>
    </row>
    <row r="196" spans="1:15" x14ac:dyDescent="0.35">
      <c r="A196" t="s">
        <v>337</v>
      </c>
      <c r="B196" t="s">
        <v>187</v>
      </c>
      <c r="C196" s="1">
        <v>45679</v>
      </c>
      <c r="D196" t="s">
        <v>16</v>
      </c>
      <c r="E196" t="s">
        <v>24</v>
      </c>
      <c r="F196" t="s">
        <v>30</v>
      </c>
      <c r="G196">
        <v>4</v>
      </c>
      <c r="H196">
        <v>0.05</v>
      </c>
      <c r="I196">
        <v>1128.5999999999999</v>
      </c>
      <c r="J196">
        <v>225.72</v>
      </c>
      <c r="K196" t="s">
        <v>39</v>
      </c>
      <c r="L196" t="s">
        <v>27</v>
      </c>
      <c r="M196" s="5" t="str">
        <f t="shared" si="6"/>
        <v>Repeat</v>
      </c>
      <c r="N196" s="5" t="str">
        <f>TEXT(C196,"yyyy")</f>
        <v>2025</v>
      </c>
      <c r="O196" s="5" t="str">
        <f t="shared" si="7"/>
        <v>Least or No</v>
      </c>
    </row>
    <row r="197" spans="1:15" x14ac:dyDescent="0.35">
      <c r="A197" t="s">
        <v>338</v>
      </c>
      <c r="B197" t="s">
        <v>166</v>
      </c>
      <c r="C197" s="1">
        <v>45445</v>
      </c>
      <c r="D197" t="s">
        <v>16</v>
      </c>
      <c r="E197" t="s">
        <v>17</v>
      </c>
      <c r="F197" t="s">
        <v>58</v>
      </c>
      <c r="G197">
        <v>1</v>
      </c>
      <c r="H197">
        <v>0</v>
      </c>
      <c r="I197">
        <v>398</v>
      </c>
      <c r="J197">
        <v>99.5</v>
      </c>
      <c r="K197" t="s">
        <v>39</v>
      </c>
      <c r="L197" t="s">
        <v>20</v>
      </c>
      <c r="M197" s="5" t="str">
        <f t="shared" si="6"/>
        <v>Repeat</v>
      </c>
      <c r="N197" s="5" t="str">
        <f>TEXT(C197,"yyyy")</f>
        <v>2024</v>
      </c>
      <c r="O197" s="5" t="str">
        <f t="shared" si="7"/>
        <v>Least or No</v>
      </c>
    </row>
    <row r="198" spans="1:15" x14ac:dyDescent="0.35">
      <c r="A198" t="s">
        <v>339</v>
      </c>
      <c r="B198" t="s">
        <v>204</v>
      </c>
      <c r="C198" s="1">
        <v>45620</v>
      </c>
      <c r="D198" t="s">
        <v>23</v>
      </c>
      <c r="E198" t="s">
        <v>24</v>
      </c>
      <c r="F198" t="s">
        <v>49</v>
      </c>
      <c r="G198">
        <v>4</v>
      </c>
      <c r="H198">
        <v>0.1</v>
      </c>
      <c r="I198">
        <v>543.6</v>
      </c>
      <c r="J198">
        <v>163.08000000000001</v>
      </c>
      <c r="K198" t="s">
        <v>19</v>
      </c>
      <c r="L198" t="s">
        <v>20</v>
      </c>
      <c r="M198" s="5" t="str">
        <f t="shared" si="6"/>
        <v>Repeat</v>
      </c>
      <c r="N198" s="5" t="str">
        <f>TEXT(C198,"yyyy")</f>
        <v>2024</v>
      </c>
      <c r="O198" s="5" t="str">
        <f t="shared" si="7"/>
        <v>Medium</v>
      </c>
    </row>
    <row r="199" spans="1:15" x14ac:dyDescent="0.35">
      <c r="A199" t="s">
        <v>340</v>
      </c>
      <c r="B199" t="s">
        <v>68</v>
      </c>
      <c r="C199" s="1">
        <v>45523</v>
      </c>
      <c r="D199" t="s">
        <v>16</v>
      </c>
      <c r="E199" t="s">
        <v>24</v>
      </c>
      <c r="F199" t="s">
        <v>49</v>
      </c>
      <c r="G199">
        <v>1</v>
      </c>
      <c r="H199">
        <v>0</v>
      </c>
      <c r="I199">
        <v>128</v>
      </c>
      <c r="J199">
        <v>38.4</v>
      </c>
      <c r="K199" t="s">
        <v>39</v>
      </c>
      <c r="L199" t="s">
        <v>20</v>
      </c>
      <c r="M199" s="5" t="str">
        <f t="shared" si="6"/>
        <v>Repeat</v>
      </c>
      <c r="N199" s="5" t="str">
        <f>TEXT(C199,"yyyy")</f>
        <v>2024</v>
      </c>
      <c r="O199" s="5" t="str">
        <f t="shared" si="7"/>
        <v>Least or No</v>
      </c>
    </row>
    <row r="200" spans="1:15" x14ac:dyDescent="0.35">
      <c r="A200" t="s">
        <v>341</v>
      </c>
      <c r="B200" t="s">
        <v>250</v>
      </c>
      <c r="C200" s="1">
        <v>45254</v>
      </c>
      <c r="D200" t="s">
        <v>23</v>
      </c>
      <c r="E200" t="s">
        <v>24</v>
      </c>
      <c r="F200" t="s">
        <v>25</v>
      </c>
      <c r="G200">
        <v>2</v>
      </c>
      <c r="H200">
        <v>0</v>
      </c>
      <c r="I200">
        <v>516</v>
      </c>
      <c r="J200">
        <v>129</v>
      </c>
      <c r="K200" t="s">
        <v>39</v>
      </c>
      <c r="L200" t="s">
        <v>20</v>
      </c>
      <c r="M200" s="5" t="str">
        <f t="shared" si="6"/>
        <v>Repeat</v>
      </c>
      <c r="N200" s="5" t="str">
        <f>TEXT(C200,"yyyy")</f>
        <v>2023</v>
      </c>
      <c r="O200" s="5" t="str">
        <f t="shared" si="7"/>
        <v>Least or No</v>
      </c>
    </row>
    <row r="201" spans="1:15" x14ac:dyDescent="0.35">
      <c r="A201" t="s">
        <v>342</v>
      </c>
      <c r="B201" t="s">
        <v>343</v>
      </c>
      <c r="C201" s="1">
        <v>45745</v>
      </c>
      <c r="D201" t="s">
        <v>63</v>
      </c>
      <c r="E201" t="s">
        <v>24</v>
      </c>
      <c r="F201" t="s">
        <v>30</v>
      </c>
      <c r="G201">
        <v>3</v>
      </c>
      <c r="H201">
        <v>0.15</v>
      </c>
      <c r="I201">
        <v>596.70000000000005</v>
      </c>
      <c r="J201">
        <v>179.01</v>
      </c>
      <c r="K201" t="s">
        <v>19</v>
      </c>
      <c r="L201" t="s">
        <v>20</v>
      </c>
      <c r="M201" s="5" t="str">
        <f t="shared" si="6"/>
        <v>New</v>
      </c>
      <c r="N201" s="5" t="str">
        <f>TEXT(C201,"yyyy")</f>
        <v>2025</v>
      </c>
      <c r="O201" s="5" t="str">
        <f t="shared" si="7"/>
        <v>High</v>
      </c>
    </row>
    <row r="202" spans="1:15" x14ac:dyDescent="0.35">
      <c r="A202" t="s">
        <v>344</v>
      </c>
      <c r="B202" t="s">
        <v>82</v>
      </c>
      <c r="C202" s="1">
        <v>45669</v>
      </c>
      <c r="D202" t="s">
        <v>16</v>
      </c>
      <c r="E202" t="s">
        <v>24</v>
      </c>
      <c r="F202" t="s">
        <v>25</v>
      </c>
      <c r="G202">
        <v>4</v>
      </c>
      <c r="H202">
        <v>0.1</v>
      </c>
      <c r="I202">
        <v>471.6</v>
      </c>
      <c r="J202">
        <v>141.47999999999999</v>
      </c>
      <c r="K202" t="s">
        <v>39</v>
      </c>
      <c r="L202" t="s">
        <v>27</v>
      </c>
      <c r="M202" s="5" t="str">
        <f t="shared" si="6"/>
        <v>New</v>
      </c>
      <c r="N202" s="5" t="str">
        <f>TEXT(C202,"yyyy")</f>
        <v>2025</v>
      </c>
      <c r="O202" s="5" t="str">
        <f t="shared" si="7"/>
        <v>Medium</v>
      </c>
    </row>
    <row r="203" spans="1:15" x14ac:dyDescent="0.35">
      <c r="A203" t="s">
        <v>345</v>
      </c>
      <c r="B203" t="s">
        <v>346</v>
      </c>
      <c r="C203" s="1">
        <v>45200</v>
      </c>
      <c r="D203" t="s">
        <v>23</v>
      </c>
      <c r="E203" t="s">
        <v>24</v>
      </c>
      <c r="F203" t="s">
        <v>49</v>
      </c>
      <c r="G203">
        <v>4</v>
      </c>
      <c r="H203">
        <v>0.05</v>
      </c>
      <c r="I203">
        <v>1064</v>
      </c>
      <c r="J203">
        <v>212.8</v>
      </c>
      <c r="K203" t="s">
        <v>19</v>
      </c>
      <c r="L203" t="s">
        <v>20</v>
      </c>
      <c r="M203" s="5" t="str">
        <f t="shared" si="6"/>
        <v>New</v>
      </c>
      <c r="N203" s="5" t="str">
        <f>TEXT(C203,"yyyy")</f>
        <v>2023</v>
      </c>
      <c r="O203" s="5" t="str">
        <f t="shared" si="7"/>
        <v>Least or No</v>
      </c>
    </row>
    <row r="204" spans="1:15" x14ac:dyDescent="0.35">
      <c r="A204" t="s">
        <v>347</v>
      </c>
      <c r="B204" t="s">
        <v>86</v>
      </c>
      <c r="C204" s="1">
        <v>45242</v>
      </c>
      <c r="D204" t="s">
        <v>16</v>
      </c>
      <c r="E204" t="s">
        <v>24</v>
      </c>
      <c r="F204" t="s">
        <v>49</v>
      </c>
      <c r="G204">
        <v>3</v>
      </c>
      <c r="H204">
        <v>0.05</v>
      </c>
      <c r="I204">
        <v>684</v>
      </c>
      <c r="J204">
        <v>205.2</v>
      </c>
      <c r="K204" t="s">
        <v>39</v>
      </c>
      <c r="L204" t="s">
        <v>20</v>
      </c>
      <c r="M204" s="5" t="str">
        <f t="shared" si="6"/>
        <v>Repeat</v>
      </c>
      <c r="N204" s="5" t="str">
        <f>TEXT(C204,"yyyy")</f>
        <v>2023</v>
      </c>
      <c r="O204" s="5" t="str">
        <f t="shared" si="7"/>
        <v>Least or No</v>
      </c>
    </row>
    <row r="205" spans="1:15" x14ac:dyDescent="0.35">
      <c r="A205" t="s">
        <v>348</v>
      </c>
      <c r="B205" t="s">
        <v>198</v>
      </c>
      <c r="C205" s="1">
        <v>45492</v>
      </c>
      <c r="D205" t="s">
        <v>16</v>
      </c>
      <c r="E205" t="s">
        <v>24</v>
      </c>
      <c r="F205" t="s">
        <v>107</v>
      </c>
      <c r="G205">
        <v>4</v>
      </c>
      <c r="H205">
        <v>0.15</v>
      </c>
      <c r="I205">
        <v>598.4</v>
      </c>
      <c r="J205">
        <v>119.68</v>
      </c>
      <c r="K205" t="s">
        <v>39</v>
      </c>
      <c r="L205" t="s">
        <v>20</v>
      </c>
      <c r="M205" s="5" t="str">
        <f t="shared" si="6"/>
        <v>Repeat</v>
      </c>
      <c r="N205" s="5" t="str">
        <f>TEXT(C205,"yyyy")</f>
        <v>2024</v>
      </c>
      <c r="O205" s="5" t="str">
        <f t="shared" si="7"/>
        <v>High</v>
      </c>
    </row>
    <row r="206" spans="1:15" x14ac:dyDescent="0.35">
      <c r="A206" t="s">
        <v>349</v>
      </c>
      <c r="B206" t="s">
        <v>110</v>
      </c>
      <c r="C206" s="1">
        <v>45793</v>
      </c>
      <c r="D206" t="s">
        <v>63</v>
      </c>
      <c r="E206" t="s">
        <v>17</v>
      </c>
      <c r="F206" t="s">
        <v>18</v>
      </c>
      <c r="G206">
        <v>1</v>
      </c>
      <c r="H206">
        <v>0.15</v>
      </c>
      <c r="I206">
        <v>248.2</v>
      </c>
      <c r="J206">
        <v>49.64</v>
      </c>
      <c r="K206" t="s">
        <v>19</v>
      </c>
      <c r="L206" t="s">
        <v>27</v>
      </c>
      <c r="M206" s="5" t="str">
        <f t="shared" si="6"/>
        <v>Repeat</v>
      </c>
      <c r="N206" s="5" t="str">
        <f>TEXT(C206,"yyyy")</f>
        <v>2025</v>
      </c>
      <c r="O206" s="5" t="str">
        <f t="shared" si="7"/>
        <v>High</v>
      </c>
    </row>
    <row r="207" spans="1:15" x14ac:dyDescent="0.35">
      <c r="A207" t="s">
        <v>350</v>
      </c>
      <c r="B207" t="s">
        <v>57</v>
      </c>
      <c r="C207" s="1">
        <v>45160</v>
      </c>
      <c r="D207" t="s">
        <v>42</v>
      </c>
      <c r="E207" t="s">
        <v>33</v>
      </c>
      <c r="F207" t="s">
        <v>38</v>
      </c>
      <c r="G207">
        <v>4</v>
      </c>
      <c r="H207">
        <v>0.15</v>
      </c>
      <c r="I207">
        <v>1509.6</v>
      </c>
      <c r="J207">
        <v>377.4</v>
      </c>
      <c r="K207" t="s">
        <v>39</v>
      </c>
      <c r="L207" t="s">
        <v>27</v>
      </c>
      <c r="M207" s="5" t="str">
        <f t="shared" si="6"/>
        <v>Repeat</v>
      </c>
      <c r="N207" s="5" t="str">
        <f>TEXT(C207,"yyyy")</f>
        <v>2023</v>
      </c>
      <c r="O207" s="5" t="str">
        <f t="shared" si="7"/>
        <v>High</v>
      </c>
    </row>
    <row r="208" spans="1:15" x14ac:dyDescent="0.35">
      <c r="A208" t="s">
        <v>351</v>
      </c>
      <c r="B208" t="s">
        <v>210</v>
      </c>
      <c r="C208" s="1">
        <v>45771</v>
      </c>
      <c r="D208" t="s">
        <v>23</v>
      </c>
      <c r="E208" t="s">
        <v>17</v>
      </c>
      <c r="F208" t="s">
        <v>46</v>
      </c>
      <c r="G208">
        <v>3</v>
      </c>
      <c r="H208">
        <v>0.05</v>
      </c>
      <c r="I208">
        <v>820.8</v>
      </c>
      <c r="J208">
        <v>205.2</v>
      </c>
      <c r="K208" t="s">
        <v>19</v>
      </c>
      <c r="L208" t="s">
        <v>20</v>
      </c>
      <c r="M208" s="5" t="str">
        <f t="shared" si="6"/>
        <v>Repeat</v>
      </c>
      <c r="N208" s="5" t="str">
        <f>TEXT(C208,"yyyy")</f>
        <v>2025</v>
      </c>
      <c r="O208" s="5" t="str">
        <f t="shared" si="7"/>
        <v>Least or No</v>
      </c>
    </row>
    <row r="209" spans="1:15" x14ac:dyDescent="0.35">
      <c r="A209" t="s">
        <v>352</v>
      </c>
      <c r="B209" t="s">
        <v>307</v>
      </c>
      <c r="C209" s="1">
        <v>44987</v>
      </c>
      <c r="D209" t="s">
        <v>16</v>
      </c>
      <c r="E209" t="s">
        <v>17</v>
      </c>
      <c r="F209" t="s">
        <v>18</v>
      </c>
      <c r="G209">
        <v>3</v>
      </c>
      <c r="H209">
        <v>0.15</v>
      </c>
      <c r="I209">
        <v>341.7</v>
      </c>
      <c r="J209">
        <v>85.42</v>
      </c>
      <c r="K209" t="s">
        <v>26</v>
      </c>
      <c r="L209" t="s">
        <v>20</v>
      </c>
      <c r="M209" s="5" t="str">
        <f t="shared" si="6"/>
        <v>Repeat</v>
      </c>
      <c r="N209" s="5" t="str">
        <f>TEXT(C209,"yyyy")</f>
        <v>2023</v>
      </c>
      <c r="O209" s="5" t="str">
        <f t="shared" si="7"/>
        <v>High</v>
      </c>
    </row>
    <row r="210" spans="1:15" x14ac:dyDescent="0.35">
      <c r="A210" t="s">
        <v>353</v>
      </c>
      <c r="B210" t="s">
        <v>32</v>
      </c>
      <c r="C210" s="1">
        <v>45315</v>
      </c>
      <c r="D210" t="s">
        <v>16</v>
      </c>
      <c r="E210" t="s">
        <v>17</v>
      </c>
      <c r="F210" t="s">
        <v>78</v>
      </c>
      <c r="G210">
        <v>1</v>
      </c>
      <c r="H210">
        <v>0</v>
      </c>
      <c r="I210">
        <v>173</v>
      </c>
      <c r="J210">
        <v>51.9</v>
      </c>
      <c r="K210" t="s">
        <v>26</v>
      </c>
      <c r="L210" t="s">
        <v>27</v>
      </c>
      <c r="M210" s="5" t="str">
        <f t="shared" si="6"/>
        <v>Repeat</v>
      </c>
      <c r="N210" s="5" t="str">
        <f>TEXT(C210,"yyyy")</f>
        <v>2024</v>
      </c>
      <c r="O210" s="5" t="str">
        <f t="shared" si="7"/>
        <v>Least or No</v>
      </c>
    </row>
    <row r="211" spans="1:15" x14ac:dyDescent="0.35">
      <c r="A211" t="s">
        <v>354</v>
      </c>
      <c r="B211" t="s">
        <v>88</v>
      </c>
      <c r="C211" s="1">
        <v>45309</v>
      </c>
      <c r="D211" t="s">
        <v>63</v>
      </c>
      <c r="E211" t="s">
        <v>17</v>
      </c>
      <c r="F211" t="s">
        <v>58</v>
      </c>
      <c r="G211">
        <v>2</v>
      </c>
      <c r="H211">
        <v>0.05</v>
      </c>
      <c r="I211">
        <v>454.1</v>
      </c>
      <c r="J211">
        <v>90.82</v>
      </c>
      <c r="K211" t="s">
        <v>26</v>
      </c>
      <c r="L211" t="s">
        <v>20</v>
      </c>
      <c r="M211" s="5" t="str">
        <f t="shared" si="6"/>
        <v>Repeat</v>
      </c>
      <c r="N211" s="5" t="str">
        <f>TEXT(C211,"yyyy")</f>
        <v>2024</v>
      </c>
      <c r="O211" s="5" t="str">
        <f t="shared" si="7"/>
        <v>Least or No</v>
      </c>
    </row>
    <row r="212" spans="1:15" x14ac:dyDescent="0.35">
      <c r="A212" t="s">
        <v>355</v>
      </c>
      <c r="B212" t="s">
        <v>260</v>
      </c>
      <c r="C212" s="1">
        <v>45993</v>
      </c>
      <c r="D212" t="s">
        <v>63</v>
      </c>
      <c r="E212" t="s">
        <v>24</v>
      </c>
      <c r="F212" t="s">
        <v>107</v>
      </c>
      <c r="G212">
        <v>4</v>
      </c>
      <c r="H212">
        <v>0.05</v>
      </c>
      <c r="I212">
        <v>1546.6</v>
      </c>
      <c r="J212">
        <v>386.65</v>
      </c>
      <c r="K212" t="s">
        <v>19</v>
      </c>
      <c r="L212" t="s">
        <v>27</v>
      </c>
      <c r="M212" s="5" t="str">
        <f t="shared" si="6"/>
        <v>Repeat</v>
      </c>
      <c r="N212" s="5" t="str">
        <f>TEXT(C212,"yyyy")</f>
        <v>2025</v>
      </c>
      <c r="O212" s="5" t="str">
        <f t="shared" si="7"/>
        <v>Least or No</v>
      </c>
    </row>
    <row r="213" spans="1:15" x14ac:dyDescent="0.35">
      <c r="A213" t="s">
        <v>356</v>
      </c>
      <c r="B213" t="s">
        <v>210</v>
      </c>
      <c r="C213" s="1">
        <v>45178</v>
      </c>
      <c r="D213" t="s">
        <v>37</v>
      </c>
      <c r="E213" t="s">
        <v>24</v>
      </c>
      <c r="F213" t="s">
        <v>49</v>
      </c>
      <c r="G213">
        <v>4</v>
      </c>
      <c r="H213">
        <v>0.1</v>
      </c>
      <c r="I213">
        <v>1141.2</v>
      </c>
      <c r="J213">
        <v>285.3</v>
      </c>
      <c r="K213" t="s">
        <v>19</v>
      </c>
      <c r="L213" t="s">
        <v>27</v>
      </c>
      <c r="M213" s="5" t="str">
        <f t="shared" si="6"/>
        <v>Repeat</v>
      </c>
      <c r="N213" s="5" t="str">
        <f>TEXT(C213,"yyyy")</f>
        <v>2023</v>
      </c>
      <c r="O213" s="5" t="str">
        <f t="shared" si="7"/>
        <v>Medium</v>
      </c>
    </row>
    <row r="214" spans="1:15" x14ac:dyDescent="0.35">
      <c r="A214" t="s">
        <v>357</v>
      </c>
      <c r="B214" t="s">
        <v>223</v>
      </c>
      <c r="C214" s="1">
        <v>45578</v>
      </c>
      <c r="D214" t="s">
        <v>42</v>
      </c>
      <c r="E214" t="s">
        <v>24</v>
      </c>
      <c r="F214" t="s">
        <v>25</v>
      </c>
      <c r="G214">
        <v>4</v>
      </c>
      <c r="H214">
        <v>0.1</v>
      </c>
      <c r="I214">
        <v>982.8</v>
      </c>
      <c r="J214">
        <v>196.56</v>
      </c>
      <c r="K214" t="s">
        <v>26</v>
      </c>
      <c r="L214" t="s">
        <v>20</v>
      </c>
      <c r="M214" s="5" t="str">
        <f t="shared" si="6"/>
        <v>Repeat</v>
      </c>
      <c r="N214" s="5" t="str">
        <f>TEXT(C214,"yyyy")</f>
        <v>2024</v>
      </c>
      <c r="O214" s="5" t="str">
        <f t="shared" si="7"/>
        <v>Medium</v>
      </c>
    </row>
    <row r="215" spans="1:15" x14ac:dyDescent="0.35">
      <c r="A215" t="s">
        <v>358</v>
      </c>
      <c r="B215" t="s">
        <v>51</v>
      </c>
      <c r="C215" s="1">
        <v>45468</v>
      </c>
      <c r="D215" t="s">
        <v>23</v>
      </c>
      <c r="E215" t="s">
        <v>33</v>
      </c>
      <c r="F215" t="s">
        <v>38</v>
      </c>
      <c r="G215">
        <v>1</v>
      </c>
      <c r="H215">
        <v>0.15</v>
      </c>
      <c r="I215">
        <v>85</v>
      </c>
      <c r="J215">
        <v>25.5</v>
      </c>
      <c r="K215" t="s">
        <v>19</v>
      </c>
      <c r="L215" t="s">
        <v>20</v>
      </c>
      <c r="M215" s="5" t="str">
        <f t="shared" si="6"/>
        <v>Repeat</v>
      </c>
      <c r="N215" s="5" t="str">
        <f>TEXT(C215,"yyyy")</f>
        <v>2024</v>
      </c>
      <c r="O215" s="5" t="str">
        <f t="shared" si="7"/>
        <v>High</v>
      </c>
    </row>
    <row r="216" spans="1:15" x14ac:dyDescent="0.35">
      <c r="A216" t="s">
        <v>359</v>
      </c>
      <c r="B216" t="s">
        <v>360</v>
      </c>
      <c r="C216" s="1">
        <v>45990</v>
      </c>
      <c r="D216" t="s">
        <v>63</v>
      </c>
      <c r="E216" t="s">
        <v>17</v>
      </c>
      <c r="F216" t="s">
        <v>18</v>
      </c>
      <c r="G216">
        <v>2</v>
      </c>
      <c r="H216">
        <v>0.05</v>
      </c>
      <c r="I216">
        <v>594.70000000000005</v>
      </c>
      <c r="J216">
        <v>178.41</v>
      </c>
      <c r="K216" t="s">
        <v>26</v>
      </c>
      <c r="L216" t="s">
        <v>27</v>
      </c>
      <c r="M216" s="5" t="str">
        <f t="shared" si="6"/>
        <v>Repeat</v>
      </c>
      <c r="N216" s="5" t="str">
        <f>TEXT(C216,"yyyy")</f>
        <v>2025</v>
      </c>
      <c r="O216" s="5" t="str">
        <f t="shared" si="7"/>
        <v>Least or No</v>
      </c>
    </row>
    <row r="217" spans="1:15" x14ac:dyDescent="0.35">
      <c r="A217" t="s">
        <v>361</v>
      </c>
      <c r="B217" t="s">
        <v>362</v>
      </c>
      <c r="C217" s="1">
        <v>45020</v>
      </c>
      <c r="D217" t="s">
        <v>16</v>
      </c>
      <c r="E217" t="s">
        <v>17</v>
      </c>
      <c r="F217" t="s">
        <v>46</v>
      </c>
      <c r="G217">
        <v>2</v>
      </c>
      <c r="H217">
        <v>0</v>
      </c>
      <c r="I217">
        <v>644</v>
      </c>
      <c r="J217">
        <v>161</v>
      </c>
      <c r="K217" t="s">
        <v>26</v>
      </c>
      <c r="L217" t="s">
        <v>27</v>
      </c>
      <c r="M217" s="5" t="str">
        <f t="shared" si="6"/>
        <v>New</v>
      </c>
      <c r="N217" s="5" t="str">
        <f>TEXT(C217,"yyyy")</f>
        <v>2023</v>
      </c>
      <c r="O217" s="5" t="str">
        <f t="shared" si="7"/>
        <v>Least or No</v>
      </c>
    </row>
    <row r="218" spans="1:15" x14ac:dyDescent="0.35">
      <c r="A218" t="s">
        <v>363</v>
      </c>
      <c r="B218" t="s">
        <v>146</v>
      </c>
      <c r="C218" s="1">
        <v>44942</v>
      </c>
      <c r="D218" t="s">
        <v>63</v>
      </c>
      <c r="E218" t="s">
        <v>17</v>
      </c>
      <c r="F218" t="s">
        <v>18</v>
      </c>
      <c r="G218">
        <v>2</v>
      </c>
      <c r="H218">
        <v>0.1</v>
      </c>
      <c r="I218">
        <v>592.20000000000005</v>
      </c>
      <c r="J218">
        <v>177.66</v>
      </c>
      <c r="K218" t="s">
        <v>19</v>
      </c>
      <c r="L218" t="s">
        <v>27</v>
      </c>
      <c r="M218" s="5" t="str">
        <f t="shared" si="6"/>
        <v>Repeat</v>
      </c>
      <c r="N218" s="5" t="str">
        <f>TEXT(C218,"yyyy")</f>
        <v>2023</v>
      </c>
      <c r="O218" s="5" t="str">
        <f t="shared" si="7"/>
        <v>Medium</v>
      </c>
    </row>
    <row r="219" spans="1:15" x14ac:dyDescent="0.35">
      <c r="A219" t="s">
        <v>364</v>
      </c>
      <c r="B219" t="s">
        <v>105</v>
      </c>
      <c r="C219" s="1">
        <v>45096</v>
      </c>
      <c r="D219" t="s">
        <v>42</v>
      </c>
      <c r="E219" t="s">
        <v>17</v>
      </c>
      <c r="F219" t="s">
        <v>46</v>
      </c>
      <c r="G219">
        <v>2</v>
      </c>
      <c r="H219">
        <v>0.1</v>
      </c>
      <c r="I219">
        <v>241.2</v>
      </c>
      <c r="J219">
        <v>48.24</v>
      </c>
      <c r="K219" t="s">
        <v>26</v>
      </c>
      <c r="L219" t="s">
        <v>20</v>
      </c>
      <c r="M219" s="5" t="str">
        <f t="shared" si="6"/>
        <v>Repeat</v>
      </c>
      <c r="N219" s="5" t="str">
        <f>TEXT(C219,"yyyy")</f>
        <v>2023</v>
      </c>
      <c r="O219" s="5" t="str">
        <f t="shared" si="7"/>
        <v>Medium</v>
      </c>
    </row>
    <row r="220" spans="1:15" x14ac:dyDescent="0.35">
      <c r="A220" t="s">
        <v>365</v>
      </c>
      <c r="B220" t="s">
        <v>162</v>
      </c>
      <c r="C220" s="1">
        <v>45032</v>
      </c>
      <c r="D220" t="s">
        <v>63</v>
      </c>
      <c r="E220" t="s">
        <v>17</v>
      </c>
      <c r="F220" t="s">
        <v>78</v>
      </c>
      <c r="G220">
        <v>2</v>
      </c>
      <c r="H220">
        <v>0.15</v>
      </c>
      <c r="I220">
        <v>278.8</v>
      </c>
      <c r="J220">
        <v>83.64</v>
      </c>
      <c r="K220" t="s">
        <v>39</v>
      </c>
      <c r="L220" t="s">
        <v>27</v>
      </c>
      <c r="M220" s="5" t="str">
        <f t="shared" si="6"/>
        <v>Repeat</v>
      </c>
      <c r="N220" s="5" t="str">
        <f>TEXT(C220,"yyyy")</f>
        <v>2023</v>
      </c>
      <c r="O220" s="5" t="str">
        <f t="shared" si="7"/>
        <v>High</v>
      </c>
    </row>
    <row r="221" spans="1:15" x14ac:dyDescent="0.35">
      <c r="A221" t="s">
        <v>366</v>
      </c>
      <c r="B221" t="s">
        <v>115</v>
      </c>
      <c r="C221" s="1">
        <v>45588</v>
      </c>
      <c r="D221" t="s">
        <v>23</v>
      </c>
      <c r="E221" t="s">
        <v>17</v>
      </c>
      <c r="F221" t="s">
        <v>18</v>
      </c>
      <c r="G221">
        <v>3</v>
      </c>
      <c r="H221">
        <v>0</v>
      </c>
      <c r="I221">
        <v>510</v>
      </c>
      <c r="J221">
        <v>153</v>
      </c>
      <c r="K221" t="s">
        <v>26</v>
      </c>
      <c r="L221" t="s">
        <v>20</v>
      </c>
      <c r="M221" s="5" t="str">
        <f t="shared" si="6"/>
        <v>New</v>
      </c>
      <c r="N221" s="5" t="str">
        <f>TEXT(C221,"yyyy")</f>
        <v>2024</v>
      </c>
      <c r="O221" s="5" t="str">
        <f t="shared" si="7"/>
        <v>Least or No</v>
      </c>
    </row>
    <row r="222" spans="1:15" x14ac:dyDescent="0.35">
      <c r="A222" t="s">
        <v>367</v>
      </c>
      <c r="B222" t="s">
        <v>223</v>
      </c>
      <c r="C222" s="1">
        <v>45844</v>
      </c>
      <c r="D222" t="s">
        <v>37</v>
      </c>
      <c r="E222" t="s">
        <v>17</v>
      </c>
      <c r="F222" t="s">
        <v>18</v>
      </c>
      <c r="G222">
        <v>1</v>
      </c>
      <c r="H222">
        <v>0.1</v>
      </c>
      <c r="I222">
        <v>93.6</v>
      </c>
      <c r="J222">
        <v>28.08</v>
      </c>
      <c r="K222" t="s">
        <v>26</v>
      </c>
      <c r="L222" t="s">
        <v>27</v>
      </c>
      <c r="M222" s="5" t="str">
        <f t="shared" si="6"/>
        <v>Repeat</v>
      </c>
      <c r="N222" s="5" t="str">
        <f>TEXT(C222,"yyyy")</f>
        <v>2025</v>
      </c>
      <c r="O222" s="5" t="str">
        <f t="shared" si="7"/>
        <v>Medium</v>
      </c>
    </row>
    <row r="223" spans="1:15" x14ac:dyDescent="0.35">
      <c r="A223" t="s">
        <v>368</v>
      </c>
      <c r="B223" t="s">
        <v>105</v>
      </c>
      <c r="C223" s="1">
        <v>45701</v>
      </c>
      <c r="D223" t="s">
        <v>42</v>
      </c>
      <c r="E223" t="s">
        <v>17</v>
      </c>
      <c r="F223" t="s">
        <v>18</v>
      </c>
      <c r="G223">
        <v>1</v>
      </c>
      <c r="H223">
        <v>0</v>
      </c>
      <c r="I223">
        <v>334</v>
      </c>
      <c r="J223">
        <v>83.5</v>
      </c>
      <c r="K223" t="s">
        <v>26</v>
      </c>
      <c r="L223" t="s">
        <v>27</v>
      </c>
      <c r="M223" s="5" t="str">
        <f t="shared" si="6"/>
        <v>Repeat</v>
      </c>
      <c r="N223" s="5" t="str">
        <f>TEXT(C223,"yyyy")</f>
        <v>2025</v>
      </c>
      <c r="O223" s="5" t="str">
        <f t="shared" si="7"/>
        <v>Least or No</v>
      </c>
    </row>
    <row r="224" spans="1:15" x14ac:dyDescent="0.35">
      <c r="A224" t="s">
        <v>369</v>
      </c>
      <c r="B224" t="s">
        <v>73</v>
      </c>
      <c r="C224" s="1">
        <v>45050</v>
      </c>
      <c r="D224" t="s">
        <v>37</v>
      </c>
      <c r="E224" t="s">
        <v>33</v>
      </c>
      <c r="F224" t="s">
        <v>66</v>
      </c>
      <c r="G224">
        <v>4</v>
      </c>
      <c r="H224">
        <v>0.05</v>
      </c>
      <c r="I224">
        <v>486.4</v>
      </c>
      <c r="J224">
        <v>97.28</v>
      </c>
      <c r="K224" t="s">
        <v>39</v>
      </c>
      <c r="L224" t="s">
        <v>20</v>
      </c>
      <c r="M224" s="5" t="str">
        <f t="shared" si="6"/>
        <v>Repeat</v>
      </c>
      <c r="N224" s="5" t="str">
        <f>TEXT(C224,"yyyy")</f>
        <v>2023</v>
      </c>
      <c r="O224" s="5" t="str">
        <f t="shared" si="7"/>
        <v>Least or No</v>
      </c>
    </row>
    <row r="225" spans="1:15" x14ac:dyDescent="0.35">
      <c r="A225" t="s">
        <v>370</v>
      </c>
      <c r="B225" t="s">
        <v>250</v>
      </c>
      <c r="C225" s="1">
        <v>45224</v>
      </c>
      <c r="D225" t="s">
        <v>42</v>
      </c>
      <c r="E225" t="s">
        <v>17</v>
      </c>
      <c r="F225" t="s">
        <v>78</v>
      </c>
      <c r="G225">
        <v>4</v>
      </c>
      <c r="H225">
        <v>0.1</v>
      </c>
      <c r="I225">
        <v>1148.4000000000001</v>
      </c>
      <c r="J225">
        <v>229.68</v>
      </c>
      <c r="K225" t="s">
        <v>26</v>
      </c>
      <c r="L225" t="s">
        <v>27</v>
      </c>
      <c r="M225" s="5" t="str">
        <f t="shared" si="6"/>
        <v>Repeat</v>
      </c>
      <c r="N225" s="5" t="str">
        <f>TEXT(C225,"yyyy")</f>
        <v>2023</v>
      </c>
      <c r="O225" s="5" t="str">
        <f t="shared" si="7"/>
        <v>Medium</v>
      </c>
    </row>
    <row r="226" spans="1:15" x14ac:dyDescent="0.35">
      <c r="A226" t="s">
        <v>371</v>
      </c>
      <c r="B226" t="s">
        <v>45</v>
      </c>
      <c r="C226" s="1">
        <v>45040</v>
      </c>
      <c r="D226" t="s">
        <v>23</v>
      </c>
      <c r="E226" t="s">
        <v>33</v>
      </c>
      <c r="F226" t="s">
        <v>43</v>
      </c>
      <c r="G226">
        <v>4</v>
      </c>
      <c r="H226">
        <v>0.1</v>
      </c>
      <c r="I226">
        <v>792</v>
      </c>
      <c r="J226">
        <v>237.6</v>
      </c>
      <c r="K226" t="s">
        <v>26</v>
      </c>
      <c r="L226" t="s">
        <v>20</v>
      </c>
      <c r="M226" s="5" t="str">
        <f t="shared" si="6"/>
        <v>Repeat</v>
      </c>
      <c r="N226" s="5" t="str">
        <f>TEXT(C226,"yyyy")</f>
        <v>2023</v>
      </c>
      <c r="O226" s="5" t="str">
        <f t="shared" si="7"/>
        <v>Medium</v>
      </c>
    </row>
    <row r="227" spans="1:15" x14ac:dyDescent="0.35">
      <c r="A227" t="s">
        <v>372</v>
      </c>
      <c r="B227" t="s">
        <v>159</v>
      </c>
      <c r="C227" s="1">
        <v>45227</v>
      </c>
      <c r="D227" t="s">
        <v>63</v>
      </c>
      <c r="E227" t="s">
        <v>17</v>
      </c>
      <c r="F227" t="s">
        <v>18</v>
      </c>
      <c r="G227">
        <v>3</v>
      </c>
      <c r="H227">
        <v>0.1</v>
      </c>
      <c r="I227">
        <v>658.8</v>
      </c>
      <c r="J227">
        <v>164.7</v>
      </c>
      <c r="K227" t="s">
        <v>19</v>
      </c>
      <c r="L227" t="s">
        <v>20</v>
      </c>
      <c r="M227" s="5" t="str">
        <f t="shared" si="6"/>
        <v>Repeat</v>
      </c>
      <c r="N227" s="5" t="str">
        <f>TEXT(C227,"yyyy")</f>
        <v>2023</v>
      </c>
      <c r="O227" s="5" t="str">
        <f t="shared" si="7"/>
        <v>Medium</v>
      </c>
    </row>
    <row r="228" spans="1:15" x14ac:dyDescent="0.35">
      <c r="A228" t="s">
        <v>373</v>
      </c>
      <c r="B228" t="s">
        <v>374</v>
      </c>
      <c r="C228" s="1">
        <v>45317</v>
      </c>
      <c r="D228" t="s">
        <v>63</v>
      </c>
      <c r="E228" t="s">
        <v>17</v>
      </c>
      <c r="F228" t="s">
        <v>46</v>
      </c>
      <c r="G228">
        <v>4</v>
      </c>
      <c r="H228">
        <v>0.05</v>
      </c>
      <c r="I228">
        <v>1254</v>
      </c>
      <c r="J228">
        <v>250.8</v>
      </c>
      <c r="K228" t="s">
        <v>26</v>
      </c>
      <c r="L228" t="s">
        <v>20</v>
      </c>
      <c r="M228" s="5" t="str">
        <f t="shared" si="6"/>
        <v>Repeat</v>
      </c>
      <c r="N228" s="5" t="str">
        <f>TEXT(C228,"yyyy")</f>
        <v>2024</v>
      </c>
      <c r="O228" s="5" t="str">
        <f t="shared" si="7"/>
        <v>Least or No</v>
      </c>
    </row>
    <row r="229" spans="1:15" x14ac:dyDescent="0.35">
      <c r="A229" t="s">
        <v>375</v>
      </c>
      <c r="B229" t="s">
        <v>94</v>
      </c>
      <c r="C229" s="1">
        <v>45479</v>
      </c>
      <c r="D229" t="s">
        <v>37</v>
      </c>
      <c r="E229" t="s">
        <v>33</v>
      </c>
      <c r="F229" t="s">
        <v>43</v>
      </c>
      <c r="G229">
        <v>1</v>
      </c>
      <c r="H229">
        <v>0.15</v>
      </c>
      <c r="I229">
        <v>298.35000000000002</v>
      </c>
      <c r="J229">
        <v>74.59</v>
      </c>
      <c r="K229" t="s">
        <v>39</v>
      </c>
      <c r="L229" t="s">
        <v>20</v>
      </c>
      <c r="M229" s="5" t="str">
        <f t="shared" si="6"/>
        <v>Repeat</v>
      </c>
      <c r="N229" s="5" t="str">
        <f>TEXT(C229,"yyyy")</f>
        <v>2024</v>
      </c>
      <c r="O229" s="5" t="str">
        <f t="shared" si="7"/>
        <v>High</v>
      </c>
    </row>
    <row r="230" spans="1:15" x14ac:dyDescent="0.35">
      <c r="A230" t="s">
        <v>376</v>
      </c>
      <c r="B230" t="s">
        <v>159</v>
      </c>
      <c r="C230" s="1">
        <v>45839</v>
      </c>
      <c r="D230" t="s">
        <v>23</v>
      </c>
      <c r="E230" t="s">
        <v>33</v>
      </c>
      <c r="F230" t="s">
        <v>66</v>
      </c>
      <c r="G230">
        <v>1</v>
      </c>
      <c r="H230">
        <v>0.15</v>
      </c>
      <c r="I230">
        <v>104.55</v>
      </c>
      <c r="J230">
        <v>31.36</v>
      </c>
      <c r="K230" t="s">
        <v>26</v>
      </c>
      <c r="L230" t="s">
        <v>20</v>
      </c>
      <c r="M230" s="5" t="str">
        <f t="shared" si="6"/>
        <v>Repeat</v>
      </c>
      <c r="N230" s="5" t="str">
        <f>TEXT(C230,"yyyy")</f>
        <v>2025</v>
      </c>
      <c r="O230" s="5" t="str">
        <f t="shared" si="7"/>
        <v>High</v>
      </c>
    </row>
    <row r="231" spans="1:15" x14ac:dyDescent="0.35">
      <c r="A231" t="s">
        <v>377</v>
      </c>
      <c r="B231" t="s">
        <v>195</v>
      </c>
      <c r="C231" s="1">
        <v>45752</v>
      </c>
      <c r="D231" t="s">
        <v>42</v>
      </c>
      <c r="E231" t="s">
        <v>33</v>
      </c>
      <c r="F231" t="s">
        <v>43</v>
      </c>
      <c r="G231">
        <v>1</v>
      </c>
      <c r="H231">
        <v>0.05</v>
      </c>
      <c r="I231">
        <v>423.7</v>
      </c>
      <c r="J231">
        <v>105.92</v>
      </c>
      <c r="K231" t="s">
        <v>19</v>
      </c>
      <c r="L231" t="s">
        <v>20</v>
      </c>
      <c r="M231" s="5" t="str">
        <f t="shared" si="6"/>
        <v>Repeat</v>
      </c>
      <c r="N231" s="5" t="str">
        <f>TEXT(C231,"yyyy")</f>
        <v>2025</v>
      </c>
      <c r="O231" s="5" t="str">
        <f t="shared" si="7"/>
        <v>Least or No</v>
      </c>
    </row>
    <row r="232" spans="1:15" x14ac:dyDescent="0.35">
      <c r="A232" t="s">
        <v>378</v>
      </c>
      <c r="B232" t="s">
        <v>379</v>
      </c>
      <c r="C232" s="1">
        <v>45165</v>
      </c>
      <c r="D232" t="s">
        <v>37</v>
      </c>
      <c r="E232" t="s">
        <v>33</v>
      </c>
      <c r="F232" t="s">
        <v>71</v>
      </c>
      <c r="G232">
        <v>3</v>
      </c>
      <c r="H232">
        <v>0</v>
      </c>
      <c r="I232">
        <v>618</v>
      </c>
      <c r="J232">
        <v>123.6</v>
      </c>
      <c r="K232" t="s">
        <v>26</v>
      </c>
      <c r="L232" t="s">
        <v>27</v>
      </c>
      <c r="M232" s="5" t="str">
        <f t="shared" si="6"/>
        <v>Repeat</v>
      </c>
      <c r="N232" s="5" t="str">
        <f>TEXT(C232,"yyyy")</f>
        <v>2023</v>
      </c>
      <c r="O232" s="5" t="str">
        <f t="shared" si="7"/>
        <v>Least or No</v>
      </c>
    </row>
    <row r="233" spans="1:15" x14ac:dyDescent="0.35">
      <c r="A233" t="s">
        <v>380</v>
      </c>
      <c r="B233" t="s">
        <v>381</v>
      </c>
      <c r="C233" s="1">
        <v>45835</v>
      </c>
      <c r="D233" t="s">
        <v>42</v>
      </c>
      <c r="E233" t="s">
        <v>24</v>
      </c>
      <c r="F233" t="s">
        <v>49</v>
      </c>
      <c r="G233">
        <v>3</v>
      </c>
      <c r="H233">
        <v>0.1</v>
      </c>
      <c r="I233">
        <v>950.4</v>
      </c>
      <c r="J233">
        <v>237.6</v>
      </c>
      <c r="K233" t="s">
        <v>26</v>
      </c>
      <c r="L233" t="s">
        <v>20</v>
      </c>
      <c r="M233" s="5" t="str">
        <f t="shared" si="6"/>
        <v>New</v>
      </c>
      <c r="N233" s="5" t="str">
        <f>TEXT(C233,"yyyy")</f>
        <v>2025</v>
      </c>
      <c r="O233" s="5" t="str">
        <f t="shared" si="7"/>
        <v>Medium</v>
      </c>
    </row>
    <row r="234" spans="1:15" x14ac:dyDescent="0.35">
      <c r="A234" t="s">
        <v>382</v>
      </c>
      <c r="B234" t="s">
        <v>187</v>
      </c>
      <c r="C234" s="1">
        <v>45118</v>
      </c>
      <c r="D234" t="s">
        <v>37</v>
      </c>
      <c r="E234" t="s">
        <v>24</v>
      </c>
      <c r="F234" t="s">
        <v>25</v>
      </c>
      <c r="G234">
        <v>1</v>
      </c>
      <c r="H234">
        <v>0</v>
      </c>
      <c r="I234">
        <v>144</v>
      </c>
      <c r="J234">
        <v>36</v>
      </c>
      <c r="K234" t="s">
        <v>19</v>
      </c>
      <c r="L234" t="s">
        <v>20</v>
      </c>
      <c r="M234" s="5" t="str">
        <f t="shared" si="6"/>
        <v>Repeat</v>
      </c>
      <c r="N234" s="5" t="str">
        <f>TEXT(C234,"yyyy")</f>
        <v>2023</v>
      </c>
      <c r="O234" s="5" t="str">
        <f t="shared" si="7"/>
        <v>Least or No</v>
      </c>
    </row>
    <row r="235" spans="1:15" x14ac:dyDescent="0.35">
      <c r="A235" t="s">
        <v>383</v>
      </c>
      <c r="B235" t="s">
        <v>86</v>
      </c>
      <c r="C235" s="1">
        <v>45431</v>
      </c>
      <c r="D235" t="s">
        <v>42</v>
      </c>
      <c r="E235" t="s">
        <v>24</v>
      </c>
      <c r="F235" t="s">
        <v>25</v>
      </c>
      <c r="G235">
        <v>1</v>
      </c>
      <c r="H235">
        <v>0</v>
      </c>
      <c r="I235">
        <v>131</v>
      </c>
      <c r="J235">
        <v>32.75</v>
      </c>
      <c r="K235" t="s">
        <v>39</v>
      </c>
      <c r="L235" t="s">
        <v>27</v>
      </c>
      <c r="M235" s="5" t="str">
        <f t="shared" si="6"/>
        <v>Repeat</v>
      </c>
      <c r="N235" s="5" t="str">
        <f>TEXT(C235,"yyyy")</f>
        <v>2024</v>
      </c>
      <c r="O235" s="5" t="str">
        <f t="shared" si="7"/>
        <v>Least or No</v>
      </c>
    </row>
    <row r="236" spans="1:15" x14ac:dyDescent="0.35">
      <c r="A236" t="s">
        <v>384</v>
      </c>
      <c r="B236" t="s">
        <v>304</v>
      </c>
      <c r="C236" s="1">
        <v>45024</v>
      </c>
      <c r="D236" t="s">
        <v>42</v>
      </c>
      <c r="E236" t="s">
        <v>24</v>
      </c>
      <c r="F236" t="s">
        <v>25</v>
      </c>
      <c r="G236">
        <v>1</v>
      </c>
      <c r="H236">
        <v>0</v>
      </c>
      <c r="I236">
        <v>406</v>
      </c>
      <c r="J236">
        <v>101.5</v>
      </c>
      <c r="K236" t="s">
        <v>19</v>
      </c>
      <c r="L236" t="s">
        <v>27</v>
      </c>
      <c r="M236" s="5" t="str">
        <f t="shared" si="6"/>
        <v>Repeat</v>
      </c>
      <c r="N236" s="5" t="str">
        <f>TEXT(C236,"yyyy")</f>
        <v>2023</v>
      </c>
      <c r="O236" s="5" t="str">
        <f t="shared" si="7"/>
        <v>Least or No</v>
      </c>
    </row>
    <row r="237" spans="1:15" x14ac:dyDescent="0.35">
      <c r="A237" t="s">
        <v>385</v>
      </c>
      <c r="B237" t="s">
        <v>73</v>
      </c>
      <c r="C237" s="1">
        <v>45163</v>
      </c>
      <c r="D237" t="s">
        <v>42</v>
      </c>
      <c r="E237" t="s">
        <v>17</v>
      </c>
      <c r="F237" t="s">
        <v>18</v>
      </c>
      <c r="G237">
        <v>1</v>
      </c>
      <c r="H237">
        <v>0.15</v>
      </c>
      <c r="I237">
        <v>142.80000000000001</v>
      </c>
      <c r="J237">
        <v>35.700000000000003</v>
      </c>
      <c r="K237" t="s">
        <v>19</v>
      </c>
      <c r="L237" t="s">
        <v>20</v>
      </c>
      <c r="M237" s="5" t="str">
        <f t="shared" si="6"/>
        <v>Repeat</v>
      </c>
      <c r="N237" s="5" t="str">
        <f>TEXT(C237,"yyyy")</f>
        <v>2023</v>
      </c>
      <c r="O237" s="5" t="str">
        <f t="shared" si="7"/>
        <v>High</v>
      </c>
    </row>
    <row r="238" spans="1:15" x14ac:dyDescent="0.35">
      <c r="A238" t="s">
        <v>386</v>
      </c>
      <c r="B238" t="s">
        <v>387</v>
      </c>
      <c r="C238" s="1">
        <v>45090</v>
      </c>
      <c r="D238" t="s">
        <v>16</v>
      </c>
      <c r="E238" t="s">
        <v>17</v>
      </c>
      <c r="F238" t="s">
        <v>18</v>
      </c>
      <c r="G238">
        <v>3</v>
      </c>
      <c r="H238">
        <v>0</v>
      </c>
      <c r="I238">
        <v>759</v>
      </c>
      <c r="J238">
        <v>189.75</v>
      </c>
      <c r="K238" t="s">
        <v>39</v>
      </c>
      <c r="L238" t="s">
        <v>27</v>
      </c>
      <c r="M238" s="5" t="str">
        <f t="shared" si="6"/>
        <v>Repeat</v>
      </c>
      <c r="N238" s="5" t="str">
        <f>TEXT(C238,"yyyy")</f>
        <v>2023</v>
      </c>
      <c r="O238" s="5" t="str">
        <f t="shared" si="7"/>
        <v>Least or No</v>
      </c>
    </row>
    <row r="239" spans="1:15" x14ac:dyDescent="0.35">
      <c r="A239" t="s">
        <v>388</v>
      </c>
      <c r="B239" t="s">
        <v>389</v>
      </c>
      <c r="C239" s="1">
        <v>45026</v>
      </c>
      <c r="D239" t="s">
        <v>37</v>
      </c>
      <c r="E239" t="s">
        <v>33</v>
      </c>
      <c r="F239" t="s">
        <v>71</v>
      </c>
      <c r="G239">
        <v>4</v>
      </c>
      <c r="H239">
        <v>0</v>
      </c>
      <c r="I239">
        <v>1792</v>
      </c>
      <c r="J239">
        <v>537.6</v>
      </c>
      <c r="K239" t="s">
        <v>26</v>
      </c>
      <c r="L239" t="s">
        <v>20</v>
      </c>
      <c r="M239" s="5" t="str">
        <f t="shared" si="6"/>
        <v>Repeat</v>
      </c>
      <c r="N239" s="5" t="str">
        <f>TEXT(C239,"yyyy")</f>
        <v>2023</v>
      </c>
      <c r="O239" s="5" t="str">
        <f t="shared" si="7"/>
        <v>Least or No</v>
      </c>
    </row>
    <row r="240" spans="1:15" x14ac:dyDescent="0.35">
      <c r="A240" t="s">
        <v>390</v>
      </c>
      <c r="B240" t="s">
        <v>391</v>
      </c>
      <c r="C240" s="1">
        <v>45229</v>
      </c>
      <c r="D240" t="s">
        <v>37</v>
      </c>
      <c r="E240" t="s">
        <v>33</v>
      </c>
      <c r="F240" t="s">
        <v>38</v>
      </c>
      <c r="G240">
        <v>4</v>
      </c>
      <c r="H240">
        <v>0.15</v>
      </c>
      <c r="I240">
        <v>1142.4000000000001</v>
      </c>
      <c r="J240">
        <v>342.72</v>
      </c>
      <c r="K240" t="s">
        <v>19</v>
      </c>
      <c r="L240" t="s">
        <v>20</v>
      </c>
      <c r="M240" s="5" t="str">
        <f t="shared" si="6"/>
        <v>New</v>
      </c>
      <c r="N240" s="5" t="str">
        <f>TEXT(C240,"yyyy")</f>
        <v>2023</v>
      </c>
      <c r="O240" s="5" t="str">
        <f t="shared" si="7"/>
        <v>High</v>
      </c>
    </row>
    <row r="241" spans="1:15" x14ac:dyDescent="0.35">
      <c r="A241" t="s">
        <v>392</v>
      </c>
      <c r="B241" t="s">
        <v>387</v>
      </c>
      <c r="C241" s="1">
        <v>45516</v>
      </c>
      <c r="D241" t="s">
        <v>42</v>
      </c>
      <c r="E241" t="s">
        <v>33</v>
      </c>
      <c r="F241" t="s">
        <v>66</v>
      </c>
      <c r="G241">
        <v>1</v>
      </c>
      <c r="H241">
        <v>0.15</v>
      </c>
      <c r="I241">
        <v>141.1</v>
      </c>
      <c r="J241">
        <v>42.33</v>
      </c>
      <c r="K241" t="s">
        <v>19</v>
      </c>
      <c r="L241" t="s">
        <v>27</v>
      </c>
      <c r="M241" s="5" t="str">
        <f t="shared" si="6"/>
        <v>Repeat</v>
      </c>
      <c r="N241" s="5" t="str">
        <f>TEXT(C241,"yyyy")</f>
        <v>2024</v>
      </c>
      <c r="O241" s="5" t="str">
        <f t="shared" si="7"/>
        <v>High</v>
      </c>
    </row>
    <row r="242" spans="1:15" x14ac:dyDescent="0.35">
      <c r="A242" t="s">
        <v>393</v>
      </c>
      <c r="B242" t="s">
        <v>387</v>
      </c>
      <c r="C242" s="1">
        <v>45488</v>
      </c>
      <c r="D242" t="s">
        <v>42</v>
      </c>
      <c r="E242" t="s">
        <v>33</v>
      </c>
      <c r="F242" t="s">
        <v>66</v>
      </c>
      <c r="G242">
        <v>2</v>
      </c>
      <c r="H242">
        <v>0.1</v>
      </c>
      <c r="I242">
        <v>732.6</v>
      </c>
      <c r="J242">
        <v>183.15</v>
      </c>
      <c r="K242" t="s">
        <v>26</v>
      </c>
      <c r="L242" t="s">
        <v>27</v>
      </c>
      <c r="M242" s="5" t="str">
        <f t="shared" si="6"/>
        <v>Repeat</v>
      </c>
      <c r="N242" s="5" t="str">
        <f>TEXT(C242,"yyyy")</f>
        <v>2024</v>
      </c>
      <c r="O242" s="5" t="str">
        <f t="shared" si="7"/>
        <v>Medium</v>
      </c>
    </row>
    <row r="243" spans="1:15" x14ac:dyDescent="0.35">
      <c r="A243" t="s">
        <v>394</v>
      </c>
      <c r="B243" t="s">
        <v>283</v>
      </c>
      <c r="C243" s="1">
        <v>46018</v>
      </c>
      <c r="D243" t="s">
        <v>37</v>
      </c>
      <c r="E243" t="s">
        <v>24</v>
      </c>
      <c r="F243" t="s">
        <v>49</v>
      </c>
      <c r="G243">
        <v>1</v>
      </c>
      <c r="H243">
        <v>0.05</v>
      </c>
      <c r="I243">
        <v>393.3</v>
      </c>
      <c r="J243">
        <v>78.66</v>
      </c>
      <c r="K243" t="s">
        <v>19</v>
      </c>
      <c r="L243" t="s">
        <v>20</v>
      </c>
      <c r="M243" s="5" t="str">
        <f t="shared" si="6"/>
        <v>Repeat</v>
      </c>
      <c r="N243" s="5" t="str">
        <f>TEXT(C243,"yyyy")</f>
        <v>2025</v>
      </c>
      <c r="O243" s="5" t="str">
        <f t="shared" si="7"/>
        <v>Least or No</v>
      </c>
    </row>
    <row r="244" spans="1:15" x14ac:dyDescent="0.35">
      <c r="A244" t="s">
        <v>395</v>
      </c>
      <c r="B244" t="s">
        <v>53</v>
      </c>
      <c r="C244" s="1">
        <v>45985</v>
      </c>
      <c r="D244" t="s">
        <v>23</v>
      </c>
      <c r="E244" t="s">
        <v>24</v>
      </c>
      <c r="F244" t="s">
        <v>107</v>
      </c>
      <c r="G244">
        <v>3</v>
      </c>
      <c r="H244">
        <v>0.1</v>
      </c>
      <c r="I244">
        <v>623.70000000000005</v>
      </c>
      <c r="J244">
        <v>155.93</v>
      </c>
      <c r="K244" t="s">
        <v>19</v>
      </c>
      <c r="L244" t="s">
        <v>20</v>
      </c>
      <c r="M244" s="5" t="str">
        <f t="shared" si="6"/>
        <v>Repeat</v>
      </c>
      <c r="N244" s="5" t="str">
        <f>TEXT(C244,"yyyy")</f>
        <v>2025</v>
      </c>
      <c r="O244" s="5" t="str">
        <f t="shared" si="7"/>
        <v>Medium</v>
      </c>
    </row>
    <row r="245" spans="1:15" x14ac:dyDescent="0.35">
      <c r="A245" t="s">
        <v>396</v>
      </c>
      <c r="B245" t="s">
        <v>379</v>
      </c>
      <c r="C245" s="1">
        <v>45425</v>
      </c>
      <c r="D245" t="s">
        <v>42</v>
      </c>
      <c r="E245" t="s">
        <v>33</v>
      </c>
      <c r="F245" t="s">
        <v>38</v>
      </c>
      <c r="G245">
        <v>1</v>
      </c>
      <c r="H245">
        <v>0.05</v>
      </c>
      <c r="I245">
        <v>228</v>
      </c>
      <c r="J245">
        <v>57</v>
      </c>
      <c r="K245" t="s">
        <v>39</v>
      </c>
      <c r="L245" t="s">
        <v>27</v>
      </c>
      <c r="M245" s="5" t="str">
        <f t="shared" si="6"/>
        <v>Repeat</v>
      </c>
      <c r="N245" s="5" t="str">
        <f>TEXT(C245,"yyyy")</f>
        <v>2024</v>
      </c>
      <c r="O245" s="5" t="str">
        <f t="shared" si="7"/>
        <v>Least or No</v>
      </c>
    </row>
    <row r="246" spans="1:15" x14ac:dyDescent="0.35">
      <c r="A246" t="s">
        <v>397</v>
      </c>
      <c r="B246" t="s">
        <v>119</v>
      </c>
      <c r="C246" s="1">
        <v>45744</v>
      </c>
      <c r="D246" t="s">
        <v>23</v>
      </c>
      <c r="E246" t="s">
        <v>17</v>
      </c>
      <c r="F246" t="s">
        <v>58</v>
      </c>
      <c r="G246">
        <v>4</v>
      </c>
      <c r="H246">
        <v>0.05</v>
      </c>
      <c r="I246">
        <v>1121</v>
      </c>
      <c r="J246">
        <v>280.25</v>
      </c>
      <c r="K246" t="s">
        <v>26</v>
      </c>
      <c r="L246" t="s">
        <v>27</v>
      </c>
      <c r="M246" s="5" t="str">
        <f t="shared" si="6"/>
        <v>New</v>
      </c>
      <c r="N246" s="5" t="str">
        <f>TEXT(C246,"yyyy")</f>
        <v>2025</v>
      </c>
      <c r="O246" s="5" t="str">
        <f t="shared" si="7"/>
        <v>Least or No</v>
      </c>
    </row>
    <row r="247" spans="1:15" x14ac:dyDescent="0.35">
      <c r="A247" t="s">
        <v>398</v>
      </c>
      <c r="B247" t="s">
        <v>156</v>
      </c>
      <c r="C247" s="1">
        <v>44952</v>
      </c>
      <c r="D247" t="s">
        <v>63</v>
      </c>
      <c r="E247" t="s">
        <v>24</v>
      </c>
      <c r="F247" t="s">
        <v>49</v>
      </c>
      <c r="G247">
        <v>2</v>
      </c>
      <c r="H247">
        <v>0.05</v>
      </c>
      <c r="I247">
        <v>533.9</v>
      </c>
      <c r="J247">
        <v>106.78</v>
      </c>
      <c r="K247" t="s">
        <v>19</v>
      </c>
      <c r="L247" t="s">
        <v>27</v>
      </c>
      <c r="M247" s="5" t="str">
        <f t="shared" si="6"/>
        <v>Repeat</v>
      </c>
      <c r="N247" s="5" t="str">
        <f>TEXT(C247,"yyyy")</f>
        <v>2023</v>
      </c>
      <c r="O247" s="5" t="str">
        <f t="shared" si="7"/>
        <v>Least or No</v>
      </c>
    </row>
    <row r="248" spans="1:15" x14ac:dyDescent="0.35">
      <c r="A248" t="s">
        <v>399</v>
      </c>
      <c r="B248" t="s">
        <v>202</v>
      </c>
      <c r="C248" s="1">
        <v>45699</v>
      </c>
      <c r="D248" t="s">
        <v>23</v>
      </c>
      <c r="E248" t="s">
        <v>17</v>
      </c>
      <c r="F248" t="s">
        <v>58</v>
      </c>
      <c r="G248">
        <v>1</v>
      </c>
      <c r="H248">
        <v>0.15</v>
      </c>
      <c r="I248">
        <v>291.55</v>
      </c>
      <c r="J248">
        <v>87.47</v>
      </c>
      <c r="K248" t="s">
        <v>19</v>
      </c>
      <c r="L248" t="s">
        <v>27</v>
      </c>
      <c r="M248" s="5" t="str">
        <f t="shared" si="6"/>
        <v>Repeat</v>
      </c>
      <c r="N248" s="5" t="str">
        <f>TEXT(C248,"yyyy")</f>
        <v>2025</v>
      </c>
      <c r="O248" s="5" t="str">
        <f t="shared" si="7"/>
        <v>High</v>
      </c>
    </row>
    <row r="249" spans="1:15" x14ac:dyDescent="0.35">
      <c r="A249" t="s">
        <v>400</v>
      </c>
      <c r="B249" t="s">
        <v>401</v>
      </c>
      <c r="C249" s="1">
        <v>45648</v>
      </c>
      <c r="D249" t="s">
        <v>42</v>
      </c>
      <c r="E249" t="s">
        <v>17</v>
      </c>
      <c r="F249" t="s">
        <v>78</v>
      </c>
      <c r="G249">
        <v>2</v>
      </c>
      <c r="H249">
        <v>0</v>
      </c>
      <c r="I249">
        <v>324</v>
      </c>
      <c r="J249">
        <v>97.2</v>
      </c>
      <c r="K249" t="s">
        <v>19</v>
      </c>
      <c r="L249" t="s">
        <v>20</v>
      </c>
      <c r="M249" s="5" t="str">
        <f t="shared" si="6"/>
        <v>Repeat</v>
      </c>
      <c r="N249" s="5" t="str">
        <f>TEXT(C249,"yyyy")</f>
        <v>2024</v>
      </c>
      <c r="O249" s="5" t="str">
        <f t="shared" si="7"/>
        <v>Least or No</v>
      </c>
    </row>
    <row r="250" spans="1:15" x14ac:dyDescent="0.35">
      <c r="A250" t="s">
        <v>402</v>
      </c>
      <c r="B250" t="s">
        <v>45</v>
      </c>
      <c r="C250" s="1">
        <v>45357</v>
      </c>
      <c r="D250" t="s">
        <v>16</v>
      </c>
      <c r="E250" t="s">
        <v>24</v>
      </c>
      <c r="F250" t="s">
        <v>25</v>
      </c>
      <c r="G250">
        <v>1</v>
      </c>
      <c r="H250">
        <v>0</v>
      </c>
      <c r="I250">
        <v>153</v>
      </c>
      <c r="J250">
        <v>38.25</v>
      </c>
      <c r="K250" t="s">
        <v>19</v>
      </c>
      <c r="L250" t="s">
        <v>20</v>
      </c>
      <c r="M250" s="5" t="str">
        <f t="shared" si="6"/>
        <v>Repeat</v>
      </c>
      <c r="N250" s="5" t="str">
        <f>TEXT(C250,"yyyy")</f>
        <v>2024</v>
      </c>
      <c r="O250" s="5" t="str">
        <f t="shared" si="7"/>
        <v>Least or No</v>
      </c>
    </row>
    <row r="251" spans="1:15" x14ac:dyDescent="0.35">
      <c r="A251" t="s">
        <v>403</v>
      </c>
      <c r="B251" t="s">
        <v>404</v>
      </c>
      <c r="C251" s="1">
        <v>45470</v>
      </c>
      <c r="D251" t="s">
        <v>37</v>
      </c>
      <c r="E251" t="s">
        <v>17</v>
      </c>
      <c r="F251" t="s">
        <v>18</v>
      </c>
      <c r="G251">
        <v>2</v>
      </c>
      <c r="H251">
        <v>0.1</v>
      </c>
      <c r="I251">
        <v>496.8</v>
      </c>
      <c r="J251">
        <v>124.2</v>
      </c>
      <c r="K251" t="s">
        <v>39</v>
      </c>
      <c r="L251" t="s">
        <v>20</v>
      </c>
      <c r="M251" s="5" t="str">
        <f t="shared" si="6"/>
        <v>New</v>
      </c>
      <c r="N251" s="5" t="str">
        <f>TEXT(C251,"yyyy")</f>
        <v>2024</v>
      </c>
      <c r="O251" s="5" t="str">
        <f t="shared" si="7"/>
        <v>Medium</v>
      </c>
    </row>
    <row r="252" spans="1:15" x14ac:dyDescent="0.35">
      <c r="A252" t="s">
        <v>405</v>
      </c>
      <c r="B252" t="s">
        <v>406</v>
      </c>
      <c r="C252" s="1">
        <v>45402</v>
      </c>
      <c r="D252" t="s">
        <v>23</v>
      </c>
      <c r="E252" t="s">
        <v>17</v>
      </c>
      <c r="F252" t="s">
        <v>46</v>
      </c>
      <c r="G252">
        <v>4</v>
      </c>
      <c r="H252">
        <v>0.1</v>
      </c>
      <c r="I252">
        <v>345.6</v>
      </c>
      <c r="J252">
        <v>103.68</v>
      </c>
      <c r="K252" t="s">
        <v>26</v>
      </c>
      <c r="L252" t="s">
        <v>20</v>
      </c>
      <c r="M252" s="5" t="str">
        <f t="shared" si="6"/>
        <v>New</v>
      </c>
      <c r="N252" s="5" t="str">
        <f>TEXT(C252,"yyyy")</f>
        <v>2024</v>
      </c>
      <c r="O252" s="5" t="str">
        <f t="shared" si="7"/>
        <v>Medium</v>
      </c>
    </row>
    <row r="253" spans="1:15" x14ac:dyDescent="0.35">
      <c r="A253" t="s">
        <v>407</v>
      </c>
      <c r="B253" t="s">
        <v>250</v>
      </c>
      <c r="C253" s="1">
        <v>45316</v>
      </c>
      <c r="D253" t="s">
        <v>23</v>
      </c>
      <c r="E253" t="s">
        <v>33</v>
      </c>
      <c r="F253" t="s">
        <v>71</v>
      </c>
      <c r="G253">
        <v>1</v>
      </c>
      <c r="H253">
        <v>0.15</v>
      </c>
      <c r="I253">
        <v>310.25</v>
      </c>
      <c r="J253">
        <v>93.08</v>
      </c>
      <c r="K253" t="s">
        <v>39</v>
      </c>
      <c r="L253" t="s">
        <v>27</v>
      </c>
      <c r="M253" s="5" t="str">
        <f t="shared" si="6"/>
        <v>Repeat</v>
      </c>
      <c r="N253" s="5" t="str">
        <f>TEXT(C253,"yyyy")</f>
        <v>2024</v>
      </c>
      <c r="O253" s="5" t="str">
        <f t="shared" si="7"/>
        <v>High</v>
      </c>
    </row>
    <row r="254" spans="1:15" x14ac:dyDescent="0.35">
      <c r="A254" t="s">
        <v>408</v>
      </c>
      <c r="B254" t="s">
        <v>202</v>
      </c>
      <c r="C254" s="1">
        <v>45920</v>
      </c>
      <c r="D254" t="s">
        <v>23</v>
      </c>
      <c r="E254" t="s">
        <v>33</v>
      </c>
      <c r="F254" t="s">
        <v>38</v>
      </c>
      <c r="G254">
        <v>2</v>
      </c>
      <c r="H254">
        <v>0.05</v>
      </c>
      <c r="I254">
        <v>469.3</v>
      </c>
      <c r="J254">
        <v>117.32</v>
      </c>
      <c r="K254" t="s">
        <v>19</v>
      </c>
      <c r="L254" t="s">
        <v>20</v>
      </c>
      <c r="M254" s="5" t="str">
        <f t="shared" si="6"/>
        <v>Repeat</v>
      </c>
      <c r="N254" s="5" t="str">
        <f>TEXT(C254,"yyyy")</f>
        <v>2025</v>
      </c>
      <c r="O254" s="5" t="str">
        <f t="shared" si="7"/>
        <v>Least or No</v>
      </c>
    </row>
    <row r="255" spans="1:15" x14ac:dyDescent="0.35">
      <c r="A255" t="s">
        <v>409</v>
      </c>
      <c r="B255" t="s">
        <v>410</v>
      </c>
      <c r="C255" s="1">
        <v>45185</v>
      </c>
      <c r="D255" t="s">
        <v>42</v>
      </c>
      <c r="E255" t="s">
        <v>17</v>
      </c>
      <c r="F255" t="s">
        <v>78</v>
      </c>
      <c r="G255">
        <v>2</v>
      </c>
      <c r="H255">
        <v>0.15</v>
      </c>
      <c r="I255">
        <v>300.89999999999998</v>
      </c>
      <c r="J255">
        <v>75.22</v>
      </c>
      <c r="K255" t="s">
        <v>26</v>
      </c>
      <c r="L255" t="s">
        <v>20</v>
      </c>
      <c r="M255" s="5" t="str">
        <f t="shared" si="6"/>
        <v>Repeat</v>
      </c>
      <c r="N255" s="5" t="str">
        <f>TEXT(C255,"yyyy")</f>
        <v>2023</v>
      </c>
      <c r="O255" s="5" t="str">
        <f t="shared" si="7"/>
        <v>High</v>
      </c>
    </row>
    <row r="256" spans="1:15" x14ac:dyDescent="0.35">
      <c r="A256" t="s">
        <v>411</v>
      </c>
      <c r="B256" t="s">
        <v>412</v>
      </c>
      <c r="C256" s="1">
        <v>45489</v>
      </c>
      <c r="D256" t="s">
        <v>37</v>
      </c>
      <c r="E256" t="s">
        <v>24</v>
      </c>
      <c r="F256" t="s">
        <v>25</v>
      </c>
      <c r="G256">
        <v>4</v>
      </c>
      <c r="H256">
        <v>0.1</v>
      </c>
      <c r="I256">
        <v>615.6</v>
      </c>
      <c r="J256">
        <v>123.12</v>
      </c>
      <c r="K256" t="s">
        <v>19</v>
      </c>
      <c r="L256" t="s">
        <v>20</v>
      </c>
      <c r="M256" s="5" t="str">
        <f t="shared" si="6"/>
        <v>New</v>
      </c>
      <c r="N256" s="5" t="str">
        <f>TEXT(C256,"yyyy")</f>
        <v>2024</v>
      </c>
      <c r="O256" s="5" t="str">
        <f t="shared" si="7"/>
        <v>Medium</v>
      </c>
    </row>
    <row r="257" spans="1:15" x14ac:dyDescent="0.35">
      <c r="A257" t="s">
        <v>413</v>
      </c>
      <c r="B257" t="s">
        <v>240</v>
      </c>
      <c r="C257" s="1">
        <v>45750</v>
      </c>
      <c r="D257" t="s">
        <v>42</v>
      </c>
      <c r="E257" t="s">
        <v>33</v>
      </c>
      <c r="F257" t="s">
        <v>43</v>
      </c>
      <c r="G257">
        <v>2</v>
      </c>
      <c r="H257">
        <v>0.05</v>
      </c>
      <c r="I257">
        <v>216.6</v>
      </c>
      <c r="J257">
        <v>64.98</v>
      </c>
      <c r="K257" t="s">
        <v>39</v>
      </c>
      <c r="L257" t="s">
        <v>27</v>
      </c>
      <c r="M257" s="5" t="str">
        <f t="shared" si="6"/>
        <v>Repeat</v>
      </c>
      <c r="N257" s="5" t="str">
        <f>TEXT(C257,"yyyy")</f>
        <v>2025</v>
      </c>
      <c r="O257" s="5" t="str">
        <f t="shared" si="7"/>
        <v>Least or No</v>
      </c>
    </row>
    <row r="258" spans="1:15" x14ac:dyDescent="0.35">
      <c r="A258" t="s">
        <v>414</v>
      </c>
      <c r="B258" t="s">
        <v>48</v>
      </c>
      <c r="C258" s="1">
        <v>45927</v>
      </c>
      <c r="D258" t="s">
        <v>16</v>
      </c>
      <c r="E258" t="s">
        <v>17</v>
      </c>
      <c r="F258" t="s">
        <v>78</v>
      </c>
      <c r="G258">
        <v>4</v>
      </c>
      <c r="H258">
        <v>0.1</v>
      </c>
      <c r="I258">
        <v>748.8</v>
      </c>
      <c r="J258">
        <v>187.2</v>
      </c>
      <c r="K258" t="s">
        <v>19</v>
      </c>
      <c r="L258" t="s">
        <v>20</v>
      </c>
      <c r="M258" s="5" t="str">
        <f t="shared" si="6"/>
        <v>Repeat</v>
      </c>
      <c r="N258" s="5" t="str">
        <f>TEXT(C258,"yyyy")</f>
        <v>2025</v>
      </c>
      <c r="O258" s="5" t="str">
        <f t="shared" si="7"/>
        <v>Medium</v>
      </c>
    </row>
    <row r="259" spans="1:15" x14ac:dyDescent="0.35">
      <c r="A259" t="s">
        <v>415</v>
      </c>
      <c r="B259" t="s">
        <v>138</v>
      </c>
      <c r="C259" s="1">
        <v>45915</v>
      </c>
      <c r="D259" t="s">
        <v>42</v>
      </c>
      <c r="E259" t="s">
        <v>33</v>
      </c>
      <c r="F259" t="s">
        <v>43</v>
      </c>
      <c r="G259">
        <v>3</v>
      </c>
      <c r="H259">
        <v>0</v>
      </c>
      <c r="I259">
        <v>765</v>
      </c>
      <c r="J259">
        <v>153</v>
      </c>
      <c r="K259" t="s">
        <v>39</v>
      </c>
      <c r="L259" t="s">
        <v>27</v>
      </c>
      <c r="M259" s="5" t="str">
        <f t="shared" ref="M259:M322" si="8">IF(COUNTIF(B:B,B259)&gt;1,"Repeat","New")</f>
        <v>Repeat</v>
      </c>
      <c r="N259" s="5" t="str">
        <f>TEXT(C259,"yyyy")</f>
        <v>2025</v>
      </c>
      <c r="O259" s="5" t="str">
        <f t="shared" ref="O259:O322" si="9">IF(H259&gt;=0.15,"High",IF(H259&gt;=0.1,"Medium","Least or No"))</f>
        <v>Least or No</v>
      </c>
    </row>
    <row r="260" spans="1:15" x14ac:dyDescent="0.35">
      <c r="A260" t="s">
        <v>416</v>
      </c>
      <c r="B260" t="s">
        <v>32</v>
      </c>
      <c r="C260" s="1">
        <v>44997</v>
      </c>
      <c r="D260" t="s">
        <v>63</v>
      </c>
      <c r="E260" t="s">
        <v>17</v>
      </c>
      <c r="F260" t="s">
        <v>18</v>
      </c>
      <c r="G260">
        <v>3</v>
      </c>
      <c r="H260">
        <v>0.15</v>
      </c>
      <c r="I260">
        <v>1030.2</v>
      </c>
      <c r="J260">
        <v>309.06</v>
      </c>
      <c r="K260" t="s">
        <v>26</v>
      </c>
      <c r="L260" t="s">
        <v>27</v>
      </c>
      <c r="M260" s="5" t="str">
        <f t="shared" si="8"/>
        <v>Repeat</v>
      </c>
      <c r="N260" s="5" t="str">
        <f>TEXT(C260,"yyyy")</f>
        <v>2023</v>
      </c>
      <c r="O260" s="5" t="str">
        <f t="shared" si="9"/>
        <v>High</v>
      </c>
    </row>
    <row r="261" spans="1:15" x14ac:dyDescent="0.35">
      <c r="A261" t="s">
        <v>417</v>
      </c>
      <c r="B261" t="s">
        <v>418</v>
      </c>
      <c r="C261" s="1">
        <v>44955</v>
      </c>
      <c r="D261" t="s">
        <v>37</v>
      </c>
      <c r="E261" t="s">
        <v>33</v>
      </c>
      <c r="F261" t="s">
        <v>38</v>
      </c>
      <c r="G261">
        <v>4</v>
      </c>
      <c r="H261">
        <v>0.05</v>
      </c>
      <c r="I261">
        <v>668.8</v>
      </c>
      <c r="J261">
        <v>200.64</v>
      </c>
      <c r="K261" t="s">
        <v>39</v>
      </c>
      <c r="L261" t="s">
        <v>27</v>
      </c>
      <c r="M261" s="5" t="str">
        <f t="shared" si="8"/>
        <v>Repeat</v>
      </c>
      <c r="N261" s="5" t="str">
        <f>TEXT(C261,"yyyy")</f>
        <v>2023</v>
      </c>
      <c r="O261" s="5" t="str">
        <f t="shared" si="9"/>
        <v>Least or No</v>
      </c>
    </row>
    <row r="262" spans="1:15" x14ac:dyDescent="0.35">
      <c r="A262" t="s">
        <v>419</v>
      </c>
      <c r="B262" t="s">
        <v>105</v>
      </c>
      <c r="C262" s="1">
        <v>45598</v>
      </c>
      <c r="D262" t="s">
        <v>16</v>
      </c>
      <c r="E262" t="s">
        <v>24</v>
      </c>
      <c r="F262" t="s">
        <v>25</v>
      </c>
      <c r="G262">
        <v>2</v>
      </c>
      <c r="H262">
        <v>0.15</v>
      </c>
      <c r="I262">
        <v>695.3</v>
      </c>
      <c r="J262">
        <v>173.82</v>
      </c>
      <c r="K262" t="s">
        <v>26</v>
      </c>
      <c r="L262" t="s">
        <v>27</v>
      </c>
      <c r="M262" s="5" t="str">
        <f t="shared" si="8"/>
        <v>Repeat</v>
      </c>
      <c r="N262" s="5" t="str">
        <f>TEXT(C262,"yyyy")</f>
        <v>2024</v>
      </c>
      <c r="O262" s="5" t="str">
        <f t="shared" si="9"/>
        <v>High</v>
      </c>
    </row>
    <row r="263" spans="1:15" x14ac:dyDescent="0.35">
      <c r="A263" t="s">
        <v>420</v>
      </c>
      <c r="B263" t="s">
        <v>144</v>
      </c>
      <c r="C263" s="1">
        <v>45400</v>
      </c>
      <c r="D263" t="s">
        <v>42</v>
      </c>
      <c r="E263" t="s">
        <v>24</v>
      </c>
      <c r="F263" t="s">
        <v>49</v>
      </c>
      <c r="G263">
        <v>4</v>
      </c>
      <c r="H263">
        <v>0.05</v>
      </c>
      <c r="I263">
        <v>714.4</v>
      </c>
      <c r="J263">
        <v>178.6</v>
      </c>
      <c r="K263" t="s">
        <v>39</v>
      </c>
      <c r="L263" t="s">
        <v>20</v>
      </c>
      <c r="M263" s="5" t="str">
        <f t="shared" si="8"/>
        <v>Repeat</v>
      </c>
      <c r="N263" s="5" t="str">
        <f>TEXT(C263,"yyyy")</f>
        <v>2024</v>
      </c>
      <c r="O263" s="5" t="str">
        <f t="shared" si="9"/>
        <v>Least or No</v>
      </c>
    </row>
    <row r="264" spans="1:15" x14ac:dyDescent="0.35">
      <c r="A264" t="s">
        <v>421</v>
      </c>
      <c r="B264" t="s">
        <v>187</v>
      </c>
      <c r="C264" s="1">
        <v>45243</v>
      </c>
      <c r="D264" t="s">
        <v>42</v>
      </c>
      <c r="E264" t="s">
        <v>24</v>
      </c>
      <c r="F264" t="s">
        <v>49</v>
      </c>
      <c r="G264">
        <v>2</v>
      </c>
      <c r="H264">
        <v>0.1</v>
      </c>
      <c r="I264">
        <v>705.6</v>
      </c>
      <c r="J264">
        <v>211.68</v>
      </c>
      <c r="K264" t="s">
        <v>19</v>
      </c>
      <c r="L264" t="s">
        <v>27</v>
      </c>
      <c r="M264" s="5" t="str">
        <f t="shared" si="8"/>
        <v>Repeat</v>
      </c>
      <c r="N264" s="5" t="str">
        <f>TEXT(C264,"yyyy")</f>
        <v>2023</v>
      </c>
      <c r="O264" s="5" t="str">
        <f t="shared" si="9"/>
        <v>Medium</v>
      </c>
    </row>
    <row r="265" spans="1:15" x14ac:dyDescent="0.35">
      <c r="A265" t="s">
        <v>422</v>
      </c>
      <c r="B265" t="s">
        <v>55</v>
      </c>
      <c r="C265" s="1">
        <v>45874</v>
      </c>
      <c r="D265" t="s">
        <v>63</v>
      </c>
      <c r="E265" t="s">
        <v>33</v>
      </c>
      <c r="F265" t="s">
        <v>38</v>
      </c>
      <c r="G265">
        <v>4</v>
      </c>
      <c r="H265">
        <v>0.05</v>
      </c>
      <c r="I265">
        <v>334.4</v>
      </c>
      <c r="J265">
        <v>66.88</v>
      </c>
      <c r="K265" t="s">
        <v>19</v>
      </c>
      <c r="L265" t="s">
        <v>27</v>
      </c>
      <c r="M265" s="5" t="str">
        <f t="shared" si="8"/>
        <v>Repeat</v>
      </c>
      <c r="N265" s="5" t="str">
        <f>TEXT(C265,"yyyy")</f>
        <v>2025</v>
      </c>
      <c r="O265" s="5" t="str">
        <f t="shared" si="9"/>
        <v>Least or No</v>
      </c>
    </row>
    <row r="266" spans="1:15" x14ac:dyDescent="0.35">
      <c r="A266" t="s">
        <v>423</v>
      </c>
      <c r="B266" t="s">
        <v>424</v>
      </c>
      <c r="C266" s="1">
        <v>45689</v>
      </c>
      <c r="D266" t="s">
        <v>37</v>
      </c>
      <c r="E266" t="s">
        <v>24</v>
      </c>
      <c r="F266" t="s">
        <v>107</v>
      </c>
      <c r="G266">
        <v>4</v>
      </c>
      <c r="H266">
        <v>0.05</v>
      </c>
      <c r="I266">
        <v>383.8</v>
      </c>
      <c r="J266">
        <v>115.14</v>
      </c>
      <c r="K266" t="s">
        <v>39</v>
      </c>
      <c r="L266" t="s">
        <v>20</v>
      </c>
      <c r="M266" s="5" t="str">
        <f t="shared" si="8"/>
        <v>New</v>
      </c>
      <c r="N266" s="5" t="str">
        <f>TEXT(C266,"yyyy")</f>
        <v>2025</v>
      </c>
      <c r="O266" s="5" t="str">
        <f t="shared" si="9"/>
        <v>Least or No</v>
      </c>
    </row>
    <row r="267" spans="1:15" x14ac:dyDescent="0.35">
      <c r="A267" t="s">
        <v>425</v>
      </c>
      <c r="B267" t="s">
        <v>45</v>
      </c>
      <c r="C267" s="1">
        <v>45623</v>
      </c>
      <c r="D267" t="s">
        <v>63</v>
      </c>
      <c r="E267" t="s">
        <v>33</v>
      </c>
      <c r="F267" t="s">
        <v>43</v>
      </c>
      <c r="G267">
        <v>3</v>
      </c>
      <c r="H267">
        <v>0.15</v>
      </c>
      <c r="I267">
        <v>379.95</v>
      </c>
      <c r="J267">
        <v>75.989999999999995</v>
      </c>
      <c r="K267" t="s">
        <v>39</v>
      </c>
      <c r="L267" t="s">
        <v>27</v>
      </c>
      <c r="M267" s="5" t="str">
        <f t="shared" si="8"/>
        <v>Repeat</v>
      </c>
      <c r="N267" s="5" t="str">
        <f>TEXT(C267,"yyyy")</f>
        <v>2024</v>
      </c>
      <c r="O267" s="5" t="str">
        <f t="shared" si="9"/>
        <v>High</v>
      </c>
    </row>
    <row r="268" spans="1:15" x14ac:dyDescent="0.35">
      <c r="A268" t="s">
        <v>426</v>
      </c>
      <c r="B268" t="s">
        <v>427</v>
      </c>
      <c r="C268" s="1">
        <v>45217</v>
      </c>
      <c r="D268" t="s">
        <v>23</v>
      </c>
      <c r="E268" t="s">
        <v>24</v>
      </c>
      <c r="F268" t="s">
        <v>49</v>
      </c>
      <c r="G268">
        <v>2</v>
      </c>
      <c r="H268">
        <v>0.1</v>
      </c>
      <c r="I268">
        <v>732.6</v>
      </c>
      <c r="J268">
        <v>146.52000000000001</v>
      </c>
      <c r="K268" t="s">
        <v>19</v>
      </c>
      <c r="L268" t="s">
        <v>27</v>
      </c>
      <c r="M268" s="5" t="str">
        <f t="shared" si="8"/>
        <v>New</v>
      </c>
      <c r="N268" s="5" t="str">
        <f>TEXT(C268,"yyyy")</f>
        <v>2023</v>
      </c>
      <c r="O268" s="5" t="str">
        <f t="shared" si="9"/>
        <v>Medium</v>
      </c>
    </row>
    <row r="269" spans="1:15" x14ac:dyDescent="0.35">
      <c r="A269" t="s">
        <v>428</v>
      </c>
      <c r="B269" t="s">
        <v>429</v>
      </c>
      <c r="C269" s="1">
        <v>45916</v>
      </c>
      <c r="D269" t="s">
        <v>63</v>
      </c>
      <c r="E269" t="s">
        <v>24</v>
      </c>
      <c r="F269" t="s">
        <v>49</v>
      </c>
      <c r="G269">
        <v>2</v>
      </c>
      <c r="H269">
        <v>0.05</v>
      </c>
      <c r="I269">
        <v>818.9</v>
      </c>
      <c r="J269">
        <v>163.78</v>
      </c>
      <c r="K269" t="s">
        <v>26</v>
      </c>
      <c r="L269" t="s">
        <v>27</v>
      </c>
      <c r="M269" s="5" t="str">
        <f t="shared" si="8"/>
        <v>Repeat</v>
      </c>
      <c r="N269" s="5" t="str">
        <f>TEXT(C269,"yyyy")</f>
        <v>2025</v>
      </c>
      <c r="O269" s="5" t="str">
        <f t="shared" si="9"/>
        <v>Least or No</v>
      </c>
    </row>
    <row r="270" spans="1:15" x14ac:dyDescent="0.35">
      <c r="A270" t="s">
        <v>430</v>
      </c>
      <c r="B270" t="s">
        <v>387</v>
      </c>
      <c r="C270" s="1">
        <v>45275</v>
      </c>
      <c r="D270" t="s">
        <v>23</v>
      </c>
      <c r="E270" t="s">
        <v>17</v>
      </c>
      <c r="F270" t="s">
        <v>78</v>
      </c>
      <c r="G270">
        <v>1</v>
      </c>
      <c r="H270">
        <v>0.15</v>
      </c>
      <c r="I270">
        <v>380.8</v>
      </c>
      <c r="J270">
        <v>114.24</v>
      </c>
      <c r="K270" t="s">
        <v>19</v>
      </c>
      <c r="L270" t="s">
        <v>27</v>
      </c>
      <c r="M270" s="5" t="str">
        <f t="shared" si="8"/>
        <v>Repeat</v>
      </c>
      <c r="N270" s="5" t="str">
        <f>TEXT(C270,"yyyy")</f>
        <v>2023</v>
      </c>
      <c r="O270" s="5" t="str">
        <f t="shared" si="9"/>
        <v>High</v>
      </c>
    </row>
    <row r="271" spans="1:15" x14ac:dyDescent="0.35">
      <c r="A271" t="s">
        <v>431</v>
      </c>
      <c r="B271" t="s">
        <v>410</v>
      </c>
      <c r="C271" s="1">
        <v>45079</v>
      </c>
      <c r="D271" t="s">
        <v>42</v>
      </c>
      <c r="E271" t="s">
        <v>17</v>
      </c>
      <c r="F271" t="s">
        <v>46</v>
      </c>
      <c r="G271">
        <v>1</v>
      </c>
      <c r="H271">
        <v>0.15</v>
      </c>
      <c r="I271">
        <v>266.89999999999998</v>
      </c>
      <c r="J271">
        <v>80.069999999999993</v>
      </c>
      <c r="K271" t="s">
        <v>19</v>
      </c>
      <c r="L271" t="s">
        <v>20</v>
      </c>
      <c r="M271" s="5" t="str">
        <f t="shared" si="8"/>
        <v>Repeat</v>
      </c>
      <c r="N271" s="5" t="str">
        <f>TEXT(C271,"yyyy")</f>
        <v>2023</v>
      </c>
      <c r="O271" s="5" t="str">
        <f t="shared" si="9"/>
        <v>High</v>
      </c>
    </row>
    <row r="272" spans="1:15" x14ac:dyDescent="0.35">
      <c r="A272" t="s">
        <v>432</v>
      </c>
      <c r="B272" t="s">
        <v>418</v>
      </c>
      <c r="C272" s="1">
        <v>44951</v>
      </c>
      <c r="D272" t="s">
        <v>37</v>
      </c>
      <c r="E272" t="s">
        <v>33</v>
      </c>
      <c r="F272" t="s">
        <v>38</v>
      </c>
      <c r="G272">
        <v>4</v>
      </c>
      <c r="H272">
        <v>0</v>
      </c>
      <c r="I272">
        <v>1724</v>
      </c>
      <c r="J272">
        <v>431</v>
      </c>
      <c r="K272" t="s">
        <v>26</v>
      </c>
      <c r="L272" t="s">
        <v>27</v>
      </c>
      <c r="M272" s="5" t="str">
        <f t="shared" si="8"/>
        <v>Repeat</v>
      </c>
      <c r="N272" s="5" t="str">
        <f>TEXT(C272,"yyyy")</f>
        <v>2023</v>
      </c>
      <c r="O272" s="5" t="str">
        <f t="shared" si="9"/>
        <v>Least or No</v>
      </c>
    </row>
    <row r="273" spans="1:15" x14ac:dyDescent="0.35">
      <c r="A273" t="s">
        <v>433</v>
      </c>
      <c r="B273" t="s">
        <v>295</v>
      </c>
      <c r="C273" s="1">
        <v>45066</v>
      </c>
      <c r="D273" t="s">
        <v>16</v>
      </c>
      <c r="E273" t="s">
        <v>24</v>
      </c>
      <c r="F273" t="s">
        <v>49</v>
      </c>
      <c r="G273">
        <v>3</v>
      </c>
      <c r="H273">
        <v>0</v>
      </c>
      <c r="I273">
        <v>402</v>
      </c>
      <c r="J273">
        <v>100.5</v>
      </c>
      <c r="K273" t="s">
        <v>26</v>
      </c>
      <c r="L273" t="s">
        <v>27</v>
      </c>
      <c r="M273" s="5" t="str">
        <f t="shared" si="8"/>
        <v>Repeat</v>
      </c>
      <c r="N273" s="5" t="str">
        <f>TEXT(C273,"yyyy")</f>
        <v>2023</v>
      </c>
      <c r="O273" s="5" t="str">
        <f t="shared" si="9"/>
        <v>Least or No</v>
      </c>
    </row>
    <row r="274" spans="1:15" x14ac:dyDescent="0.35">
      <c r="A274" t="s">
        <v>434</v>
      </c>
      <c r="B274" t="s">
        <v>90</v>
      </c>
      <c r="C274" s="1">
        <v>45300</v>
      </c>
      <c r="D274" t="s">
        <v>63</v>
      </c>
      <c r="E274" t="s">
        <v>33</v>
      </c>
      <c r="F274" t="s">
        <v>43</v>
      </c>
      <c r="G274">
        <v>3</v>
      </c>
      <c r="H274">
        <v>0</v>
      </c>
      <c r="I274">
        <v>735</v>
      </c>
      <c r="J274">
        <v>220.5</v>
      </c>
      <c r="K274" t="s">
        <v>26</v>
      </c>
      <c r="L274" t="s">
        <v>20</v>
      </c>
      <c r="M274" s="5" t="str">
        <f t="shared" si="8"/>
        <v>Repeat</v>
      </c>
      <c r="N274" s="5" t="str">
        <f>TEXT(C274,"yyyy")</f>
        <v>2024</v>
      </c>
      <c r="O274" s="5" t="str">
        <f t="shared" si="9"/>
        <v>Least or No</v>
      </c>
    </row>
    <row r="275" spans="1:15" x14ac:dyDescent="0.35">
      <c r="A275" t="s">
        <v>435</v>
      </c>
      <c r="B275" t="s">
        <v>36</v>
      </c>
      <c r="C275" s="1">
        <v>45649</v>
      </c>
      <c r="D275" t="s">
        <v>23</v>
      </c>
      <c r="E275" t="s">
        <v>33</v>
      </c>
      <c r="F275" t="s">
        <v>34</v>
      </c>
      <c r="G275">
        <v>4</v>
      </c>
      <c r="H275">
        <v>0</v>
      </c>
      <c r="I275">
        <v>444</v>
      </c>
      <c r="J275">
        <v>133.19999999999999</v>
      </c>
      <c r="K275" t="s">
        <v>39</v>
      </c>
      <c r="L275" t="s">
        <v>27</v>
      </c>
      <c r="M275" s="5" t="str">
        <f t="shared" si="8"/>
        <v>Repeat</v>
      </c>
      <c r="N275" s="5" t="str">
        <f>TEXT(C275,"yyyy")</f>
        <v>2024</v>
      </c>
      <c r="O275" s="5" t="str">
        <f t="shared" si="9"/>
        <v>Least or No</v>
      </c>
    </row>
    <row r="276" spans="1:15" x14ac:dyDescent="0.35">
      <c r="A276" t="s">
        <v>436</v>
      </c>
      <c r="B276" t="s">
        <v>429</v>
      </c>
      <c r="C276" s="1">
        <v>44989</v>
      </c>
      <c r="D276" t="s">
        <v>16</v>
      </c>
      <c r="E276" t="s">
        <v>24</v>
      </c>
      <c r="F276" t="s">
        <v>30</v>
      </c>
      <c r="G276">
        <v>2</v>
      </c>
      <c r="H276">
        <v>0.15</v>
      </c>
      <c r="I276">
        <v>537.20000000000005</v>
      </c>
      <c r="J276">
        <v>134.30000000000001</v>
      </c>
      <c r="K276" t="s">
        <v>26</v>
      </c>
      <c r="L276" t="s">
        <v>20</v>
      </c>
      <c r="M276" s="5" t="str">
        <f t="shared" si="8"/>
        <v>Repeat</v>
      </c>
      <c r="N276" s="5" t="str">
        <f>TEXT(C276,"yyyy")</f>
        <v>2023</v>
      </c>
      <c r="O276" s="5" t="str">
        <f t="shared" si="9"/>
        <v>High</v>
      </c>
    </row>
    <row r="277" spans="1:15" x14ac:dyDescent="0.35">
      <c r="A277" t="s">
        <v>437</v>
      </c>
      <c r="B277" t="s">
        <v>86</v>
      </c>
      <c r="C277" s="1">
        <v>45854</v>
      </c>
      <c r="D277" t="s">
        <v>23</v>
      </c>
      <c r="E277" t="s">
        <v>33</v>
      </c>
      <c r="F277" t="s">
        <v>43</v>
      </c>
      <c r="G277">
        <v>1</v>
      </c>
      <c r="H277">
        <v>0.15</v>
      </c>
      <c r="I277">
        <v>198.05</v>
      </c>
      <c r="J277">
        <v>49.51</v>
      </c>
      <c r="K277" t="s">
        <v>39</v>
      </c>
      <c r="L277" t="s">
        <v>27</v>
      </c>
      <c r="M277" s="5" t="str">
        <f t="shared" si="8"/>
        <v>Repeat</v>
      </c>
      <c r="N277" s="5" t="str">
        <f>TEXT(C277,"yyyy")</f>
        <v>2025</v>
      </c>
      <c r="O277" s="5" t="str">
        <f t="shared" si="9"/>
        <v>High</v>
      </c>
    </row>
    <row r="278" spans="1:15" x14ac:dyDescent="0.35">
      <c r="A278" t="s">
        <v>438</v>
      </c>
      <c r="B278" t="s">
        <v>287</v>
      </c>
      <c r="C278" s="1">
        <v>44958</v>
      </c>
      <c r="D278" t="s">
        <v>16</v>
      </c>
      <c r="E278" t="s">
        <v>17</v>
      </c>
      <c r="F278" t="s">
        <v>78</v>
      </c>
      <c r="G278">
        <v>1</v>
      </c>
      <c r="H278">
        <v>0.1</v>
      </c>
      <c r="I278">
        <v>281.7</v>
      </c>
      <c r="J278">
        <v>84.51</v>
      </c>
      <c r="K278" t="s">
        <v>19</v>
      </c>
      <c r="L278" t="s">
        <v>27</v>
      </c>
      <c r="M278" s="5" t="str">
        <f t="shared" si="8"/>
        <v>Repeat</v>
      </c>
      <c r="N278" s="5" t="str">
        <f>TEXT(C278,"yyyy")</f>
        <v>2023</v>
      </c>
      <c r="O278" s="5" t="str">
        <f t="shared" si="9"/>
        <v>Medium</v>
      </c>
    </row>
    <row r="279" spans="1:15" x14ac:dyDescent="0.35">
      <c r="A279" t="s">
        <v>439</v>
      </c>
      <c r="B279" t="s">
        <v>80</v>
      </c>
      <c r="C279" s="1">
        <v>45863</v>
      </c>
      <c r="D279" t="s">
        <v>23</v>
      </c>
      <c r="E279" t="s">
        <v>17</v>
      </c>
      <c r="F279" t="s">
        <v>46</v>
      </c>
      <c r="G279">
        <v>4</v>
      </c>
      <c r="H279">
        <v>0.05</v>
      </c>
      <c r="I279">
        <v>604.20000000000005</v>
      </c>
      <c r="J279">
        <v>151.05000000000001</v>
      </c>
      <c r="K279" t="s">
        <v>19</v>
      </c>
      <c r="L279" t="s">
        <v>27</v>
      </c>
      <c r="M279" s="5" t="str">
        <f t="shared" si="8"/>
        <v>Repeat</v>
      </c>
      <c r="N279" s="5" t="str">
        <f>TEXT(C279,"yyyy")</f>
        <v>2025</v>
      </c>
      <c r="O279" s="5" t="str">
        <f t="shared" si="9"/>
        <v>Least or No</v>
      </c>
    </row>
    <row r="280" spans="1:15" x14ac:dyDescent="0.35">
      <c r="A280" t="s">
        <v>440</v>
      </c>
      <c r="B280" t="s">
        <v>96</v>
      </c>
      <c r="C280" s="1">
        <v>45450</v>
      </c>
      <c r="D280" t="s">
        <v>42</v>
      </c>
      <c r="E280" t="s">
        <v>33</v>
      </c>
      <c r="F280" t="s">
        <v>34</v>
      </c>
      <c r="G280">
        <v>2</v>
      </c>
      <c r="H280">
        <v>0.1</v>
      </c>
      <c r="I280">
        <v>496.8</v>
      </c>
      <c r="J280">
        <v>124.2</v>
      </c>
      <c r="K280" t="s">
        <v>39</v>
      </c>
      <c r="L280" t="s">
        <v>27</v>
      </c>
      <c r="M280" s="5" t="str">
        <f t="shared" si="8"/>
        <v>Repeat</v>
      </c>
      <c r="N280" s="5" t="str">
        <f>TEXT(C280,"yyyy")</f>
        <v>2024</v>
      </c>
      <c r="O280" s="5" t="str">
        <f t="shared" si="9"/>
        <v>Medium</v>
      </c>
    </row>
    <row r="281" spans="1:15" x14ac:dyDescent="0.35">
      <c r="A281" t="s">
        <v>441</v>
      </c>
      <c r="B281" t="s">
        <v>174</v>
      </c>
      <c r="C281" s="1">
        <v>45211</v>
      </c>
      <c r="D281" t="s">
        <v>63</v>
      </c>
      <c r="E281" t="s">
        <v>33</v>
      </c>
      <c r="F281" t="s">
        <v>34</v>
      </c>
      <c r="G281">
        <v>3</v>
      </c>
      <c r="H281">
        <v>0</v>
      </c>
      <c r="I281">
        <v>1332</v>
      </c>
      <c r="J281">
        <v>266.39999999999998</v>
      </c>
      <c r="K281" t="s">
        <v>19</v>
      </c>
      <c r="L281" t="s">
        <v>27</v>
      </c>
      <c r="M281" s="5" t="str">
        <f t="shared" si="8"/>
        <v>Repeat</v>
      </c>
      <c r="N281" s="5" t="str">
        <f>TEXT(C281,"yyyy")</f>
        <v>2023</v>
      </c>
      <c r="O281" s="5" t="str">
        <f t="shared" si="9"/>
        <v>Least or No</v>
      </c>
    </row>
    <row r="282" spans="1:15" x14ac:dyDescent="0.35">
      <c r="A282" t="s">
        <v>442</v>
      </c>
      <c r="B282" t="s">
        <v>283</v>
      </c>
      <c r="C282" s="1">
        <v>45107</v>
      </c>
      <c r="D282" t="s">
        <v>42</v>
      </c>
      <c r="E282" t="s">
        <v>17</v>
      </c>
      <c r="F282" t="s">
        <v>58</v>
      </c>
      <c r="G282">
        <v>1</v>
      </c>
      <c r="H282">
        <v>0.15</v>
      </c>
      <c r="I282">
        <v>117.3</v>
      </c>
      <c r="J282">
        <v>29.32</v>
      </c>
      <c r="K282" t="s">
        <v>26</v>
      </c>
      <c r="L282" t="s">
        <v>27</v>
      </c>
      <c r="M282" s="5" t="str">
        <f t="shared" si="8"/>
        <v>Repeat</v>
      </c>
      <c r="N282" s="5" t="str">
        <f>TEXT(C282,"yyyy")</f>
        <v>2023</v>
      </c>
      <c r="O282" s="5" t="str">
        <f t="shared" si="9"/>
        <v>High</v>
      </c>
    </row>
    <row r="283" spans="1:15" x14ac:dyDescent="0.35">
      <c r="A283" t="s">
        <v>443</v>
      </c>
      <c r="B283" t="s">
        <v>176</v>
      </c>
      <c r="C283" s="1">
        <v>45055</v>
      </c>
      <c r="D283" t="s">
        <v>16</v>
      </c>
      <c r="E283" t="s">
        <v>24</v>
      </c>
      <c r="F283" t="s">
        <v>107</v>
      </c>
      <c r="G283">
        <v>1</v>
      </c>
      <c r="H283">
        <v>0.15</v>
      </c>
      <c r="I283">
        <v>314.5</v>
      </c>
      <c r="J283">
        <v>94.35</v>
      </c>
      <c r="K283" t="s">
        <v>26</v>
      </c>
      <c r="L283" t="s">
        <v>20</v>
      </c>
      <c r="M283" s="5" t="str">
        <f t="shared" si="8"/>
        <v>Repeat</v>
      </c>
      <c r="N283" s="5" t="str">
        <f>TEXT(C283,"yyyy")</f>
        <v>2023</v>
      </c>
      <c r="O283" s="5" t="str">
        <f t="shared" si="9"/>
        <v>High</v>
      </c>
    </row>
    <row r="284" spans="1:15" x14ac:dyDescent="0.35">
      <c r="A284" t="s">
        <v>444</v>
      </c>
      <c r="B284" t="s">
        <v>105</v>
      </c>
      <c r="C284" s="1">
        <v>45190</v>
      </c>
      <c r="D284" t="s">
        <v>23</v>
      </c>
      <c r="E284" t="s">
        <v>24</v>
      </c>
      <c r="F284" t="s">
        <v>107</v>
      </c>
      <c r="G284">
        <v>3</v>
      </c>
      <c r="H284">
        <v>0</v>
      </c>
      <c r="I284">
        <v>837</v>
      </c>
      <c r="J284">
        <v>209.25</v>
      </c>
      <c r="K284" t="s">
        <v>26</v>
      </c>
      <c r="L284" t="s">
        <v>20</v>
      </c>
      <c r="M284" s="5" t="str">
        <f t="shared" si="8"/>
        <v>Repeat</v>
      </c>
      <c r="N284" s="5" t="str">
        <f>TEXT(C284,"yyyy")</f>
        <v>2023</v>
      </c>
      <c r="O284" s="5" t="str">
        <f t="shared" si="9"/>
        <v>Least or No</v>
      </c>
    </row>
    <row r="285" spans="1:15" x14ac:dyDescent="0.35">
      <c r="A285" t="s">
        <v>445</v>
      </c>
      <c r="B285" t="s">
        <v>131</v>
      </c>
      <c r="C285" s="1">
        <v>45650</v>
      </c>
      <c r="D285" t="s">
        <v>37</v>
      </c>
      <c r="E285" t="s">
        <v>33</v>
      </c>
      <c r="F285" t="s">
        <v>66</v>
      </c>
      <c r="G285">
        <v>1</v>
      </c>
      <c r="H285">
        <v>0.05</v>
      </c>
      <c r="I285">
        <v>424.65</v>
      </c>
      <c r="J285">
        <v>84.93</v>
      </c>
      <c r="K285" t="s">
        <v>26</v>
      </c>
      <c r="L285" t="s">
        <v>20</v>
      </c>
      <c r="M285" s="5" t="str">
        <f t="shared" si="8"/>
        <v>Repeat</v>
      </c>
      <c r="N285" s="5" t="str">
        <f>TEXT(C285,"yyyy")</f>
        <v>2024</v>
      </c>
      <c r="O285" s="5" t="str">
        <f t="shared" si="9"/>
        <v>Least or No</v>
      </c>
    </row>
    <row r="286" spans="1:15" x14ac:dyDescent="0.35">
      <c r="A286" t="s">
        <v>446</v>
      </c>
      <c r="B286" t="s">
        <v>265</v>
      </c>
      <c r="C286" s="1">
        <v>45707</v>
      </c>
      <c r="D286" t="s">
        <v>23</v>
      </c>
      <c r="E286" t="s">
        <v>17</v>
      </c>
      <c r="F286" t="s">
        <v>58</v>
      </c>
      <c r="G286">
        <v>3</v>
      </c>
      <c r="H286">
        <v>0</v>
      </c>
      <c r="I286">
        <v>1017</v>
      </c>
      <c r="J286">
        <v>254.25</v>
      </c>
      <c r="K286" t="s">
        <v>39</v>
      </c>
      <c r="L286" t="s">
        <v>20</v>
      </c>
      <c r="M286" s="5" t="str">
        <f t="shared" si="8"/>
        <v>Repeat</v>
      </c>
      <c r="N286" s="5" t="str">
        <f>TEXT(C286,"yyyy")</f>
        <v>2025</v>
      </c>
      <c r="O286" s="5" t="str">
        <f t="shared" si="9"/>
        <v>Least or No</v>
      </c>
    </row>
    <row r="287" spans="1:15" x14ac:dyDescent="0.35">
      <c r="A287" t="s">
        <v>447</v>
      </c>
      <c r="B287" t="s">
        <v>133</v>
      </c>
      <c r="C287" s="1">
        <v>45172</v>
      </c>
      <c r="D287" t="s">
        <v>37</v>
      </c>
      <c r="E287" t="s">
        <v>24</v>
      </c>
      <c r="F287" t="s">
        <v>30</v>
      </c>
      <c r="G287">
        <v>1</v>
      </c>
      <c r="H287">
        <v>0.1</v>
      </c>
      <c r="I287">
        <v>100.8</v>
      </c>
      <c r="J287">
        <v>25.2</v>
      </c>
      <c r="K287" t="s">
        <v>19</v>
      </c>
      <c r="L287" t="s">
        <v>20</v>
      </c>
      <c r="M287" s="5" t="str">
        <f t="shared" si="8"/>
        <v>Repeat</v>
      </c>
      <c r="N287" s="5" t="str">
        <f>TEXT(C287,"yyyy")</f>
        <v>2023</v>
      </c>
      <c r="O287" s="5" t="str">
        <f t="shared" si="9"/>
        <v>Medium</v>
      </c>
    </row>
    <row r="288" spans="1:15" x14ac:dyDescent="0.35">
      <c r="A288" t="s">
        <v>448</v>
      </c>
      <c r="B288" t="s">
        <v>90</v>
      </c>
      <c r="C288" s="1">
        <v>45612</v>
      </c>
      <c r="D288" t="s">
        <v>16</v>
      </c>
      <c r="E288" t="s">
        <v>24</v>
      </c>
      <c r="F288" t="s">
        <v>107</v>
      </c>
      <c r="G288">
        <v>3</v>
      </c>
      <c r="H288">
        <v>0.1</v>
      </c>
      <c r="I288">
        <v>275.39999999999998</v>
      </c>
      <c r="J288">
        <v>55.08</v>
      </c>
      <c r="K288" t="s">
        <v>19</v>
      </c>
      <c r="L288" t="s">
        <v>27</v>
      </c>
      <c r="M288" s="5" t="str">
        <f t="shared" si="8"/>
        <v>Repeat</v>
      </c>
      <c r="N288" s="5" t="str">
        <f>TEXT(C288,"yyyy")</f>
        <v>2024</v>
      </c>
      <c r="O288" s="5" t="str">
        <f t="shared" si="9"/>
        <v>Medium</v>
      </c>
    </row>
    <row r="289" spans="1:15" x14ac:dyDescent="0.35">
      <c r="A289" t="s">
        <v>449</v>
      </c>
      <c r="B289" t="s">
        <v>45</v>
      </c>
      <c r="C289" s="1">
        <v>45599</v>
      </c>
      <c r="D289" t="s">
        <v>37</v>
      </c>
      <c r="E289" t="s">
        <v>17</v>
      </c>
      <c r="F289" t="s">
        <v>58</v>
      </c>
      <c r="G289">
        <v>3</v>
      </c>
      <c r="H289">
        <v>0.1</v>
      </c>
      <c r="I289">
        <v>810</v>
      </c>
      <c r="J289">
        <v>162</v>
      </c>
      <c r="K289" t="s">
        <v>39</v>
      </c>
      <c r="L289" t="s">
        <v>20</v>
      </c>
      <c r="M289" s="5" t="str">
        <f t="shared" si="8"/>
        <v>Repeat</v>
      </c>
      <c r="N289" s="5" t="str">
        <f>TEXT(C289,"yyyy")</f>
        <v>2024</v>
      </c>
      <c r="O289" s="5" t="str">
        <f t="shared" si="9"/>
        <v>Medium</v>
      </c>
    </row>
    <row r="290" spans="1:15" x14ac:dyDescent="0.35">
      <c r="A290" t="s">
        <v>450</v>
      </c>
      <c r="B290" t="s">
        <v>267</v>
      </c>
      <c r="C290" s="1">
        <v>44947</v>
      </c>
      <c r="D290" t="s">
        <v>23</v>
      </c>
      <c r="E290" t="s">
        <v>17</v>
      </c>
      <c r="F290" t="s">
        <v>46</v>
      </c>
      <c r="G290">
        <v>2</v>
      </c>
      <c r="H290">
        <v>0.1</v>
      </c>
      <c r="I290">
        <v>783</v>
      </c>
      <c r="J290">
        <v>156.6</v>
      </c>
      <c r="K290" t="s">
        <v>19</v>
      </c>
      <c r="L290" t="s">
        <v>27</v>
      </c>
      <c r="M290" s="5" t="str">
        <f t="shared" si="8"/>
        <v>Repeat</v>
      </c>
      <c r="N290" s="5" t="str">
        <f>TEXT(C290,"yyyy")</f>
        <v>2023</v>
      </c>
      <c r="O290" s="5" t="str">
        <f t="shared" si="9"/>
        <v>Medium</v>
      </c>
    </row>
    <row r="291" spans="1:15" x14ac:dyDescent="0.35">
      <c r="A291" t="s">
        <v>451</v>
      </c>
      <c r="B291" t="s">
        <v>162</v>
      </c>
      <c r="C291" s="1">
        <v>45569</v>
      </c>
      <c r="D291" t="s">
        <v>23</v>
      </c>
      <c r="E291" t="s">
        <v>24</v>
      </c>
      <c r="F291" t="s">
        <v>49</v>
      </c>
      <c r="G291">
        <v>3</v>
      </c>
      <c r="H291">
        <v>0.15</v>
      </c>
      <c r="I291">
        <v>586.5</v>
      </c>
      <c r="J291">
        <v>146.62</v>
      </c>
      <c r="K291" t="s">
        <v>26</v>
      </c>
      <c r="L291" t="s">
        <v>20</v>
      </c>
      <c r="M291" s="5" t="str">
        <f t="shared" si="8"/>
        <v>Repeat</v>
      </c>
      <c r="N291" s="5" t="str">
        <f>TEXT(C291,"yyyy")</f>
        <v>2024</v>
      </c>
      <c r="O291" s="5" t="str">
        <f t="shared" si="9"/>
        <v>High</v>
      </c>
    </row>
    <row r="292" spans="1:15" x14ac:dyDescent="0.35">
      <c r="A292" t="s">
        <v>452</v>
      </c>
      <c r="B292" t="s">
        <v>453</v>
      </c>
      <c r="C292" s="1">
        <v>45097</v>
      </c>
      <c r="D292" t="s">
        <v>16</v>
      </c>
      <c r="E292" t="s">
        <v>33</v>
      </c>
      <c r="F292" t="s">
        <v>71</v>
      </c>
      <c r="G292">
        <v>2</v>
      </c>
      <c r="H292">
        <v>0</v>
      </c>
      <c r="I292">
        <v>260</v>
      </c>
      <c r="J292">
        <v>78</v>
      </c>
      <c r="K292" t="s">
        <v>39</v>
      </c>
      <c r="L292" t="s">
        <v>27</v>
      </c>
      <c r="M292" s="5" t="str">
        <f t="shared" si="8"/>
        <v>Repeat</v>
      </c>
      <c r="N292" s="5" t="str">
        <f>TEXT(C292,"yyyy")</f>
        <v>2023</v>
      </c>
      <c r="O292" s="5" t="str">
        <f t="shared" si="9"/>
        <v>Least or No</v>
      </c>
    </row>
    <row r="293" spans="1:15" x14ac:dyDescent="0.35">
      <c r="A293" t="s">
        <v>454</v>
      </c>
      <c r="B293" t="s">
        <v>453</v>
      </c>
      <c r="C293" s="1">
        <v>45568</v>
      </c>
      <c r="D293" t="s">
        <v>23</v>
      </c>
      <c r="E293" t="s">
        <v>17</v>
      </c>
      <c r="F293" t="s">
        <v>58</v>
      </c>
      <c r="G293">
        <v>3</v>
      </c>
      <c r="H293">
        <v>0.15</v>
      </c>
      <c r="I293">
        <v>425.85</v>
      </c>
      <c r="J293">
        <v>85.17</v>
      </c>
      <c r="K293" t="s">
        <v>39</v>
      </c>
      <c r="L293" t="s">
        <v>27</v>
      </c>
      <c r="M293" s="5" t="str">
        <f t="shared" si="8"/>
        <v>Repeat</v>
      </c>
      <c r="N293" s="5" t="str">
        <f>TEXT(C293,"yyyy")</f>
        <v>2024</v>
      </c>
      <c r="O293" s="5" t="str">
        <f t="shared" si="9"/>
        <v>High</v>
      </c>
    </row>
    <row r="294" spans="1:15" x14ac:dyDescent="0.35">
      <c r="A294" t="s">
        <v>455</v>
      </c>
      <c r="B294" t="s">
        <v>68</v>
      </c>
      <c r="C294" s="1">
        <v>45525</v>
      </c>
      <c r="D294" t="s">
        <v>42</v>
      </c>
      <c r="E294" t="s">
        <v>17</v>
      </c>
      <c r="F294" t="s">
        <v>46</v>
      </c>
      <c r="G294">
        <v>3</v>
      </c>
      <c r="H294">
        <v>0.05</v>
      </c>
      <c r="I294">
        <v>461.7</v>
      </c>
      <c r="J294">
        <v>92.34</v>
      </c>
      <c r="K294" t="s">
        <v>39</v>
      </c>
      <c r="L294" t="s">
        <v>27</v>
      </c>
      <c r="M294" s="5" t="str">
        <f t="shared" si="8"/>
        <v>Repeat</v>
      </c>
      <c r="N294" s="5" t="str">
        <f>TEXT(C294,"yyyy")</f>
        <v>2024</v>
      </c>
      <c r="O294" s="5" t="str">
        <f t="shared" si="9"/>
        <v>Least or No</v>
      </c>
    </row>
    <row r="295" spans="1:15" x14ac:dyDescent="0.35">
      <c r="A295" t="s">
        <v>456</v>
      </c>
      <c r="B295" t="s">
        <v>457</v>
      </c>
      <c r="C295" s="1">
        <v>45985</v>
      </c>
      <c r="D295" t="s">
        <v>63</v>
      </c>
      <c r="E295" t="s">
        <v>33</v>
      </c>
      <c r="F295" t="s">
        <v>71</v>
      </c>
      <c r="G295">
        <v>2</v>
      </c>
      <c r="H295">
        <v>0.05</v>
      </c>
      <c r="I295">
        <v>710.6</v>
      </c>
      <c r="J295">
        <v>177.65</v>
      </c>
      <c r="K295" t="s">
        <v>26</v>
      </c>
      <c r="L295" t="s">
        <v>27</v>
      </c>
      <c r="M295" s="5" t="str">
        <f t="shared" si="8"/>
        <v>Repeat</v>
      </c>
      <c r="N295" s="5" t="str">
        <f>TEXT(C295,"yyyy")</f>
        <v>2025</v>
      </c>
      <c r="O295" s="5" t="str">
        <f t="shared" si="9"/>
        <v>Least or No</v>
      </c>
    </row>
    <row r="296" spans="1:15" x14ac:dyDescent="0.35">
      <c r="A296" t="s">
        <v>458</v>
      </c>
      <c r="B296" t="s">
        <v>60</v>
      </c>
      <c r="C296" s="1">
        <v>45530</v>
      </c>
      <c r="D296" t="s">
        <v>16</v>
      </c>
      <c r="E296" t="s">
        <v>33</v>
      </c>
      <c r="F296" t="s">
        <v>66</v>
      </c>
      <c r="G296">
        <v>2</v>
      </c>
      <c r="H296">
        <v>0</v>
      </c>
      <c r="I296">
        <v>246</v>
      </c>
      <c r="J296">
        <v>49.2</v>
      </c>
      <c r="K296" t="s">
        <v>19</v>
      </c>
      <c r="L296" t="s">
        <v>20</v>
      </c>
      <c r="M296" s="5" t="str">
        <f t="shared" si="8"/>
        <v>Repeat</v>
      </c>
      <c r="N296" s="5" t="str">
        <f>TEXT(C296,"yyyy")</f>
        <v>2024</v>
      </c>
      <c r="O296" s="5" t="str">
        <f t="shared" si="9"/>
        <v>Least or No</v>
      </c>
    </row>
    <row r="297" spans="1:15" x14ac:dyDescent="0.35">
      <c r="A297" t="s">
        <v>459</v>
      </c>
      <c r="B297" t="s">
        <v>254</v>
      </c>
      <c r="C297" s="1">
        <v>45534</v>
      </c>
      <c r="D297" t="s">
        <v>63</v>
      </c>
      <c r="E297" t="s">
        <v>24</v>
      </c>
      <c r="F297" t="s">
        <v>49</v>
      </c>
      <c r="G297">
        <v>3</v>
      </c>
      <c r="H297">
        <v>0.15</v>
      </c>
      <c r="I297">
        <v>984.3</v>
      </c>
      <c r="J297">
        <v>246.07</v>
      </c>
      <c r="K297" t="s">
        <v>19</v>
      </c>
      <c r="L297" t="s">
        <v>20</v>
      </c>
      <c r="M297" s="5" t="str">
        <f t="shared" si="8"/>
        <v>Repeat</v>
      </c>
      <c r="N297" s="5" t="str">
        <f>TEXT(C297,"yyyy")</f>
        <v>2024</v>
      </c>
      <c r="O297" s="5" t="str">
        <f t="shared" si="9"/>
        <v>High</v>
      </c>
    </row>
    <row r="298" spans="1:15" x14ac:dyDescent="0.35">
      <c r="A298" t="s">
        <v>460</v>
      </c>
      <c r="B298" t="s">
        <v>144</v>
      </c>
      <c r="C298" s="1">
        <v>45228</v>
      </c>
      <c r="D298" t="s">
        <v>42</v>
      </c>
      <c r="E298" t="s">
        <v>24</v>
      </c>
      <c r="F298" t="s">
        <v>107</v>
      </c>
      <c r="G298">
        <v>3</v>
      </c>
      <c r="H298">
        <v>0</v>
      </c>
      <c r="I298">
        <v>984</v>
      </c>
      <c r="J298">
        <v>196.8</v>
      </c>
      <c r="K298" t="s">
        <v>26</v>
      </c>
      <c r="L298" t="s">
        <v>20</v>
      </c>
      <c r="M298" s="5" t="str">
        <f t="shared" si="8"/>
        <v>Repeat</v>
      </c>
      <c r="N298" s="5" t="str">
        <f>TEXT(C298,"yyyy")</f>
        <v>2023</v>
      </c>
      <c r="O298" s="5" t="str">
        <f t="shared" si="9"/>
        <v>Least or No</v>
      </c>
    </row>
    <row r="299" spans="1:15" x14ac:dyDescent="0.35">
      <c r="A299" t="s">
        <v>461</v>
      </c>
      <c r="B299" t="s">
        <v>462</v>
      </c>
      <c r="C299" s="1">
        <v>45788</v>
      </c>
      <c r="D299" t="s">
        <v>37</v>
      </c>
      <c r="E299" t="s">
        <v>24</v>
      </c>
      <c r="F299" t="s">
        <v>25</v>
      </c>
      <c r="G299">
        <v>2</v>
      </c>
      <c r="H299">
        <v>0.1</v>
      </c>
      <c r="I299">
        <v>381.6</v>
      </c>
      <c r="J299">
        <v>114.48</v>
      </c>
      <c r="K299" t="s">
        <v>39</v>
      </c>
      <c r="L299" t="s">
        <v>20</v>
      </c>
      <c r="M299" s="5" t="str">
        <f t="shared" si="8"/>
        <v>New</v>
      </c>
      <c r="N299" s="5" t="str">
        <f>TEXT(C299,"yyyy")</f>
        <v>2025</v>
      </c>
      <c r="O299" s="5" t="str">
        <f t="shared" si="9"/>
        <v>Medium</v>
      </c>
    </row>
    <row r="300" spans="1:15" x14ac:dyDescent="0.35">
      <c r="A300" t="s">
        <v>463</v>
      </c>
      <c r="B300" t="s">
        <v>105</v>
      </c>
      <c r="C300" s="1">
        <v>44941</v>
      </c>
      <c r="D300" t="s">
        <v>23</v>
      </c>
      <c r="E300" t="s">
        <v>17</v>
      </c>
      <c r="F300" t="s">
        <v>46</v>
      </c>
      <c r="G300">
        <v>2</v>
      </c>
      <c r="H300">
        <v>0</v>
      </c>
      <c r="I300">
        <v>766</v>
      </c>
      <c r="J300">
        <v>229.8</v>
      </c>
      <c r="K300" t="s">
        <v>39</v>
      </c>
      <c r="L300" t="s">
        <v>20</v>
      </c>
      <c r="M300" s="5" t="str">
        <f t="shared" si="8"/>
        <v>Repeat</v>
      </c>
      <c r="N300" s="5" t="str">
        <f>TEXT(C300,"yyyy")</f>
        <v>2023</v>
      </c>
      <c r="O300" s="5" t="str">
        <f t="shared" si="9"/>
        <v>Least or No</v>
      </c>
    </row>
    <row r="301" spans="1:15" x14ac:dyDescent="0.35">
      <c r="A301" t="s">
        <v>464</v>
      </c>
      <c r="B301" t="s">
        <v>127</v>
      </c>
      <c r="C301" s="1">
        <v>45909</v>
      </c>
      <c r="D301" t="s">
        <v>42</v>
      </c>
      <c r="E301" t="s">
        <v>33</v>
      </c>
      <c r="F301" t="s">
        <v>38</v>
      </c>
      <c r="G301">
        <v>4</v>
      </c>
      <c r="H301">
        <v>0.05</v>
      </c>
      <c r="I301">
        <v>509.2</v>
      </c>
      <c r="J301">
        <v>127.3</v>
      </c>
      <c r="K301" t="s">
        <v>26</v>
      </c>
      <c r="L301" t="s">
        <v>27</v>
      </c>
      <c r="M301" s="5" t="str">
        <f t="shared" si="8"/>
        <v>Repeat</v>
      </c>
      <c r="N301" s="5" t="str">
        <f>TEXT(C301,"yyyy")</f>
        <v>2025</v>
      </c>
      <c r="O301" s="5" t="str">
        <f t="shared" si="9"/>
        <v>Least or No</v>
      </c>
    </row>
    <row r="302" spans="1:15" x14ac:dyDescent="0.35">
      <c r="A302" t="s">
        <v>465</v>
      </c>
      <c r="B302" t="s">
        <v>283</v>
      </c>
      <c r="C302" s="1">
        <v>45858</v>
      </c>
      <c r="D302" t="s">
        <v>37</v>
      </c>
      <c r="E302" t="s">
        <v>24</v>
      </c>
      <c r="F302" t="s">
        <v>25</v>
      </c>
      <c r="G302">
        <v>1</v>
      </c>
      <c r="H302">
        <v>0.05</v>
      </c>
      <c r="I302">
        <v>194.75</v>
      </c>
      <c r="J302">
        <v>58.42</v>
      </c>
      <c r="K302" t="s">
        <v>26</v>
      </c>
      <c r="L302" t="s">
        <v>20</v>
      </c>
      <c r="M302" s="5" t="str">
        <f t="shared" si="8"/>
        <v>Repeat</v>
      </c>
      <c r="N302" s="5" t="str">
        <f>TEXT(C302,"yyyy")</f>
        <v>2025</v>
      </c>
      <c r="O302" s="5" t="str">
        <f t="shared" si="9"/>
        <v>Least or No</v>
      </c>
    </row>
    <row r="303" spans="1:15" x14ac:dyDescent="0.35">
      <c r="A303" t="s">
        <v>466</v>
      </c>
      <c r="B303" t="s">
        <v>68</v>
      </c>
      <c r="C303" s="1">
        <v>45654</v>
      </c>
      <c r="D303" t="s">
        <v>63</v>
      </c>
      <c r="E303" t="s">
        <v>33</v>
      </c>
      <c r="F303" t="s">
        <v>43</v>
      </c>
      <c r="G303">
        <v>1</v>
      </c>
      <c r="H303">
        <v>0.15</v>
      </c>
      <c r="I303">
        <v>250.75</v>
      </c>
      <c r="J303">
        <v>50.15</v>
      </c>
      <c r="K303" t="s">
        <v>39</v>
      </c>
      <c r="L303" t="s">
        <v>27</v>
      </c>
      <c r="M303" s="5" t="str">
        <f t="shared" si="8"/>
        <v>Repeat</v>
      </c>
      <c r="N303" s="5" t="str">
        <f>TEXT(C303,"yyyy")</f>
        <v>2024</v>
      </c>
      <c r="O303" s="5" t="str">
        <f t="shared" si="9"/>
        <v>High</v>
      </c>
    </row>
    <row r="304" spans="1:15" x14ac:dyDescent="0.35">
      <c r="A304" t="s">
        <v>467</v>
      </c>
      <c r="B304" t="s">
        <v>133</v>
      </c>
      <c r="C304" s="1">
        <v>45380</v>
      </c>
      <c r="D304" t="s">
        <v>37</v>
      </c>
      <c r="E304" t="s">
        <v>17</v>
      </c>
      <c r="F304" t="s">
        <v>58</v>
      </c>
      <c r="G304">
        <v>1</v>
      </c>
      <c r="H304">
        <v>0.05</v>
      </c>
      <c r="I304">
        <v>228</v>
      </c>
      <c r="J304">
        <v>45.6</v>
      </c>
      <c r="K304" t="s">
        <v>26</v>
      </c>
      <c r="L304" t="s">
        <v>27</v>
      </c>
      <c r="M304" s="5" t="str">
        <f t="shared" si="8"/>
        <v>Repeat</v>
      </c>
      <c r="N304" s="5" t="str">
        <f>TEXT(C304,"yyyy")</f>
        <v>2024</v>
      </c>
      <c r="O304" s="5" t="str">
        <f t="shared" si="9"/>
        <v>Least or No</v>
      </c>
    </row>
    <row r="305" spans="1:15" x14ac:dyDescent="0.35">
      <c r="A305" t="s">
        <v>468</v>
      </c>
      <c r="B305" t="s">
        <v>469</v>
      </c>
      <c r="C305" s="1">
        <v>45476</v>
      </c>
      <c r="D305" t="s">
        <v>37</v>
      </c>
      <c r="E305" t="s">
        <v>24</v>
      </c>
      <c r="F305" t="s">
        <v>30</v>
      </c>
      <c r="G305">
        <v>4</v>
      </c>
      <c r="H305">
        <v>0.1</v>
      </c>
      <c r="I305">
        <v>1483.2</v>
      </c>
      <c r="J305">
        <v>444.96</v>
      </c>
      <c r="K305" t="s">
        <v>19</v>
      </c>
      <c r="L305" t="s">
        <v>27</v>
      </c>
      <c r="M305" s="5" t="str">
        <f t="shared" si="8"/>
        <v>New</v>
      </c>
      <c r="N305" s="5" t="str">
        <f>TEXT(C305,"yyyy")</f>
        <v>2024</v>
      </c>
      <c r="O305" s="5" t="str">
        <f t="shared" si="9"/>
        <v>Medium</v>
      </c>
    </row>
    <row r="306" spans="1:15" x14ac:dyDescent="0.35">
      <c r="A306" t="s">
        <v>470</v>
      </c>
      <c r="B306" t="s">
        <v>187</v>
      </c>
      <c r="C306" s="1">
        <v>45989</v>
      </c>
      <c r="D306" t="s">
        <v>37</v>
      </c>
      <c r="E306" t="s">
        <v>24</v>
      </c>
      <c r="F306" t="s">
        <v>30</v>
      </c>
      <c r="G306">
        <v>3</v>
      </c>
      <c r="H306">
        <v>0.1</v>
      </c>
      <c r="I306">
        <v>245.7</v>
      </c>
      <c r="J306">
        <v>61.43</v>
      </c>
      <c r="K306" t="s">
        <v>19</v>
      </c>
      <c r="L306" t="s">
        <v>20</v>
      </c>
      <c r="M306" s="5" t="str">
        <f t="shared" si="8"/>
        <v>Repeat</v>
      </c>
      <c r="N306" s="5" t="str">
        <f>TEXT(C306,"yyyy")</f>
        <v>2025</v>
      </c>
      <c r="O306" s="5" t="str">
        <f t="shared" si="9"/>
        <v>Medium</v>
      </c>
    </row>
    <row r="307" spans="1:15" x14ac:dyDescent="0.35">
      <c r="A307" t="s">
        <v>471</v>
      </c>
      <c r="B307" t="s">
        <v>256</v>
      </c>
      <c r="C307" s="1">
        <v>45707</v>
      </c>
      <c r="D307" t="s">
        <v>37</v>
      </c>
      <c r="E307" t="s">
        <v>17</v>
      </c>
      <c r="F307" t="s">
        <v>58</v>
      </c>
      <c r="G307">
        <v>4</v>
      </c>
      <c r="H307">
        <v>0.05</v>
      </c>
      <c r="I307">
        <v>376.2</v>
      </c>
      <c r="J307">
        <v>94.05</v>
      </c>
      <c r="K307" t="s">
        <v>19</v>
      </c>
      <c r="L307" t="s">
        <v>20</v>
      </c>
      <c r="M307" s="5" t="str">
        <f t="shared" si="8"/>
        <v>Repeat</v>
      </c>
      <c r="N307" s="5" t="str">
        <f>TEXT(C307,"yyyy")</f>
        <v>2025</v>
      </c>
      <c r="O307" s="5" t="str">
        <f t="shared" si="9"/>
        <v>Least or No</v>
      </c>
    </row>
    <row r="308" spans="1:15" x14ac:dyDescent="0.35">
      <c r="A308" t="s">
        <v>472</v>
      </c>
      <c r="B308" t="s">
        <v>246</v>
      </c>
      <c r="C308" s="1">
        <v>45859</v>
      </c>
      <c r="D308" t="s">
        <v>63</v>
      </c>
      <c r="E308" t="s">
        <v>17</v>
      </c>
      <c r="F308" t="s">
        <v>18</v>
      </c>
      <c r="G308">
        <v>3</v>
      </c>
      <c r="H308">
        <v>0</v>
      </c>
      <c r="I308">
        <v>279</v>
      </c>
      <c r="J308">
        <v>83.7</v>
      </c>
      <c r="K308" t="s">
        <v>39</v>
      </c>
      <c r="L308" t="s">
        <v>20</v>
      </c>
      <c r="M308" s="5" t="str">
        <f t="shared" si="8"/>
        <v>Repeat</v>
      </c>
      <c r="N308" s="5" t="str">
        <f>TEXT(C308,"yyyy")</f>
        <v>2025</v>
      </c>
      <c r="O308" s="5" t="str">
        <f t="shared" si="9"/>
        <v>Least or No</v>
      </c>
    </row>
    <row r="309" spans="1:15" x14ac:dyDescent="0.35">
      <c r="A309" t="s">
        <v>473</v>
      </c>
      <c r="B309" t="s">
        <v>105</v>
      </c>
      <c r="C309" s="1">
        <v>45732</v>
      </c>
      <c r="D309" t="s">
        <v>16</v>
      </c>
      <c r="E309" t="s">
        <v>17</v>
      </c>
      <c r="F309" t="s">
        <v>18</v>
      </c>
      <c r="G309">
        <v>2</v>
      </c>
      <c r="H309">
        <v>0.05</v>
      </c>
      <c r="I309">
        <v>438.9</v>
      </c>
      <c r="J309">
        <v>87.78</v>
      </c>
      <c r="K309" t="s">
        <v>19</v>
      </c>
      <c r="L309" t="s">
        <v>20</v>
      </c>
      <c r="M309" s="5" t="str">
        <f t="shared" si="8"/>
        <v>Repeat</v>
      </c>
      <c r="N309" s="5" t="str">
        <f>TEXT(C309,"yyyy")</f>
        <v>2025</v>
      </c>
      <c r="O309" s="5" t="str">
        <f t="shared" si="9"/>
        <v>Least or No</v>
      </c>
    </row>
    <row r="310" spans="1:15" x14ac:dyDescent="0.35">
      <c r="A310" t="s">
        <v>474</v>
      </c>
      <c r="B310" t="s">
        <v>146</v>
      </c>
      <c r="C310" s="1">
        <v>45971</v>
      </c>
      <c r="D310" t="s">
        <v>23</v>
      </c>
      <c r="E310" t="s">
        <v>33</v>
      </c>
      <c r="F310" t="s">
        <v>66</v>
      </c>
      <c r="G310">
        <v>3</v>
      </c>
      <c r="H310">
        <v>0.05</v>
      </c>
      <c r="I310">
        <v>1188.45</v>
      </c>
      <c r="J310">
        <v>356.54</v>
      </c>
      <c r="K310" t="s">
        <v>39</v>
      </c>
      <c r="L310" t="s">
        <v>27</v>
      </c>
      <c r="M310" s="5" t="str">
        <f t="shared" si="8"/>
        <v>Repeat</v>
      </c>
      <c r="N310" s="5" t="str">
        <f>TEXT(C310,"yyyy")</f>
        <v>2025</v>
      </c>
      <c r="O310" s="5" t="str">
        <f t="shared" si="9"/>
        <v>Least or No</v>
      </c>
    </row>
    <row r="311" spans="1:15" x14ac:dyDescent="0.35">
      <c r="A311" t="s">
        <v>475</v>
      </c>
      <c r="B311" t="s">
        <v>159</v>
      </c>
      <c r="C311" s="1">
        <v>45490</v>
      </c>
      <c r="D311" t="s">
        <v>63</v>
      </c>
      <c r="E311" t="s">
        <v>33</v>
      </c>
      <c r="F311" t="s">
        <v>38</v>
      </c>
      <c r="G311">
        <v>2</v>
      </c>
      <c r="H311">
        <v>0.15</v>
      </c>
      <c r="I311">
        <v>321.3</v>
      </c>
      <c r="J311">
        <v>96.39</v>
      </c>
      <c r="K311" t="s">
        <v>39</v>
      </c>
      <c r="L311" t="s">
        <v>27</v>
      </c>
      <c r="M311" s="5" t="str">
        <f t="shared" si="8"/>
        <v>Repeat</v>
      </c>
      <c r="N311" s="5" t="str">
        <f>TEXT(C311,"yyyy")</f>
        <v>2024</v>
      </c>
      <c r="O311" s="5" t="str">
        <f t="shared" si="9"/>
        <v>High</v>
      </c>
    </row>
    <row r="312" spans="1:15" x14ac:dyDescent="0.35">
      <c r="A312" t="s">
        <v>476</v>
      </c>
      <c r="B312" t="s">
        <v>227</v>
      </c>
      <c r="C312" s="1">
        <v>45832</v>
      </c>
      <c r="D312" t="s">
        <v>16</v>
      </c>
      <c r="E312" t="s">
        <v>17</v>
      </c>
      <c r="F312" t="s">
        <v>58</v>
      </c>
      <c r="G312">
        <v>4</v>
      </c>
      <c r="H312">
        <v>0.15</v>
      </c>
      <c r="I312">
        <v>1312.4</v>
      </c>
      <c r="J312">
        <v>262.48</v>
      </c>
      <c r="K312" t="s">
        <v>19</v>
      </c>
      <c r="L312" t="s">
        <v>27</v>
      </c>
      <c r="M312" s="5" t="str">
        <f t="shared" si="8"/>
        <v>Repeat</v>
      </c>
      <c r="N312" s="5" t="str">
        <f>TEXT(C312,"yyyy")</f>
        <v>2025</v>
      </c>
      <c r="O312" s="5" t="str">
        <f t="shared" si="9"/>
        <v>High</v>
      </c>
    </row>
    <row r="313" spans="1:15" x14ac:dyDescent="0.35">
      <c r="A313" t="s">
        <v>477</v>
      </c>
      <c r="B313" t="s">
        <v>202</v>
      </c>
      <c r="C313" s="1">
        <v>46020</v>
      </c>
      <c r="D313" t="s">
        <v>23</v>
      </c>
      <c r="E313" t="s">
        <v>24</v>
      </c>
      <c r="F313" t="s">
        <v>49</v>
      </c>
      <c r="G313">
        <v>1</v>
      </c>
      <c r="H313">
        <v>0</v>
      </c>
      <c r="I313">
        <v>148</v>
      </c>
      <c r="J313">
        <v>29.6</v>
      </c>
      <c r="K313" t="s">
        <v>19</v>
      </c>
      <c r="L313" t="s">
        <v>20</v>
      </c>
      <c r="M313" s="5" t="str">
        <f t="shared" si="8"/>
        <v>Repeat</v>
      </c>
      <c r="N313" s="5" t="str">
        <f>TEXT(C313,"yyyy")</f>
        <v>2025</v>
      </c>
      <c r="O313" s="5" t="str">
        <f t="shared" si="9"/>
        <v>Least or No</v>
      </c>
    </row>
    <row r="314" spans="1:15" x14ac:dyDescent="0.35">
      <c r="A314" t="s">
        <v>478</v>
      </c>
      <c r="B314" t="s">
        <v>174</v>
      </c>
      <c r="C314" s="1">
        <v>45292</v>
      </c>
      <c r="D314" t="s">
        <v>37</v>
      </c>
      <c r="E314" t="s">
        <v>33</v>
      </c>
      <c r="F314" t="s">
        <v>38</v>
      </c>
      <c r="G314">
        <v>1</v>
      </c>
      <c r="H314">
        <v>0.05</v>
      </c>
      <c r="I314">
        <v>126.35</v>
      </c>
      <c r="J314">
        <v>31.59</v>
      </c>
      <c r="K314" t="s">
        <v>39</v>
      </c>
      <c r="L314" t="s">
        <v>20</v>
      </c>
      <c r="M314" s="5" t="str">
        <f t="shared" si="8"/>
        <v>Repeat</v>
      </c>
      <c r="N314" s="5" t="str">
        <f>TEXT(C314,"yyyy")</f>
        <v>2024</v>
      </c>
      <c r="O314" s="5" t="str">
        <f t="shared" si="9"/>
        <v>Least or No</v>
      </c>
    </row>
    <row r="315" spans="1:15" x14ac:dyDescent="0.35">
      <c r="A315" t="s">
        <v>479</v>
      </c>
      <c r="B315" t="s">
        <v>122</v>
      </c>
      <c r="C315" s="1">
        <v>44996</v>
      </c>
      <c r="D315" t="s">
        <v>63</v>
      </c>
      <c r="E315" t="s">
        <v>33</v>
      </c>
      <c r="F315" t="s">
        <v>34</v>
      </c>
      <c r="G315">
        <v>1</v>
      </c>
      <c r="H315">
        <v>0</v>
      </c>
      <c r="I315">
        <v>324</v>
      </c>
      <c r="J315">
        <v>64.8</v>
      </c>
      <c r="K315" t="s">
        <v>19</v>
      </c>
      <c r="L315" t="s">
        <v>20</v>
      </c>
      <c r="M315" s="5" t="str">
        <f t="shared" si="8"/>
        <v>Repeat</v>
      </c>
      <c r="N315" s="5" t="str">
        <f>TEXT(C315,"yyyy")</f>
        <v>2023</v>
      </c>
      <c r="O315" s="5" t="str">
        <f t="shared" si="9"/>
        <v>Least or No</v>
      </c>
    </row>
    <row r="316" spans="1:15" x14ac:dyDescent="0.35">
      <c r="A316" t="s">
        <v>480</v>
      </c>
      <c r="B316" t="s">
        <v>313</v>
      </c>
      <c r="C316" s="1">
        <v>45611</v>
      </c>
      <c r="D316" t="s">
        <v>23</v>
      </c>
      <c r="E316" t="s">
        <v>33</v>
      </c>
      <c r="F316" t="s">
        <v>38</v>
      </c>
      <c r="G316">
        <v>3</v>
      </c>
      <c r="H316">
        <v>0.15</v>
      </c>
      <c r="I316">
        <v>1109.25</v>
      </c>
      <c r="J316">
        <v>277.31</v>
      </c>
      <c r="K316" t="s">
        <v>26</v>
      </c>
      <c r="L316" t="s">
        <v>27</v>
      </c>
      <c r="M316" s="5" t="str">
        <f t="shared" si="8"/>
        <v>Repeat</v>
      </c>
      <c r="N316" s="5" t="str">
        <f>TEXT(C316,"yyyy")</f>
        <v>2024</v>
      </c>
      <c r="O316" s="5" t="str">
        <f t="shared" si="9"/>
        <v>High</v>
      </c>
    </row>
    <row r="317" spans="1:15" x14ac:dyDescent="0.35">
      <c r="A317" t="s">
        <v>481</v>
      </c>
      <c r="B317" t="s">
        <v>180</v>
      </c>
      <c r="C317" s="1">
        <v>45518</v>
      </c>
      <c r="D317" t="s">
        <v>63</v>
      </c>
      <c r="E317" t="s">
        <v>33</v>
      </c>
      <c r="F317" t="s">
        <v>66</v>
      </c>
      <c r="G317">
        <v>4</v>
      </c>
      <c r="H317">
        <v>0.15</v>
      </c>
      <c r="I317">
        <v>1037</v>
      </c>
      <c r="J317">
        <v>207.4</v>
      </c>
      <c r="K317" t="s">
        <v>26</v>
      </c>
      <c r="L317" t="s">
        <v>27</v>
      </c>
      <c r="M317" s="5" t="str">
        <f t="shared" si="8"/>
        <v>Repeat</v>
      </c>
      <c r="N317" s="5" t="str">
        <f>TEXT(C317,"yyyy")</f>
        <v>2024</v>
      </c>
      <c r="O317" s="5" t="str">
        <f t="shared" si="9"/>
        <v>High</v>
      </c>
    </row>
    <row r="318" spans="1:15" x14ac:dyDescent="0.35">
      <c r="A318" t="s">
        <v>482</v>
      </c>
      <c r="B318" t="s">
        <v>273</v>
      </c>
      <c r="C318" s="1">
        <v>45031</v>
      </c>
      <c r="D318" t="s">
        <v>16</v>
      </c>
      <c r="E318" t="s">
        <v>17</v>
      </c>
      <c r="F318" t="s">
        <v>58</v>
      </c>
      <c r="G318">
        <v>4</v>
      </c>
      <c r="H318">
        <v>0.15</v>
      </c>
      <c r="I318">
        <v>448.8</v>
      </c>
      <c r="J318">
        <v>134.63999999999999</v>
      </c>
      <c r="K318" t="s">
        <v>26</v>
      </c>
      <c r="L318" t="s">
        <v>20</v>
      </c>
      <c r="M318" s="5" t="str">
        <f t="shared" si="8"/>
        <v>Repeat</v>
      </c>
      <c r="N318" s="5" t="str">
        <f>TEXT(C318,"yyyy")</f>
        <v>2023</v>
      </c>
      <c r="O318" s="5" t="str">
        <f t="shared" si="9"/>
        <v>High</v>
      </c>
    </row>
    <row r="319" spans="1:15" x14ac:dyDescent="0.35">
      <c r="A319" t="s">
        <v>483</v>
      </c>
      <c r="B319" t="s">
        <v>401</v>
      </c>
      <c r="C319" s="1">
        <v>45784</v>
      </c>
      <c r="D319" t="s">
        <v>37</v>
      </c>
      <c r="E319" t="s">
        <v>24</v>
      </c>
      <c r="F319" t="s">
        <v>49</v>
      </c>
      <c r="G319">
        <v>3</v>
      </c>
      <c r="H319">
        <v>0.1</v>
      </c>
      <c r="I319">
        <v>240.3</v>
      </c>
      <c r="J319">
        <v>60.08</v>
      </c>
      <c r="K319" t="s">
        <v>39</v>
      </c>
      <c r="L319" t="s">
        <v>27</v>
      </c>
      <c r="M319" s="5" t="str">
        <f t="shared" si="8"/>
        <v>Repeat</v>
      </c>
      <c r="N319" s="5" t="str">
        <f>TEXT(C319,"yyyy")</f>
        <v>2025</v>
      </c>
      <c r="O319" s="5" t="str">
        <f t="shared" si="9"/>
        <v>Medium</v>
      </c>
    </row>
    <row r="320" spans="1:15" x14ac:dyDescent="0.35">
      <c r="A320" t="s">
        <v>484</v>
      </c>
      <c r="B320" t="s">
        <v>166</v>
      </c>
      <c r="C320" s="1">
        <v>45711</v>
      </c>
      <c r="D320" t="s">
        <v>63</v>
      </c>
      <c r="E320" t="s">
        <v>24</v>
      </c>
      <c r="F320" t="s">
        <v>30</v>
      </c>
      <c r="G320">
        <v>3</v>
      </c>
      <c r="H320">
        <v>0</v>
      </c>
      <c r="I320">
        <v>1011</v>
      </c>
      <c r="J320">
        <v>202.2</v>
      </c>
      <c r="K320" t="s">
        <v>39</v>
      </c>
      <c r="L320" t="s">
        <v>27</v>
      </c>
      <c r="M320" s="5" t="str">
        <f t="shared" si="8"/>
        <v>Repeat</v>
      </c>
      <c r="N320" s="5" t="str">
        <f>TEXT(C320,"yyyy")</f>
        <v>2025</v>
      </c>
      <c r="O320" s="5" t="str">
        <f t="shared" si="9"/>
        <v>Least or No</v>
      </c>
    </row>
    <row r="321" spans="1:15" x14ac:dyDescent="0.35">
      <c r="A321" t="s">
        <v>485</v>
      </c>
      <c r="B321" t="s">
        <v>457</v>
      </c>
      <c r="C321" s="1">
        <v>45902</v>
      </c>
      <c r="D321" t="s">
        <v>63</v>
      </c>
      <c r="E321" t="s">
        <v>24</v>
      </c>
      <c r="F321" t="s">
        <v>49</v>
      </c>
      <c r="G321">
        <v>2</v>
      </c>
      <c r="H321">
        <v>0.1</v>
      </c>
      <c r="I321">
        <v>498.6</v>
      </c>
      <c r="J321">
        <v>124.65</v>
      </c>
      <c r="K321" t="s">
        <v>19</v>
      </c>
      <c r="L321" t="s">
        <v>27</v>
      </c>
      <c r="M321" s="5" t="str">
        <f t="shared" si="8"/>
        <v>Repeat</v>
      </c>
      <c r="N321" s="5" t="str">
        <f>TEXT(C321,"yyyy")</f>
        <v>2025</v>
      </c>
      <c r="O321" s="5" t="str">
        <f t="shared" si="9"/>
        <v>Medium</v>
      </c>
    </row>
    <row r="322" spans="1:15" x14ac:dyDescent="0.35">
      <c r="A322" t="s">
        <v>486</v>
      </c>
      <c r="B322" t="s">
        <v>150</v>
      </c>
      <c r="C322" s="1">
        <v>45092</v>
      </c>
      <c r="D322" t="s">
        <v>23</v>
      </c>
      <c r="E322" t="s">
        <v>24</v>
      </c>
      <c r="F322" t="s">
        <v>49</v>
      </c>
      <c r="G322">
        <v>3</v>
      </c>
      <c r="H322">
        <v>0.15</v>
      </c>
      <c r="I322">
        <v>298.35000000000002</v>
      </c>
      <c r="J322">
        <v>89.5</v>
      </c>
      <c r="K322" t="s">
        <v>26</v>
      </c>
      <c r="L322" t="s">
        <v>20</v>
      </c>
      <c r="M322" s="5" t="str">
        <f t="shared" si="8"/>
        <v>Repeat</v>
      </c>
      <c r="N322" s="5" t="str">
        <f>TEXT(C322,"yyyy")</f>
        <v>2023</v>
      </c>
      <c r="O322" s="5" t="str">
        <f t="shared" si="9"/>
        <v>High</v>
      </c>
    </row>
    <row r="323" spans="1:15" x14ac:dyDescent="0.35">
      <c r="A323" t="s">
        <v>487</v>
      </c>
      <c r="B323" t="s">
        <v>207</v>
      </c>
      <c r="C323" s="1">
        <v>45197</v>
      </c>
      <c r="D323" t="s">
        <v>23</v>
      </c>
      <c r="E323" t="s">
        <v>24</v>
      </c>
      <c r="F323" t="s">
        <v>107</v>
      </c>
      <c r="G323">
        <v>4</v>
      </c>
      <c r="H323">
        <v>0</v>
      </c>
      <c r="I323">
        <v>512</v>
      </c>
      <c r="J323">
        <v>128</v>
      </c>
      <c r="K323" t="s">
        <v>19</v>
      </c>
      <c r="L323" t="s">
        <v>27</v>
      </c>
      <c r="M323" s="5" t="str">
        <f t="shared" ref="M323:M351" si="10">IF(COUNTIF(B:B,B323)&gt;1,"Repeat","New")</f>
        <v>Repeat</v>
      </c>
      <c r="N323" s="5" t="str">
        <f t="shared" ref="N323:N351" si="11">TEXT(C323,"yyyy")</f>
        <v>2023</v>
      </c>
      <c r="O323" s="5" t="str">
        <f t="shared" ref="O323:O351" si="12">IF(H323&gt;=0.15,"High",IF(H323&gt;=0.1,"Medium","Least or No"))</f>
        <v>Least or No</v>
      </c>
    </row>
    <row r="324" spans="1:15" x14ac:dyDescent="0.35">
      <c r="A324" t="s">
        <v>488</v>
      </c>
      <c r="B324" t="s">
        <v>122</v>
      </c>
      <c r="C324" s="1">
        <v>45528</v>
      </c>
      <c r="D324" t="s">
        <v>23</v>
      </c>
      <c r="E324" t="s">
        <v>33</v>
      </c>
      <c r="F324" t="s">
        <v>38</v>
      </c>
      <c r="G324">
        <v>4</v>
      </c>
      <c r="H324">
        <v>0</v>
      </c>
      <c r="I324">
        <v>792</v>
      </c>
      <c r="J324">
        <v>198</v>
      </c>
      <c r="K324" t="s">
        <v>26</v>
      </c>
      <c r="L324" t="s">
        <v>20</v>
      </c>
      <c r="M324" s="5" t="str">
        <f t="shared" si="10"/>
        <v>Repeat</v>
      </c>
      <c r="N324" s="5" t="str">
        <f t="shared" si="11"/>
        <v>2024</v>
      </c>
      <c r="O324" s="5" t="str">
        <f t="shared" si="12"/>
        <v>Least or No</v>
      </c>
    </row>
    <row r="325" spans="1:15" x14ac:dyDescent="0.35">
      <c r="A325" t="s">
        <v>489</v>
      </c>
      <c r="B325" t="s">
        <v>379</v>
      </c>
      <c r="C325" s="1">
        <v>44929</v>
      </c>
      <c r="D325" t="s">
        <v>16</v>
      </c>
      <c r="E325" t="s">
        <v>24</v>
      </c>
      <c r="F325" t="s">
        <v>30</v>
      </c>
      <c r="G325">
        <v>3</v>
      </c>
      <c r="H325">
        <v>0.15</v>
      </c>
      <c r="I325">
        <v>617.1</v>
      </c>
      <c r="J325">
        <v>185.13</v>
      </c>
      <c r="K325" t="s">
        <v>39</v>
      </c>
      <c r="L325" t="s">
        <v>27</v>
      </c>
      <c r="M325" s="5" t="str">
        <f t="shared" si="10"/>
        <v>Repeat</v>
      </c>
      <c r="N325" s="5" t="str">
        <f t="shared" si="11"/>
        <v>2023</v>
      </c>
      <c r="O325" s="5" t="str">
        <f t="shared" si="12"/>
        <v>High</v>
      </c>
    </row>
    <row r="326" spans="1:15" x14ac:dyDescent="0.35">
      <c r="A326" t="s">
        <v>490</v>
      </c>
      <c r="B326" t="s">
        <v>491</v>
      </c>
      <c r="C326" s="1">
        <v>45898</v>
      </c>
      <c r="D326" t="s">
        <v>37</v>
      </c>
      <c r="E326" t="s">
        <v>17</v>
      </c>
      <c r="F326" t="s">
        <v>58</v>
      </c>
      <c r="G326">
        <v>2</v>
      </c>
      <c r="H326">
        <v>0.15</v>
      </c>
      <c r="I326">
        <v>348.5</v>
      </c>
      <c r="J326">
        <v>87.12</v>
      </c>
      <c r="K326" t="s">
        <v>39</v>
      </c>
      <c r="L326" t="s">
        <v>20</v>
      </c>
      <c r="M326" s="5" t="str">
        <f t="shared" si="10"/>
        <v>New</v>
      </c>
      <c r="N326" s="5" t="str">
        <f t="shared" si="11"/>
        <v>2025</v>
      </c>
      <c r="O326" s="5" t="str">
        <f t="shared" si="12"/>
        <v>High</v>
      </c>
    </row>
    <row r="327" spans="1:15" x14ac:dyDescent="0.35">
      <c r="A327" t="s">
        <v>492</v>
      </c>
      <c r="B327" t="s">
        <v>229</v>
      </c>
      <c r="C327" s="1">
        <v>44944</v>
      </c>
      <c r="D327" t="s">
        <v>37</v>
      </c>
      <c r="E327" t="s">
        <v>24</v>
      </c>
      <c r="F327" t="s">
        <v>30</v>
      </c>
      <c r="G327">
        <v>2</v>
      </c>
      <c r="H327">
        <v>0.1</v>
      </c>
      <c r="I327">
        <v>239.4</v>
      </c>
      <c r="J327">
        <v>59.85</v>
      </c>
      <c r="K327" t="s">
        <v>19</v>
      </c>
      <c r="L327" t="s">
        <v>20</v>
      </c>
      <c r="M327" s="5" t="str">
        <f t="shared" si="10"/>
        <v>Repeat</v>
      </c>
      <c r="N327" s="5" t="str">
        <f t="shared" si="11"/>
        <v>2023</v>
      </c>
      <c r="O327" s="5" t="str">
        <f t="shared" si="12"/>
        <v>Medium</v>
      </c>
    </row>
    <row r="328" spans="1:15" x14ac:dyDescent="0.35">
      <c r="A328" t="s">
        <v>493</v>
      </c>
      <c r="B328" t="s">
        <v>45</v>
      </c>
      <c r="C328" s="1">
        <v>45331</v>
      </c>
      <c r="D328" t="s">
        <v>42</v>
      </c>
      <c r="E328" t="s">
        <v>17</v>
      </c>
      <c r="F328" t="s">
        <v>46</v>
      </c>
      <c r="G328">
        <v>3</v>
      </c>
      <c r="H328">
        <v>0.15</v>
      </c>
      <c r="I328">
        <v>724.2</v>
      </c>
      <c r="J328">
        <v>181.05</v>
      </c>
      <c r="K328" t="s">
        <v>19</v>
      </c>
      <c r="L328" t="s">
        <v>20</v>
      </c>
      <c r="M328" s="5" t="str">
        <f t="shared" si="10"/>
        <v>Repeat</v>
      </c>
      <c r="N328" s="5" t="str">
        <f t="shared" si="11"/>
        <v>2024</v>
      </c>
      <c r="O328" s="5" t="str">
        <f t="shared" si="12"/>
        <v>High</v>
      </c>
    </row>
    <row r="329" spans="1:15" x14ac:dyDescent="0.35">
      <c r="A329" t="s">
        <v>494</v>
      </c>
      <c r="B329" t="s">
        <v>202</v>
      </c>
      <c r="C329" s="1">
        <v>45242</v>
      </c>
      <c r="D329" t="s">
        <v>42</v>
      </c>
      <c r="E329" t="s">
        <v>17</v>
      </c>
      <c r="F329" t="s">
        <v>78</v>
      </c>
      <c r="G329">
        <v>1</v>
      </c>
      <c r="H329">
        <v>0.05</v>
      </c>
      <c r="I329">
        <v>338.2</v>
      </c>
      <c r="J329">
        <v>101.46</v>
      </c>
      <c r="K329" t="s">
        <v>19</v>
      </c>
      <c r="L329" t="s">
        <v>20</v>
      </c>
      <c r="M329" s="5" t="str">
        <f t="shared" si="10"/>
        <v>Repeat</v>
      </c>
      <c r="N329" s="5" t="str">
        <f t="shared" si="11"/>
        <v>2023</v>
      </c>
      <c r="O329" s="5" t="str">
        <f t="shared" si="12"/>
        <v>Least or No</v>
      </c>
    </row>
    <row r="330" spans="1:15" x14ac:dyDescent="0.35">
      <c r="A330" t="s">
        <v>495</v>
      </c>
      <c r="B330" t="s">
        <v>57</v>
      </c>
      <c r="C330" s="1">
        <v>45334</v>
      </c>
      <c r="D330" t="s">
        <v>23</v>
      </c>
      <c r="E330" t="s">
        <v>33</v>
      </c>
      <c r="F330" t="s">
        <v>71</v>
      </c>
      <c r="G330">
        <v>1</v>
      </c>
      <c r="H330">
        <v>0.1</v>
      </c>
      <c r="I330">
        <v>184.5</v>
      </c>
      <c r="J330">
        <v>46.12</v>
      </c>
      <c r="K330" t="s">
        <v>19</v>
      </c>
      <c r="L330" t="s">
        <v>20</v>
      </c>
      <c r="M330" s="5" t="str">
        <f t="shared" si="10"/>
        <v>Repeat</v>
      </c>
      <c r="N330" s="5" t="str">
        <f t="shared" si="11"/>
        <v>2024</v>
      </c>
      <c r="O330" s="5" t="str">
        <f t="shared" si="12"/>
        <v>Medium</v>
      </c>
    </row>
    <row r="331" spans="1:15" x14ac:dyDescent="0.35">
      <c r="A331" t="s">
        <v>496</v>
      </c>
      <c r="B331" t="s">
        <v>176</v>
      </c>
      <c r="C331" s="1">
        <v>45593</v>
      </c>
      <c r="D331" t="s">
        <v>37</v>
      </c>
      <c r="E331" t="s">
        <v>33</v>
      </c>
      <c r="F331" t="s">
        <v>43</v>
      </c>
      <c r="G331">
        <v>4</v>
      </c>
      <c r="H331">
        <v>0.05</v>
      </c>
      <c r="I331">
        <v>1611.2</v>
      </c>
      <c r="J331">
        <v>402.8</v>
      </c>
      <c r="K331" t="s">
        <v>19</v>
      </c>
      <c r="L331" t="s">
        <v>20</v>
      </c>
      <c r="M331" s="5" t="str">
        <f t="shared" si="10"/>
        <v>Repeat</v>
      </c>
      <c r="N331" s="5" t="str">
        <f t="shared" si="11"/>
        <v>2024</v>
      </c>
      <c r="O331" s="5" t="str">
        <f t="shared" si="12"/>
        <v>Least or No</v>
      </c>
    </row>
    <row r="332" spans="1:15" x14ac:dyDescent="0.35">
      <c r="A332" t="s">
        <v>497</v>
      </c>
      <c r="B332" t="s">
        <v>254</v>
      </c>
      <c r="C332" s="1">
        <v>45731</v>
      </c>
      <c r="D332" t="s">
        <v>23</v>
      </c>
      <c r="E332" t="s">
        <v>24</v>
      </c>
      <c r="F332" t="s">
        <v>30</v>
      </c>
      <c r="G332">
        <v>1</v>
      </c>
      <c r="H332">
        <v>0.15</v>
      </c>
      <c r="I332">
        <v>167.45</v>
      </c>
      <c r="J332">
        <v>41.86</v>
      </c>
      <c r="K332" t="s">
        <v>39</v>
      </c>
      <c r="L332" t="s">
        <v>27</v>
      </c>
      <c r="M332" s="5" t="str">
        <f t="shared" si="10"/>
        <v>Repeat</v>
      </c>
      <c r="N332" s="5" t="str">
        <f t="shared" si="11"/>
        <v>2025</v>
      </c>
      <c r="O332" s="5" t="str">
        <f t="shared" si="12"/>
        <v>High</v>
      </c>
    </row>
    <row r="333" spans="1:15" x14ac:dyDescent="0.35">
      <c r="A333" t="s">
        <v>498</v>
      </c>
      <c r="B333" t="s">
        <v>174</v>
      </c>
      <c r="C333" s="1">
        <v>45354</v>
      </c>
      <c r="D333" t="s">
        <v>42</v>
      </c>
      <c r="E333" t="s">
        <v>17</v>
      </c>
      <c r="F333" t="s">
        <v>18</v>
      </c>
      <c r="G333">
        <v>2</v>
      </c>
      <c r="H333">
        <v>0.05</v>
      </c>
      <c r="I333">
        <v>207.1</v>
      </c>
      <c r="J333">
        <v>51.77</v>
      </c>
      <c r="K333" t="s">
        <v>26</v>
      </c>
      <c r="L333" t="s">
        <v>20</v>
      </c>
      <c r="M333" s="5" t="str">
        <f t="shared" si="10"/>
        <v>Repeat</v>
      </c>
      <c r="N333" s="5" t="str">
        <f t="shared" si="11"/>
        <v>2024</v>
      </c>
      <c r="O333" s="5" t="str">
        <f t="shared" si="12"/>
        <v>Least or No</v>
      </c>
    </row>
    <row r="334" spans="1:15" x14ac:dyDescent="0.35">
      <c r="A334" t="s">
        <v>499</v>
      </c>
      <c r="B334" t="s">
        <v>500</v>
      </c>
      <c r="C334" s="1">
        <v>45464</v>
      </c>
      <c r="D334" t="s">
        <v>16</v>
      </c>
      <c r="E334" t="s">
        <v>24</v>
      </c>
      <c r="F334" t="s">
        <v>25</v>
      </c>
      <c r="G334">
        <v>4</v>
      </c>
      <c r="H334">
        <v>0</v>
      </c>
      <c r="I334">
        <v>848</v>
      </c>
      <c r="J334">
        <v>254.4</v>
      </c>
      <c r="K334" t="s">
        <v>19</v>
      </c>
      <c r="L334" t="s">
        <v>20</v>
      </c>
      <c r="M334" s="5" t="str">
        <f t="shared" si="10"/>
        <v>New</v>
      </c>
      <c r="N334" s="5" t="str">
        <f t="shared" si="11"/>
        <v>2024</v>
      </c>
      <c r="O334" s="5" t="str">
        <f t="shared" si="12"/>
        <v>Least or No</v>
      </c>
    </row>
    <row r="335" spans="1:15" x14ac:dyDescent="0.35">
      <c r="A335" t="s">
        <v>501</v>
      </c>
      <c r="B335" t="s">
        <v>374</v>
      </c>
      <c r="C335" s="1">
        <v>45270</v>
      </c>
      <c r="D335" t="s">
        <v>37</v>
      </c>
      <c r="E335" t="s">
        <v>24</v>
      </c>
      <c r="F335" t="s">
        <v>107</v>
      </c>
      <c r="G335">
        <v>1</v>
      </c>
      <c r="H335">
        <v>0.1</v>
      </c>
      <c r="I335">
        <v>319.5</v>
      </c>
      <c r="J335">
        <v>79.88</v>
      </c>
      <c r="K335" t="s">
        <v>39</v>
      </c>
      <c r="L335" t="s">
        <v>20</v>
      </c>
      <c r="M335" s="5" t="str">
        <f t="shared" si="10"/>
        <v>Repeat</v>
      </c>
      <c r="N335" s="5" t="str">
        <f t="shared" si="11"/>
        <v>2023</v>
      </c>
      <c r="O335" s="5" t="str">
        <f t="shared" si="12"/>
        <v>Medium</v>
      </c>
    </row>
    <row r="336" spans="1:15" x14ac:dyDescent="0.35">
      <c r="A336" t="s">
        <v>502</v>
      </c>
      <c r="B336" t="s">
        <v>232</v>
      </c>
      <c r="C336" s="1">
        <v>45375</v>
      </c>
      <c r="D336" t="s">
        <v>37</v>
      </c>
      <c r="E336" t="s">
        <v>33</v>
      </c>
      <c r="F336" t="s">
        <v>43</v>
      </c>
      <c r="G336">
        <v>2</v>
      </c>
      <c r="H336">
        <v>0</v>
      </c>
      <c r="I336">
        <v>306</v>
      </c>
      <c r="J336">
        <v>76.5</v>
      </c>
      <c r="K336" t="s">
        <v>19</v>
      </c>
      <c r="L336" t="s">
        <v>20</v>
      </c>
      <c r="M336" s="5" t="str">
        <f t="shared" si="10"/>
        <v>Repeat</v>
      </c>
      <c r="N336" s="5" t="str">
        <f t="shared" si="11"/>
        <v>2024</v>
      </c>
      <c r="O336" s="5" t="str">
        <f t="shared" si="12"/>
        <v>Least or No</v>
      </c>
    </row>
    <row r="337" spans="1:15" x14ac:dyDescent="0.35">
      <c r="A337" t="s">
        <v>503</v>
      </c>
      <c r="B337" t="s">
        <v>250</v>
      </c>
      <c r="C337" s="1">
        <v>45470</v>
      </c>
      <c r="D337" t="s">
        <v>42</v>
      </c>
      <c r="E337" t="s">
        <v>17</v>
      </c>
      <c r="F337" t="s">
        <v>58</v>
      </c>
      <c r="G337">
        <v>2</v>
      </c>
      <c r="H337">
        <v>0.05</v>
      </c>
      <c r="I337">
        <v>239.4</v>
      </c>
      <c r="J337">
        <v>71.819999999999993</v>
      </c>
      <c r="K337" t="s">
        <v>26</v>
      </c>
      <c r="L337" t="s">
        <v>20</v>
      </c>
      <c r="M337" s="5" t="str">
        <f t="shared" si="10"/>
        <v>Repeat</v>
      </c>
      <c r="N337" s="5" t="str">
        <f t="shared" si="11"/>
        <v>2024</v>
      </c>
      <c r="O337" s="5" t="str">
        <f t="shared" si="12"/>
        <v>Least or No</v>
      </c>
    </row>
    <row r="338" spans="1:15" x14ac:dyDescent="0.35">
      <c r="A338" t="s">
        <v>504</v>
      </c>
      <c r="B338" t="s">
        <v>180</v>
      </c>
      <c r="C338" s="1">
        <v>45711</v>
      </c>
      <c r="D338" t="s">
        <v>63</v>
      </c>
      <c r="E338" t="s">
        <v>24</v>
      </c>
      <c r="F338" t="s">
        <v>107</v>
      </c>
      <c r="G338">
        <v>2</v>
      </c>
      <c r="H338">
        <v>0.1</v>
      </c>
      <c r="I338">
        <v>307.8</v>
      </c>
      <c r="J338">
        <v>92.34</v>
      </c>
      <c r="K338" t="s">
        <v>39</v>
      </c>
      <c r="L338" t="s">
        <v>20</v>
      </c>
      <c r="M338" s="5" t="str">
        <f t="shared" si="10"/>
        <v>Repeat</v>
      </c>
      <c r="N338" s="5" t="str">
        <f t="shared" si="11"/>
        <v>2025</v>
      </c>
      <c r="O338" s="5" t="str">
        <f t="shared" si="12"/>
        <v>Medium</v>
      </c>
    </row>
    <row r="339" spans="1:15" x14ac:dyDescent="0.35">
      <c r="A339" t="s">
        <v>505</v>
      </c>
      <c r="B339" t="s">
        <v>75</v>
      </c>
      <c r="C339" s="1">
        <v>45856</v>
      </c>
      <c r="D339" t="s">
        <v>63</v>
      </c>
      <c r="E339" t="s">
        <v>33</v>
      </c>
      <c r="F339" t="s">
        <v>71</v>
      </c>
      <c r="G339">
        <v>3</v>
      </c>
      <c r="H339">
        <v>0.1</v>
      </c>
      <c r="I339">
        <v>243</v>
      </c>
      <c r="J339">
        <v>72.900000000000006</v>
      </c>
      <c r="K339" t="s">
        <v>19</v>
      </c>
      <c r="L339" t="s">
        <v>20</v>
      </c>
      <c r="M339" s="5" t="str">
        <f t="shared" si="10"/>
        <v>Repeat</v>
      </c>
      <c r="N339" s="5" t="str">
        <f t="shared" si="11"/>
        <v>2025</v>
      </c>
      <c r="O339" s="5" t="str">
        <f t="shared" si="12"/>
        <v>Medium</v>
      </c>
    </row>
    <row r="340" spans="1:15" x14ac:dyDescent="0.35">
      <c r="A340" t="s">
        <v>506</v>
      </c>
      <c r="B340" t="s">
        <v>65</v>
      </c>
      <c r="C340" s="1">
        <v>44978</v>
      </c>
      <c r="D340" t="s">
        <v>23</v>
      </c>
      <c r="E340" t="s">
        <v>24</v>
      </c>
      <c r="F340" t="s">
        <v>25</v>
      </c>
      <c r="G340">
        <v>3</v>
      </c>
      <c r="H340">
        <v>0.05</v>
      </c>
      <c r="I340">
        <v>815.1</v>
      </c>
      <c r="J340">
        <v>203.77</v>
      </c>
      <c r="K340" t="s">
        <v>19</v>
      </c>
      <c r="L340" t="s">
        <v>20</v>
      </c>
      <c r="M340" s="5" t="str">
        <f t="shared" si="10"/>
        <v>Repeat</v>
      </c>
      <c r="N340" s="5" t="str">
        <f t="shared" si="11"/>
        <v>2023</v>
      </c>
      <c r="O340" s="5" t="str">
        <f t="shared" si="12"/>
        <v>Least or No</v>
      </c>
    </row>
    <row r="341" spans="1:15" x14ac:dyDescent="0.35">
      <c r="A341" t="s">
        <v>507</v>
      </c>
      <c r="B341" t="s">
        <v>144</v>
      </c>
      <c r="C341" s="1">
        <v>45574</v>
      </c>
      <c r="D341" t="s">
        <v>16</v>
      </c>
      <c r="E341" t="s">
        <v>33</v>
      </c>
      <c r="F341" t="s">
        <v>66</v>
      </c>
      <c r="G341">
        <v>1</v>
      </c>
      <c r="H341">
        <v>0.15</v>
      </c>
      <c r="I341">
        <v>286.45</v>
      </c>
      <c r="J341">
        <v>71.61</v>
      </c>
      <c r="K341" t="s">
        <v>19</v>
      </c>
      <c r="L341" t="s">
        <v>20</v>
      </c>
      <c r="M341" s="5" t="str">
        <f t="shared" si="10"/>
        <v>Repeat</v>
      </c>
      <c r="N341" s="5" t="str">
        <f t="shared" si="11"/>
        <v>2024</v>
      </c>
      <c r="O341" s="5" t="str">
        <f t="shared" si="12"/>
        <v>High</v>
      </c>
    </row>
    <row r="342" spans="1:15" x14ac:dyDescent="0.35">
      <c r="A342" t="s">
        <v>508</v>
      </c>
      <c r="B342" t="s">
        <v>229</v>
      </c>
      <c r="C342" s="1">
        <v>45252</v>
      </c>
      <c r="D342" t="s">
        <v>23</v>
      </c>
      <c r="E342" t="s">
        <v>17</v>
      </c>
      <c r="F342" t="s">
        <v>58</v>
      </c>
      <c r="G342">
        <v>4</v>
      </c>
      <c r="H342">
        <v>0.1</v>
      </c>
      <c r="I342">
        <v>831.6</v>
      </c>
      <c r="J342">
        <v>166.32</v>
      </c>
      <c r="K342" t="s">
        <v>19</v>
      </c>
      <c r="L342" t="s">
        <v>20</v>
      </c>
      <c r="M342" s="5" t="str">
        <f t="shared" si="10"/>
        <v>Repeat</v>
      </c>
      <c r="N342" s="5" t="str">
        <f t="shared" si="11"/>
        <v>2023</v>
      </c>
      <c r="O342" s="5" t="str">
        <f t="shared" si="12"/>
        <v>Medium</v>
      </c>
    </row>
    <row r="343" spans="1:15" x14ac:dyDescent="0.35">
      <c r="A343" t="s">
        <v>509</v>
      </c>
      <c r="B343" t="s">
        <v>86</v>
      </c>
      <c r="C343" s="1">
        <v>45436</v>
      </c>
      <c r="D343" t="s">
        <v>42</v>
      </c>
      <c r="E343" t="s">
        <v>17</v>
      </c>
      <c r="F343" t="s">
        <v>46</v>
      </c>
      <c r="G343">
        <v>3</v>
      </c>
      <c r="H343">
        <v>0</v>
      </c>
      <c r="I343">
        <v>402</v>
      </c>
      <c r="J343">
        <v>120.6</v>
      </c>
      <c r="K343" t="s">
        <v>39</v>
      </c>
      <c r="L343" t="s">
        <v>20</v>
      </c>
      <c r="M343" s="5" t="str">
        <f t="shared" si="10"/>
        <v>Repeat</v>
      </c>
      <c r="N343" s="5" t="str">
        <f t="shared" si="11"/>
        <v>2024</v>
      </c>
      <c r="O343" s="5" t="str">
        <f t="shared" si="12"/>
        <v>Least or No</v>
      </c>
    </row>
    <row r="344" spans="1:15" x14ac:dyDescent="0.35">
      <c r="A344" t="s">
        <v>510</v>
      </c>
      <c r="B344" t="s">
        <v>70</v>
      </c>
      <c r="C344" s="1">
        <v>45519</v>
      </c>
      <c r="D344" t="s">
        <v>37</v>
      </c>
      <c r="E344" t="s">
        <v>33</v>
      </c>
      <c r="F344" t="s">
        <v>66</v>
      </c>
      <c r="G344">
        <v>2</v>
      </c>
      <c r="H344">
        <v>0.15</v>
      </c>
      <c r="I344">
        <v>273.7</v>
      </c>
      <c r="J344">
        <v>68.42</v>
      </c>
      <c r="K344" t="s">
        <v>39</v>
      </c>
      <c r="L344" t="s">
        <v>27</v>
      </c>
      <c r="M344" s="5" t="str">
        <f t="shared" si="10"/>
        <v>Repeat</v>
      </c>
      <c r="N344" s="5" t="str">
        <f t="shared" si="11"/>
        <v>2024</v>
      </c>
      <c r="O344" s="5" t="str">
        <f t="shared" si="12"/>
        <v>High</v>
      </c>
    </row>
    <row r="345" spans="1:15" x14ac:dyDescent="0.35">
      <c r="A345" t="s">
        <v>511</v>
      </c>
      <c r="B345" t="s">
        <v>389</v>
      </c>
      <c r="C345" s="1">
        <v>45459</v>
      </c>
      <c r="D345" t="s">
        <v>63</v>
      </c>
      <c r="E345" t="s">
        <v>33</v>
      </c>
      <c r="F345" t="s">
        <v>34</v>
      </c>
      <c r="G345">
        <v>1</v>
      </c>
      <c r="H345">
        <v>0.1</v>
      </c>
      <c r="I345">
        <v>399.6</v>
      </c>
      <c r="J345">
        <v>119.88</v>
      </c>
      <c r="K345" t="s">
        <v>39</v>
      </c>
      <c r="L345" t="s">
        <v>27</v>
      </c>
      <c r="M345" s="5" t="str">
        <f t="shared" si="10"/>
        <v>Repeat</v>
      </c>
      <c r="N345" s="5" t="str">
        <f t="shared" si="11"/>
        <v>2024</v>
      </c>
      <c r="O345" s="5" t="str">
        <f t="shared" si="12"/>
        <v>Medium</v>
      </c>
    </row>
    <row r="346" spans="1:15" x14ac:dyDescent="0.35">
      <c r="A346" t="s">
        <v>512</v>
      </c>
      <c r="B346" t="s">
        <v>183</v>
      </c>
      <c r="C346" s="1">
        <v>44971</v>
      </c>
      <c r="D346" t="s">
        <v>23</v>
      </c>
      <c r="E346" t="s">
        <v>33</v>
      </c>
      <c r="F346" t="s">
        <v>34</v>
      </c>
      <c r="G346">
        <v>3</v>
      </c>
      <c r="H346">
        <v>0.15</v>
      </c>
      <c r="I346">
        <v>655.35</v>
      </c>
      <c r="J346">
        <v>196.6</v>
      </c>
      <c r="K346" t="s">
        <v>39</v>
      </c>
      <c r="L346" t="s">
        <v>20</v>
      </c>
      <c r="M346" s="5" t="str">
        <f t="shared" si="10"/>
        <v>Repeat</v>
      </c>
      <c r="N346" s="5" t="str">
        <f t="shared" si="11"/>
        <v>2023</v>
      </c>
      <c r="O346" s="5" t="str">
        <f t="shared" si="12"/>
        <v>High</v>
      </c>
    </row>
    <row r="347" spans="1:15" x14ac:dyDescent="0.35">
      <c r="A347" t="s">
        <v>513</v>
      </c>
      <c r="B347" t="s">
        <v>238</v>
      </c>
      <c r="C347" s="1">
        <v>45555</v>
      </c>
      <c r="D347" t="s">
        <v>16</v>
      </c>
      <c r="E347" t="s">
        <v>24</v>
      </c>
      <c r="F347" t="s">
        <v>107</v>
      </c>
      <c r="G347">
        <v>1</v>
      </c>
      <c r="H347">
        <v>0.1</v>
      </c>
      <c r="I347">
        <v>258.3</v>
      </c>
      <c r="J347">
        <v>51.66</v>
      </c>
      <c r="K347" t="s">
        <v>26</v>
      </c>
      <c r="L347" t="s">
        <v>27</v>
      </c>
      <c r="M347" s="5" t="str">
        <f t="shared" si="10"/>
        <v>Repeat</v>
      </c>
      <c r="N347" s="5" t="str">
        <f t="shared" si="11"/>
        <v>2024</v>
      </c>
      <c r="O347" s="5" t="str">
        <f t="shared" si="12"/>
        <v>Medium</v>
      </c>
    </row>
    <row r="348" spans="1:15" x14ac:dyDescent="0.35">
      <c r="A348" t="s">
        <v>514</v>
      </c>
      <c r="B348" t="s">
        <v>260</v>
      </c>
      <c r="C348" s="1">
        <v>45983</v>
      </c>
      <c r="D348" t="s">
        <v>42</v>
      </c>
      <c r="E348" t="s">
        <v>33</v>
      </c>
      <c r="F348" t="s">
        <v>34</v>
      </c>
      <c r="G348">
        <v>2</v>
      </c>
      <c r="H348">
        <v>0</v>
      </c>
      <c r="I348">
        <v>666</v>
      </c>
      <c r="J348">
        <v>166.5</v>
      </c>
      <c r="K348" t="s">
        <v>19</v>
      </c>
      <c r="L348" t="s">
        <v>20</v>
      </c>
      <c r="M348" s="5" t="str">
        <f t="shared" si="10"/>
        <v>Repeat</v>
      </c>
      <c r="N348" s="5" t="str">
        <f t="shared" si="11"/>
        <v>2025</v>
      </c>
      <c r="O348" s="5" t="str">
        <f t="shared" si="12"/>
        <v>Least or No</v>
      </c>
    </row>
    <row r="349" spans="1:15" x14ac:dyDescent="0.35">
      <c r="A349" t="s">
        <v>515</v>
      </c>
      <c r="B349" t="s">
        <v>189</v>
      </c>
      <c r="C349" s="1">
        <v>45295</v>
      </c>
      <c r="D349" t="s">
        <v>16</v>
      </c>
      <c r="E349" t="s">
        <v>24</v>
      </c>
      <c r="F349" t="s">
        <v>49</v>
      </c>
      <c r="G349">
        <v>2</v>
      </c>
      <c r="H349">
        <v>0</v>
      </c>
      <c r="I349">
        <v>568</v>
      </c>
      <c r="J349">
        <v>142</v>
      </c>
      <c r="K349" t="s">
        <v>26</v>
      </c>
      <c r="L349" t="s">
        <v>27</v>
      </c>
      <c r="M349" s="5" t="str">
        <f t="shared" si="10"/>
        <v>Repeat</v>
      </c>
      <c r="N349" s="5" t="str">
        <f t="shared" si="11"/>
        <v>2024</v>
      </c>
      <c r="O349" s="5" t="str">
        <f t="shared" si="12"/>
        <v>Least or No</v>
      </c>
    </row>
    <row r="350" spans="1:15" x14ac:dyDescent="0.35">
      <c r="A350" t="s">
        <v>516</v>
      </c>
      <c r="B350" t="s">
        <v>29</v>
      </c>
      <c r="C350" s="1">
        <v>45891</v>
      </c>
      <c r="D350" t="s">
        <v>23</v>
      </c>
      <c r="E350" t="s">
        <v>24</v>
      </c>
      <c r="F350" t="s">
        <v>30</v>
      </c>
      <c r="G350">
        <v>3</v>
      </c>
      <c r="H350">
        <v>0</v>
      </c>
      <c r="I350">
        <v>1002</v>
      </c>
      <c r="J350">
        <v>300.60000000000002</v>
      </c>
      <c r="K350" t="s">
        <v>39</v>
      </c>
      <c r="L350" t="s">
        <v>20</v>
      </c>
      <c r="M350" s="5" t="str">
        <f t="shared" si="10"/>
        <v>Repeat</v>
      </c>
      <c r="N350" s="5" t="str">
        <f t="shared" si="11"/>
        <v>2025</v>
      </c>
      <c r="O350" s="5" t="str">
        <f t="shared" si="12"/>
        <v>Least or No</v>
      </c>
    </row>
    <row r="351" spans="1:15" x14ac:dyDescent="0.35">
      <c r="A351" t="s">
        <v>517</v>
      </c>
      <c r="B351" t="s">
        <v>360</v>
      </c>
      <c r="C351" s="1">
        <v>45761</v>
      </c>
      <c r="D351" t="s">
        <v>63</v>
      </c>
      <c r="E351" t="s">
        <v>33</v>
      </c>
      <c r="F351" t="s">
        <v>66</v>
      </c>
      <c r="G351">
        <v>2</v>
      </c>
      <c r="H351">
        <v>0.05</v>
      </c>
      <c r="I351">
        <v>283.10000000000002</v>
      </c>
      <c r="J351">
        <v>56.62</v>
      </c>
      <c r="K351" t="s">
        <v>39</v>
      </c>
      <c r="L351" t="s">
        <v>27</v>
      </c>
      <c r="M351" s="5" t="str">
        <f t="shared" si="10"/>
        <v>Repeat</v>
      </c>
      <c r="N351" s="5" t="str">
        <f t="shared" si="11"/>
        <v>2025</v>
      </c>
      <c r="O351" s="5" t="str">
        <f t="shared" si="12"/>
        <v>Least or No</v>
      </c>
    </row>
  </sheetData>
  <mergeCells count="13">
    <mergeCell ref="Q11:R11"/>
    <mergeCell ref="T16:V16"/>
    <mergeCell ref="T17:V19"/>
    <mergeCell ref="T21:V21"/>
    <mergeCell ref="T22:V24"/>
    <mergeCell ref="T26:V26"/>
    <mergeCell ref="T27:V29"/>
    <mergeCell ref="T1:V1"/>
    <mergeCell ref="T2:V4"/>
    <mergeCell ref="T6:V6"/>
    <mergeCell ref="T7:V9"/>
    <mergeCell ref="T11:V11"/>
    <mergeCell ref="T12:V14"/>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3D57-EB7D-4002-8ABF-424055BFD47E}">
  <dimension ref="A1:X351"/>
  <sheetViews>
    <sheetView topLeftCell="J140" workbookViewId="0">
      <selection activeCell="T150" sqref="T150"/>
    </sheetView>
  </sheetViews>
  <sheetFormatPr defaultRowHeight="14.5" x14ac:dyDescent="0.35"/>
  <cols>
    <col min="1" max="1" width="7" bestFit="1" customWidth="1"/>
    <col min="2" max="2" width="11.7265625" bestFit="1" customWidth="1"/>
    <col min="3" max="3" width="10.6328125" bestFit="1" customWidth="1"/>
    <col min="4" max="4" width="11" bestFit="1" customWidth="1"/>
    <col min="5" max="5" width="13.08984375" bestFit="1" customWidth="1"/>
    <col min="6" max="6" width="10.54296875" bestFit="1" customWidth="1"/>
    <col min="7" max="7" width="8" bestFit="1" customWidth="1"/>
    <col min="8" max="8" width="9.26953125" bestFit="1" customWidth="1"/>
    <col min="9" max="9" width="8.08984375" bestFit="1" customWidth="1"/>
    <col min="10" max="10" width="10.1796875" bestFit="1" customWidth="1"/>
    <col min="11" max="11" width="6.81640625" bestFit="1" customWidth="1"/>
    <col min="12" max="12" width="14.08984375" bestFit="1" customWidth="1"/>
    <col min="13" max="13" width="10.7265625" bestFit="1" customWidth="1"/>
    <col min="14" max="16" width="15" customWidth="1"/>
    <col min="19" max="19" width="14.453125" customWidth="1"/>
  </cols>
  <sheetData>
    <row r="1" spans="1:24" x14ac:dyDescent="0.35">
      <c r="A1" t="s">
        <v>0</v>
      </c>
      <c r="B1" t="s">
        <v>1</v>
      </c>
      <c r="C1" s="1" t="s">
        <v>2</v>
      </c>
      <c r="D1" t="s">
        <v>4</v>
      </c>
      <c r="E1" t="s">
        <v>5</v>
      </c>
      <c r="F1" t="s">
        <v>6</v>
      </c>
      <c r="G1" t="s">
        <v>7</v>
      </c>
      <c r="H1" t="s">
        <v>8</v>
      </c>
      <c r="I1" t="s">
        <v>9</v>
      </c>
      <c r="J1" t="s">
        <v>10</v>
      </c>
      <c r="K1" t="s">
        <v>11</v>
      </c>
      <c r="L1" t="s">
        <v>12</v>
      </c>
      <c r="M1" t="s">
        <v>13</v>
      </c>
      <c r="O1" s="5" t="s">
        <v>563</v>
      </c>
      <c r="P1" s="5" t="s">
        <v>562</v>
      </c>
      <c r="Q1" s="5" t="s">
        <v>551</v>
      </c>
      <c r="S1" s="5" t="s">
        <v>552</v>
      </c>
      <c r="T1" s="5" t="s">
        <v>551</v>
      </c>
      <c r="V1" s="15" t="s">
        <v>553</v>
      </c>
      <c r="W1" s="15"/>
      <c r="X1" s="15"/>
    </row>
    <row r="2" spans="1:24" x14ac:dyDescent="0.35">
      <c r="A2" t="s">
        <v>14</v>
      </c>
      <c r="B2" t="s">
        <v>519</v>
      </c>
      <c r="C2" s="1">
        <v>45422</v>
      </c>
      <c r="D2" t="s">
        <v>16</v>
      </c>
      <c r="E2" t="s">
        <v>17</v>
      </c>
      <c r="F2" t="s">
        <v>18</v>
      </c>
      <c r="G2">
        <v>2</v>
      </c>
      <c r="H2">
        <v>272</v>
      </c>
      <c r="I2">
        <v>0</v>
      </c>
      <c r="J2">
        <v>544</v>
      </c>
      <c r="K2">
        <v>108.8</v>
      </c>
      <c r="L2" t="s">
        <v>19</v>
      </c>
      <c r="M2" t="s">
        <v>20</v>
      </c>
      <c r="O2" s="5" t="str" cm="1">
        <f t="array" ref="O2:O143">_xlfn.UNIQUE(B2:B351)</f>
        <v>C400</v>
      </c>
      <c r="P2" s="5">
        <f>COUNTIF($B$2:$B$351,O2)</f>
        <v>2</v>
      </c>
      <c r="Q2" s="5">
        <f>SUMIF($B$2:$B$351,O2,$J$2:$J$351)</f>
        <v>838.3</v>
      </c>
      <c r="S2" s="5" t="s">
        <v>521</v>
      </c>
      <c r="T2" s="5">
        <f>VLOOKUP($S$2,$B$2:$J$351,9,FALSE)</f>
        <v>658.35</v>
      </c>
      <c r="V2" s="16" t="s">
        <v>561</v>
      </c>
      <c r="W2" s="16"/>
      <c r="X2" s="16"/>
    </row>
    <row r="3" spans="1:24" x14ac:dyDescent="0.35">
      <c r="A3" t="s">
        <v>21</v>
      </c>
      <c r="B3" t="s">
        <v>520</v>
      </c>
      <c r="C3" s="1">
        <v>45579</v>
      </c>
      <c r="D3" t="s">
        <v>23</v>
      </c>
      <c r="E3" t="s">
        <v>24</v>
      </c>
      <c r="F3" t="s">
        <v>25</v>
      </c>
      <c r="G3">
        <v>2</v>
      </c>
      <c r="H3">
        <v>270</v>
      </c>
      <c r="I3">
        <v>0</v>
      </c>
      <c r="J3">
        <v>540</v>
      </c>
      <c r="K3">
        <v>162</v>
      </c>
      <c r="L3" t="s">
        <v>26</v>
      </c>
      <c r="M3" t="s">
        <v>27</v>
      </c>
      <c r="O3" s="5" t="str">
        <v>C177</v>
      </c>
      <c r="P3" s="5">
        <f t="shared" ref="P3:P66" si="0">COUNTIF($B$2:$B$351,O3)</f>
        <v>1</v>
      </c>
      <c r="Q3" s="5">
        <f t="shared" ref="Q3:Q66" si="1">SUMIF($B$2:$B$351,O3,$J$2:$J$351)</f>
        <v>540</v>
      </c>
      <c r="V3" s="16"/>
      <c r="W3" s="16"/>
      <c r="X3" s="16"/>
    </row>
    <row r="4" spans="1:24" x14ac:dyDescent="0.35">
      <c r="A4" t="s">
        <v>28</v>
      </c>
      <c r="B4" t="s">
        <v>29</v>
      </c>
      <c r="C4" s="1">
        <v>45986</v>
      </c>
      <c r="D4" t="s">
        <v>23</v>
      </c>
      <c r="E4" t="s">
        <v>24</v>
      </c>
      <c r="F4" t="s">
        <v>30</v>
      </c>
      <c r="G4">
        <v>1</v>
      </c>
      <c r="H4">
        <v>226</v>
      </c>
      <c r="I4">
        <v>0.15</v>
      </c>
      <c r="J4">
        <v>192.1</v>
      </c>
      <c r="K4">
        <v>57.63</v>
      </c>
      <c r="L4" t="s">
        <v>19</v>
      </c>
      <c r="M4" t="s">
        <v>27</v>
      </c>
      <c r="O4" s="5" t="str">
        <v>C607</v>
      </c>
      <c r="P4" s="5">
        <f t="shared" si="0"/>
        <v>4</v>
      </c>
      <c r="Q4" s="5">
        <f t="shared" si="1"/>
        <v>2217.85</v>
      </c>
      <c r="V4" s="16"/>
      <c r="W4" s="16"/>
      <c r="X4" s="16"/>
    </row>
    <row r="5" spans="1:24" x14ac:dyDescent="0.35">
      <c r="A5" t="s">
        <v>31</v>
      </c>
      <c r="B5" t="s">
        <v>32</v>
      </c>
      <c r="C5" s="1">
        <v>45269</v>
      </c>
      <c r="D5" t="s">
        <v>16</v>
      </c>
      <c r="E5" t="s">
        <v>33</v>
      </c>
      <c r="F5" t="s">
        <v>34</v>
      </c>
      <c r="G5">
        <v>2</v>
      </c>
      <c r="H5">
        <v>349</v>
      </c>
      <c r="I5">
        <v>0.1</v>
      </c>
      <c r="J5">
        <v>628.20000000000005</v>
      </c>
      <c r="K5">
        <v>157.05000000000001</v>
      </c>
      <c r="L5" t="s">
        <v>19</v>
      </c>
      <c r="M5" t="s">
        <v>20</v>
      </c>
      <c r="O5" s="5" t="str">
        <v>C672</v>
      </c>
      <c r="P5" s="5">
        <f t="shared" si="0"/>
        <v>4</v>
      </c>
      <c r="Q5" s="5">
        <f t="shared" si="1"/>
        <v>2656</v>
      </c>
      <c r="S5" s="17" t="s">
        <v>564</v>
      </c>
      <c r="T5" s="17"/>
    </row>
    <row r="6" spans="1:24" x14ac:dyDescent="0.35">
      <c r="A6" t="s">
        <v>35</v>
      </c>
      <c r="B6" t="s">
        <v>521</v>
      </c>
      <c r="C6" s="1">
        <v>44953</v>
      </c>
      <c r="D6" t="s">
        <v>37</v>
      </c>
      <c r="E6" t="s">
        <v>33</v>
      </c>
      <c r="F6" t="s">
        <v>38</v>
      </c>
      <c r="G6">
        <v>3</v>
      </c>
      <c r="H6">
        <v>231</v>
      </c>
      <c r="I6">
        <v>0.05</v>
      </c>
      <c r="J6">
        <v>658.35</v>
      </c>
      <c r="K6">
        <v>164.59</v>
      </c>
      <c r="L6" t="s">
        <v>39</v>
      </c>
      <c r="M6" t="s">
        <v>20</v>
      </c>
      <c r="O6" s="5" t="str">
        <v>C201</v>
      </c>
      <c r="P6" s="5">
        <f t="shared" si="0"/>
        <v>1</v>
      </c>
      <c r="Q6" s="5">
        <f t="shared" si="1"/>
        <v>658.35</v>
      </c>
      <c r="S6" s="14" t="str" cm="1">
        <f t="array" ref="S6:S14">_xlfn._xlws.FILTER(O2:O100,(P2:P100&gt;5)*(Q2:Q100&gt;2000))</f>
        <v>C204</v>
      </c>
      <c r="T6" s="14"/>
      <c r="V6" s="15" t="s">
        <v>553</v>
      </c>
      <c r="W6" s="15"/>
      <c r="X6" s="15"/>
    </row>
    <row r="7" spans="1:24" x14ac:dyDescent="0.35">
      <c r="A7" t="s">
        <v>40</v>
      </c>
      <c r="B7" t="s">
        <v>522</v>
      </c>
      <c r="C7" s="1">
        <v>45210</v>
      </c>
      <c r="D7" t="s">
        <v>23</v>
      </c>
      <c r="E7" t="s">
        <v>33</v>
      </c>
      <c r="F7" t="s">
        <v>38</v>
      </c>
      <c r="G7">
        <v>1</v>
      </c>
      <c r="H7">
        <v>292</v>
      </c>
      <c r="I7">
        <v>0.1</v>
      </c>
      <c r="J7">
        <v>262.8</v>
      </c>
      <c r="K7">
        <v>52.56</v>
      </c>
      <c r="L7" t="s">
        <v>26</v>
      </c>
      <c r="M7" t="s">
        <v>27</v>
      </c>
      <c r="O7" s="5" t="str">
        <v>C202</v>
      </c>
      <c r="P7" s="5">
        <f t="shared" si="0"/>
        <v>1</v>
      </c>
      <c r="Q7" s="5">
        <f t="shared" si="1"/>
        <v>262.8</v>
      </c>
      <c r="S7" s="14" t="str">
        <v>C846</v>
      </c>
      <c r="T7" s="14"/>
      <c r="V7" s="16" t="s">
        <v>565</v>
      </c>
      <c r="W7" s="16"/>
      <c r="X7" s="16"/>
    </row>
    <row r="8" spans="1:24" x14ac:dyDescent="0.35">
      <c r="A8" t="s">
        <v>41</v>
      </c>
      <c r="B8" t="s">
        <v>523</v>
      </c>
      <c r="C8" s="1">
        <v>45850</v>
      </c>
      <c r="D8" t="s">
        <v>42</v>
      </c>
      <c r="E8" t="s">
        <v>33</v>
      </c>
      <c r="F8" t="s">
        <v>43</v>
      </c>
      <c r="G8">
        <v>3</v>
      </c>
      <c r="H8">
        <v>361</v>
      </c>
      <c r="I8">
        <v>0.15</v>
      </c>
      <c r="J8">
        <v>920.55</v>
      </c>
      <c r="K8">
        <v>230.14</v>
      </c>
      <c r="L8" t="s">
        <v>26</v>
      </c>
      <c r="M8" t="s">
        <v>27</v>
      </c>
      <c r="O8" s="5" t="str">
        <v>C203</v>
      </c>
      <c r="P8" s="5">
        <f t="shared" si="0"/>
        <v>1</v>
      </c>
      <c r="Q8" s="5">
        <f t="shared" si="1"/>
        <v>920.55</v>
      </c>
      <c r="S8" s="14" t="str">
        <v>C147</v>
      </c>
      <c r="T8" s="14"/>
      <c r="V8" s="16"/>
      <c r="W8" s="16"/>
      <c r="X8" s="16"/>
    </row>
    <row r="9" spans="1:24" x14ac:dyDescent="0.35">
      <c r="A9" t="s">
        <v>44</v>
      </c>
      <c r="B9" t="s">
        <v>90</v>
      </c>
      <c r="C9" s="1">
        <v>45367</v>
      </c>
      <c r="D9" t="s">
        <v>16</v>
      </c>
      <c r="E9" t="s">
        <v>17</v>
      </c>
      <c r="F9" t="s">
        <v>46</v>
      </c>
      <c r="G9">
        <v>2</v>
      </c>
      <c r="H9">
        <v>111</v>
      </c>
      <c r="I9">
        <v>0</v>
      </c>
      <c r="J9">
        <v>222</v>
      </c>
      <c r="K9">
        <v>66.599999999999994</v>
      </c>
      <c r="L9" t="s">
        <v>19</v>
      </c>
      <c r="M9" t="s">
        <v>27</v>
      </c>
      <c r="O9" s="5" t="str">
        <v>C204</v>
      </c>
      <c r="P9" s="5">
        <f t="shared" si="0"/>
        <v>6</v>
      </c>
      <c r="Q9" s="5">
        <f t="shared" si="1"/>
        <v>3697</v>
      </c>
      <c r="S9" s="14" t="str">
        <v>C674</v>
      </c>
      <c r="T9" s="14"/>
      <c r="V9" s="16"/>
      <c r="W9" s="16"/>
      <c r="X9" s="16"/>
    </row>
    <row r="10" spans="1:24" x14ac:dyDescent="0.35">
      <c r="A10" t="s">
        <v>47</v>
      </c>
      <c r="B10" t="s">
        <v>48</v>
      </c>
      <c r="C10" s="1">
        <v>45157</v>
      </c>
      <c r="D10" t="s">
        <v>16</v>
      </c>
      <c r="E10" t="s">
        <v>24</v>
      </c>
      <c r="F10" t="s">
        <v>49</v>
      </c>
      <c r="G10">
        <v>1</v>
      </c>
      <c r="H10">
        <v>325</v>
      </c>
      <c r="I10">
        <v>0.05</v>
      </c>
      <c r="J10">
        <v>308.75</v>
      </c>
      <c r="K10">
        <v>77.19</v>
      </c>
      <c r="L10" t="s">
        <v>19</v>
      </c>
      <c r="M10" t="s">
        <v>20</v>
      </c>
      <c r="O10" s="5" t="str">
        <v>C914</v>
      </c>
      <c r="P10" s="5">
        <f t="shared" si="0"/>
        <v>4</v>
      </c>
      <c r="Q10" s="5">
        <f t="shared" si="1"/>
        <v>2068.9499999999998</v>
      </c>
      <c r="S10" s="14" t="str">
        <v>C169</v>
      </c>
      <c r="T10" s="14"/>
    </row>
    <row r="11" spans="1:24" x14ac:dyDescent="0.35">
      <c r="A11" t="s">
        <v>50</v>
      </c>
      <c r="B11" t="s">
        <v>51</v>
      </c>
      <c r="C11" s="1">
        <v>45460</v>
      </c>
      <c r="D11" t="s">
        <v>23</v>
      </c>
      <c r="E11" t="s">
        <v>33</v>
      </c>
      <c r="F11" t="s">
        <v>34</v>
      </c>
      <c r="G11">
        <v>3</v>
      </c>
      <c r="H11">
        <v>274</v>
      </c>
      <c r="I11">
        <v>0.1</v>
      </c>
      <c r="J11">
        <v>739.8</v>
      </c>
      <c r="K11">
        <v>147.96</v>
      </c>
      <c r="L11" t="s">
        <v>26</v>
      </c>
      <c r="M11" t="s">
        <v>20</v>
      </c>
      <c r="O11" s="5" t="str">
        <v>C376</v>
      </c>
      <c r="P11" s="5">
        <f t="shared" si="0"/>
        <v>2</v>
      </c>
      <c r="Q11" s="5">
        <f t="shared" si="1"/>
        <v>824.8</v>
      </c>
      <c r="S11" s="14" t="str">
        <v>C408</v>
      </c>
      <c r="T11" s="14"/>
    </row>
    <row r="12" spans="1:24" x14ac:dyDescent="0.35">
      <c r="A12" t="s">
        <v>52</v>
      </c>
      <c r="B12" t="s">
        <v>53</v>
      </c>
      <c r="C12" s="1">
        <v>44990</v>
      </c>
      <c r="D12" t="s">
        <v>23</v>
      </c>
      <c r="E12" t="s">
        <v>33</v>
      </c>
      <c r="F12" t="s">
        <v>34</v>
      </c>
      <c r="G12">
        <v>1</v>
      </c>
      <c r="H12">
        <v>177</v>
      </c>
      <c r="I12">
        <v>0.05</v>
      </c>
      <c r="J12">
        <v>168.15</v>
      </c>
      <c r="K12">
        <v>50.45</v>
      </c>
      <c r="L12" t="s">
        <v>19</v>
      </c>
      <c r="M12" t="s">
        <v>27</v>
      </c>
      <c r="O12" s="5" t="str">
        <v>C371</v>
      </c>
      <c r="P12" s="5">
        <f t="shared" si="0"/>
        <v>2</v>
      </c>
      <c r="Q12" s="5">
        <f t="shared" si="1"/>
        <v>791.85</v>
      </c>
      <c r="S12" s="14" t="str">
        <v>C734</v>
      </c>
      <c r="T12" s="14"/>
    </row>
    <row r="13" spans="1:24" x14ac:dyDescent="0.35">
      <c r="A13" t="s">
        <v>54</v>
      </c>
      <c r="B13" t="s">
        <v>55</v>
      </c>
      <c r="C13" s="1">
        <v>45265</v>
      </c>
      <c r="D13" t="s">
        <v>37</v>
      </c>
      <c r="E13" t="s">
        <v>33</v>
      </c>
      <c r="F13" t="s">
        <v>34</v>
      </c>
      <c r="G13">
        <v>3</v>
      </c>
      <c r="H13">
        <v>299</v>
      </c>
      <c r="I13">
        <v>0.15</v>
      </c>
      <c r="J13">
        <v>762.45</v>
      </c>
      <c r="K13">
        <v>228.73</v>
      </c>
      <c r="L13" t="s">
        <v>26</v>
      </c>
      <c r="M13" t="s">
        <v>27</v>
      </c>
      <c r="O13" s="5" t="str">
        <v>C414</v>
      </c>
      <c r="P13" s="5">
        <f t="shared" si="0"/>
        <v>4</v>
      </c>
      <c r="Q13" s="5">
        <f t="shared" si="1"/>
        <v>3220.1</v>
      </c>
      <c r="S13" s="14" t="str">
        <v>C763</v>
      </c>
      <c r="T13" s="14"/>
    </row>
    <row r="14" spans="1:24" x14ac:dyDescent="0.35">
      <c r="A14" t="s">
        <v>56</v>
      </c>
      <c r="B14" t="s">
        <v>519</v>
      </c>
      <c r="C14" s="1">
        <v>45086</v>
      </c>
      <c r="D14" t="s">
        <v>37</v>
      </c>
      <c r="E14" t="s">
        <v>17</v>
      </c>
      <c r="F14" t="s">
        <v>58</v>
      </c>
      <c r="G14">
        <v>1</v>
      </c>
      <c r="H14">
        <v>327</v>
      </c>
      <c r="I14">
        <v>0.1</v>
      </c>
      <c r="J14">
        <v>294.3</v>
      </c>
      <c r="K14">
        <v>88.29</v>
      </c>
      <c r="L14" t="s">
        <v>26</v>
      </c>
      <c r="M14" t="s">
        <v>27</v>
      </c>
      <c r="O14" s="5" t="str">
        <v>C401</v>
      </c>
      <c r="P14" s="5">
        <f t="shared" si="0"/>
        <v>1</v>
      </c>
      <c r="Q14" s="5">
        <f t="shared" si="1"/>
        <v>285</v>
      </c>
      <c r="S14" s="14" t="str">
        <v>C555</v>
      </c>
      <c r="T14" s="14"/>
    </row>
    <row r="15" spans="1:24" x14ac:dyDescent="0.35">
      <c r="A15" t="s">
        <v>59</v>
      </c>
      <c r="B15" t="s">
        <v>524</v>
      </c>
      <c r="C15" s="1">
        <v>45268</v>
      </c>
      <c r="D15" t="s">
        <v>42</v>
      </c>
      <c r="E15" t="s">
        <v>24</v>
      </c>
      <c r="F15" t="s">
        <v>25</v>
      </c>
      <c r="G15">
        <v>3</v>
      </c>
      <c r="H15">
        <v>100</v>
      </c>
      <c r="I15">
        <v>0.05</v>
      </c>
      <c r="J15">
        <v>285</v>
      </c>
      <c r="K15">
        <v>71.25</v>
      </c>
      <c r="L15" t="s">
        <v>39</v>
      </c>
      <c r="M15" t="s">
        <v>27</v>
      </c>
      <c r="O15" s="5" t="str">
        <v>C402</v>
      </c>
      <c r="P15" s="5">
        <f t="shared" si="0"/>
        <v>1</v>
      </c>
      <c r="Q15" s="5">
        <f t="shared" si="1"/>
        <v>956</v>
      </c>
    </row>
    <row r="16" spans="1:24" x14ac:dyDescent="0.35">
      <c r="A16" t="s">
        <v>61</v>
      </c>
      <c r="B16" t="s">
        <v>525</v>
      </c>
      <c r="C16" s="1">
        <v>45184</v>
      </c>
      <c r="D16" t="s">
        <v>63</v>
      </c>
      <c r="E16" t="s">
        <v>17</v>
      </c>
      <c r="F16" t="s">
        <v>58</v>
      </c>
      <c r="G16">
        <v>4</v>
      </c>
      <c r="H16">
        <v>239</v>
      </c>
      <c r="I16">
        <v>0</v>
      </c>
      <c r="J16">
        <v>956</v>
      </c>
      <c r="K16">
        <v>191.2</v>
      </c>
      <c r="L16" t="s">
        <v>19</v>
      </c>
      <c r="M16" t="s">
        <v>27</v>
      </c>
      <c r="O16" s="5" t="str">
        <v>C403</v>
      </c>
      <c r="P16" s="5">
        <f t="shared" si="0"/>
        <v>1</v>
      </c>
      <c r="Q16" s="5">
        <f t="shared" si="1"/>
        <v>786</v>
      </c>
    </row>
    <row r="17" spans="1:17" x14ac:dyDescent="0.35">
      <c r="A17" t="s">
        <v>64</v>
      </c>
      <c r="B17" t="s">
        <v>526</v>
      </c>
      <c r="C17" s="1">
        <v>45298</v>
      </c>
      <c r="D17" t="s">
        <v>63</v>
      </c>
      <c r="E17" t="s">
        <v>33</v>
      </c>
      <c r="F17" t="s">
        <v>66</v>
      </c>
      <c r="G17">
        <v>3</v>
      </c>
      <c r="H17">
        <v>262</v>
      </c>
      <c r="I17">
        <v>0</v>
      </c>
      <c r="J17">
        <v>786</v>
      </c>
      <c r="K17">
        <v>196.5</v>
      </c>
      <c r="L17" t="s">
        <v>19</v>
      </c>
      <c r="M17" t="s">
        <v>20</v>
      </c>
      <c r="O17" s="5" t="str">
        <v>C519</v>
      </c>
      <c r="P17" s="5">
        <f t="shared" si="0"/>
        <v>4</v>
      </c>
      <c r="Q17" s="5">
        <f t="shared" si="1"/>
        <v>1124.8499999999999</v>
      </c>
    </row>
    <row r="18" spans="1:17" x14ac:dyDescent="0.35">
      <c r="A18" t="s">
        <v>67</v>
      </c>
      <c r="B18" t="s">
        <v>68</v>
      </c>
      <c r="C18" s="1">
        <v>45127</v>
      </c>
      <c r="D18" t="s">
        <v>37</v>
      </c>
      <c r="E18" t="s">
        <v>33</v>
      </c>
      <c r="F18" t="s">
        <v>66</v>
      </c>
      <c r="G18">
        <v>1</v>
      </c>
      <c r="H18">
        <v>316</v>
      </c>
      <c r="I18">
        <v>0.1</v>
      </c>
      <c r="J18">
        <v>284.39999999999998</v>
      </c>
      <c r="K18">
        <v>85.32</v>
      </c>
      <c r="L18" t="s">
        <v>19</v>
      </c>
      <c r="M18" t="s">
        <v>27</v>
      </c>
      <c r="O18" s="5" t="str">
        <v>C846</v>
      </c>
      <c r="P18" s="5">
        <f t="shared" si="0"/>
        <v>6</v>
      </c>
      <c r="Q18" s="5">
        <f t="shared" si="1"/>
        <v>4588.75</v>
      </c>
    </row>
    <row r="19" spans="1:17" x14ac:dyDescent="0.35">
      <c r="A19" t="s">
        <v>69</v>
      </c>
      <c r="B19" t="s">
        <v>70</v>
      </c>
      <c r="C19" s="1">
        <v>45870</v>
      </c>
      <c r="D19" t="s">
        <v>16</v>
      </c>
      <c r="E19" t="s">
        <v>33</v>
      </c>
      <c r="F19" t="s">
        <v>71</v>
      </c>
      <c r="G19">
        <v>3</v>
      </c>
      <c r="H19">
        <v>380</v>
      </c>
      <c r="I19">
        <v>0.1</v>
      </c>
      <c r="J19">
        <v>1026</v>
      </c>
      <c r="K19">
        <v>307.8</v>
      </c>
      <c r="L19" t="s">
        <v>26</v>
      </c>
      <c r="M19" t="s">
        <v>27</v>
      </c>
      <c r="O19" s="5" t="str">
        <v>C596</v>
      </c>
      <c r="P19" s="5">
        <f t="shared" si="0"/>
        <v>3</v>
      </c>
      <c r="Q19" s="5">
        <f t="shared" si="1"/>
        <v>800.05</v>
      </c>
    </row>
    <row r="20" spans="1:17" x14ac:dyDescent="0.35">
      <c r="A20" t="s">
        <v>72</v>
      </c>
      <c r="B20" t="s">
        <v>73</v>
      </c>
      <c r="C20" s="1">
        <v>45493</v>
      </c>
      <c r="D20" t="s">
        <v>42</v>
      </c>
      <c r="E20" t="s">
        <v>17</v>
      </c>
      <c r="F20" t="s">
        <v>18</v>
      </c>
      <c r="G20">
        <v>1</v>
      </c>
      <c r="H20">
        <v>201</v>
      </c>
      <c r="I20">
        <v>0.15</v>
      </c>
      <c r="J20">
        <v>170.85</v>
      </c>
      <c r="K20">
        <v>42.71</v>
      </c>
      <c r="L20" t="s">
        <v>19</v>
      </c>
      <c r="M20" t="s">
        <v>27</v>
      </c>
      <c r="O20" s="5" t="str">
        <v>C350</v>
      </c>
      <c r="P20" s="5">
        <f t="shared" si="0"/>
        <v>3</v>
      </c>
      <c r="Q20" s="5">
        <f t="shared" si="1"/>
        <v>1110</v>
      </c>
    </row>
    <row r="21" spans="1:17" x14ac:dyDescent="0.35">
      <c r="A21" t="s">
        <v>74</v>
      </c>
      <c r="B21" t="s">
        <v>75</v>
      </c>
      <c r="C21" s="1">
        <v>45462</v>
      </c>
      <c r="D21" t="s">
        <v>42</v>
      </c>
      <c r="E21" t="s">
        <v>24</v>
      </c>
      <c r="F21" t="s">
        <v>30</v>
      </c>
      <c r="G21">
        <v>4</v>
      </c>
      <c r="H21">
        <v>170</v>
      </c>
      <c r="I21">
        <v>0.15</v>
      </c>
      <c r="J21">
        <v>578</v>
      </c>
      <c r="K21">
        <v>173.4</v>
      </c>
      <c r="L21" t="s">
        <v>39</v>
      </c>
      <c r="M21" t="s">
        <v>20</v>
      </c>
      <c r="O21" s="5" t="str">
        <v>C287</v>
      </c>
      <c r="P21" s="5">
        <f t="shared" si="0"/>
        <v>2</v>
      </c>
      <c r="Q21" s="5">
        <f t="shared" si="1"/>
        <v>1130.5</v>
      </c>
    </row>
    <row r="22" spans="1:17" x14ac:dyDescent="0.35">
      <c r="A22" t="s">
        <v>76</v>
      </c>
      <c r="B22" t="s">
        <v>77</v>
      </c>
      <c r="C22" s="1">
        <v>45908</v>
      </c>
      <c r="D22" t="s">
        <v>37</v>
      </c>
      <c r="E22" t="s">
        <v>17</v>
      </c>
      <c r="F22" t="s">
        <v>78</v>
      </c>
      <c r="G22">
        <v>3</v>
      </c>
      <c r="H22">
        <v>142</v>
      </c>
      <c r="I22">
        <v>0.15</v>
      </c>
      <c r="J22">
        <v>362.1</v>
      </c>
      <c r="K22">
        <v>72.42</v>
      </c>
      <c r="L22" t="s">
        <v>39</v>
      </c>
      <c r="M22" t="s">
        <v>27</v>
      </c>
      <c r="O22" s="5" t="str">
        <v>C111</v>
      </c>
      <c r="P22" s="5">
        <f t="shared" si="0"/>
        <v>1</v>
      </c>
      <c r="Q22" s="5">
        <f t="shared" si="1"/>
        <v>433</v>
      </c>
    </row>
    <row r="23" spans="1:17" x14ac:dyDescent="0.35">
      <c r="A23" t="s">
        <v>79</v>
      </c>
      <c r="B23" t="s">
        <v>527</v>
      </c>
      <c r="C23" s="1">
        <v>45262</v>
      </c>
      <c r="D23" t="s">
        <v>63</v>
      </c>
      <c r="E23" t="s">
        <v>33</v>
      </c>
      <c r="F23" t="s">
        <v>34</v>
      </c>
      <c r="G23">
        <v>1</v>
      </c>
      <c r="H23">
        <v>433</v>
      </c>
      <c r="I23">
        <v>0</v>
      </c>
      <c r="J23">
        <v>433</v>
      </c>
      <c r="K23">
        <v>86.6</v>
      </c>
      <c r="L23" t="s">
        <v>26</v>
      </c>
      <c r="M23" t="s">
        <v>27</v>
      </c>
      <c r="O23" s="5" t="str">
        <v>C100</v>
      </c>
      <c r="P23" s="5">
        <f t="shared" si="0"/>
        <v>1</v>
      </c>
      <c r="Q23" s="5">
        <f t="shared" si="1"/>
        <v>651.6</v>
      </c>
    </row>
    <row r="24" spans="1:17" x14ac:dyDescent="0.35">
      <c r="A24" t="s">
        <v>81</v>
      </c>
      <c r="B24" t="s">
        <v>528</v>
      </c>
      <c r="C24" s="1">
        <v>45593</v>
      </c>
      <c r="D24" t="s">
        <v>42</v>
      </c>
      <c r="E24" t="s">
        <v>33</v>
      </c>
      <c r="F24" t="s">
        <v>38</v>
      </c>
      <c r="G24">
        <v>2</v>
      </c>
      <c r="H24">
        <v>362</v>
      </c>
      <c r="I24">
        <v>0.1</v>
      </c>
      <c r="J24">
        <v>651.6</v>
      </c>
      <c r="K24">
        <v>162.9</v>
      </c>
      <c r="L24" t="s">
        <v>39</v>
      </c>
      <c r="M24" t="s">
        <v>20</v>
      </c>
      <c r="O24" s="5" t="str">
        <v>C300</v>
      </c>
      <c r="P24" s="5">
        <f t="shared" si="0"/>
        <v>1</v>
      </c>
      <c r="Q24" s="5">
        <f t="shared" si="1"/>
        <v>478</v>
      </c>
    </row>
    <row r="25" spans="1:17" x14ac:dyDescent="0.35">
      <c r="A25" t="s">
        <v>83</v>
      </c>
      <c r="B25" t="s">
        <v>529</v>
      </c>
      <c r="C25" s="1">
        <v>45942</v>
      </c>
      <c r="D25" t="s">
        <v>23</v>
      </c>
      <c r="E25" t="s">
        <v>24</v>
      </c>
      <c r="F25" t="s">
        <v>25</v>
      </c>
      <c r="G25">
        <v>2</v>
      </c>
      <c r="H25">
        <v>239</v>
      </c>
      <c r="I25">
        <v>0</v>
      </c>
      <c r="J25">
        <v>478</v>
      </c>
      <c r="K25">
        <v>95.6</v>
      </c>
      <c r="L25" t="s">
        <v>26</v>
      </c>
      <c r="M25" t="s">
        <v>20</v>
      </c>
      <c r="O25" s="5" t="str">
        <v>C147</v>
      </c>
      <c r="P25" s="5">
        <f t="shared" si="0"/>
        <v>7</v>
      </c>
      <c r="Q25" s="5">
        <f t="shared" si="1"/>
        <v>3680.45</v>
      </c>
    </row>
    <row r="26" spans="1:17" x14ac:dyDescent="0.35">
      <c r="A26" t="s">
        <v>85</v>
      </c>
      <c r="B26" t="s">
        <v>86</v>
      </c>
      <c r="C26" s="1">
        <v>45062</v>
      </c>
      <c r="D26" t="s">
        <v>63</v>
      </c>
      <c r="E26" t="s">
        <v>17</v>
      </c>
      <c r="F26" t="s">
        <v>78</v>
      </c>
      <c r="G26">
        <v>4</v>
      </c>
      <c r="H26">
        <v>331</v>
      </c>
      <c r="I26">
        <v>0.1</v>
      </c>
      <c r="J26">
        <v>1191.5999999999999</v>
      </c>
      <c r="K26">
        <v>297.89999999999998</v>
      </c>
      <c r="L26" t="s">
        <v>39</v>
      </c>
      <c r="M26" t="s">
        <v>27</v>
      </c>
      <c r="O26" s="5" t="str">
        <v>C540</v>
      </c>
      <c r="P26" s="5">
        <f t="shared" si="0"/>
        <v>2</v>
      </c>
      <c r="Q26" s="5">
        <f t="shared" si="1"/>
        <v>587.54999999999995</v>
      </c>
    </row>
    <row r="27" spans="1:17" x14ac:dyDescent="0.35">
      <c r="A27" t="s">
        <v>87</v>
      </c>
      <c r="B27" t="s">
        <v>88</v>
      </c>
      <c r="C27" s="1">
        <v>45356</v>
      </c>
      <c r="D27" t="s">
        <v>37</v>
      </c>
      <c r="E27" t="s">
        <v>17</v>
      </c>
      <c r="F27" t="s">
        <v>58</v>
      </c>
      <c r="G27">
        <v>1</v>
      </c>
      <c r="H27">
        <v>157</v>
      </c>
      <c r="I27">
        <v>0.15</v>
      </c>
      <c r="J27">
        <v>133.44999999999999</v>
      </c>
      <c r="K27">
        <v>26.69</v>
      </c>
      <c r="L27" t="s">
        <v>19</v>
      </c>
      <c r="M27" t="s">
        <v>20</v>
      </c>
      <c r="O27" s="5" t="str">
        <v>C483</v>
      </c>
      <c r="P27" s="5">
        <f t="shared" si="0"/>
        <v>2</v>
      </c>
      <c r="Q27" s="5">
        <f t="shared" si="1"/>
        <v>768.8</v>
      </c>
    </row>
    <row r="28" spans="1:17" x14ac:dyDescent="0.35">
      <c r="A28" t="s">
        <v>89</v>
      </c>
      <c r="B28" t="s">
        <v>90</v>
      </c>
      <c r="C28" s="1">
        <v>45573</v>
      </c>
      <c r="D28" t="s">
        <v>37</v>
      </c>
      <c r="E28" t="s">
        <v>17</v>
      </c>
      <c r="F28" t="s">
        <v>46</v>
      </c>
      <c r="G28">
        <v>2</v>
      </c>
      <c r="H28">
        <v>280</v>
      </c>
      <c r="I28">
        <v>0.05</v>
      </c>
      <c r="J28">
        <v>532</v>
      </c>
      <c r="K28">
        <v>159.6</v>
      </c>
      <c r="L28" t="s">
        <v>39</v>
      </c>
      <c r="M28" t="s">
        <v>20</v>
      </c>
      <c r="O28" s="5" t="str">
        <v>C523</v>
      </c>
      <c r="P28" s="5">
        <f t="shared" si="0"/>
        <v>2</v>
      </c>
      <c r="Q28" s="5">
        <f t="shared" si="1"/>
        <v>1243.5500000000002</v>
      </c>
    </row>
    <row r="29" spans="1:17" x14ac:dyDescent="0.35">
      <c r="A29" t="s">
        <v>91</v>
      </c>
      <c r="B29" t="s">
        <v>92</v>
      </c>
      <c r="C29" s="1">
        <v>44965</v>
      </c>
      <c r="D29" t="s">
        <v>16</v>
      </c>
      <c r="E29" t="s">
        <v>17</v>
      </c>
      <c r="F29" t="s">
        <v>18</v>
      </c>
      <c r="G29">
        <v>1</v>
      </c>
      <c r="H29">
        <v>104</v>
      </c>
      <c r="I29">
        <v>0.15</v>
      </c>
      <c r="J29">
        <v>88.4</v>
      </c>
      <c r="K29">
        <v>26.52</v>
      </c>
      <c r="L29" t="s">
        <v>39</v>
      </c>
      <c r="M29" t="s">
        <v>27</v>
      </c>
      <c r="O29" s="5" t="str">
        <v>C739</v>
      </c>
      <c r="P29" s="5">
        <f t="shared" si="0"/>
        <v>4</v>
      </c>
      <c r="Q29" s="5">
        <f t="shared" si="1"/>
        <v>1187.4000000000001</v>
      </c>
    </row>
    <row r="30" spans="1:17" x14ac:dyDescent="0.35">
      <c r="A30" t="s">
        <v>93</v>
      </c>
      <c r="B30" t="s">
        <v>94</v>
      </c>
      <c r="C30" s="1">
        <v>45322</v>
      </c>
      <c r="D30" t="s">
        <v>37</v>
      </c>
      <c r="E30" t="s">
        <v>24</v>
      </c>
      <c r="F30" t="s">
        <v>30</v>
      </c>
      <c r="G30">
        <v>4</v>
      </c>
      <c r="H30">
        <v>278</v>
      </c>
      <c r="I30">
        <v>0.15</v>
      </c>
      <c r="J30">
        <v>945.2</v>
      </c>
      <c r="K30">
        <v>189.04</v>
      </c>
      <c r="L30" t="s">
        <v>26</v>
      </c>
      <c r="M30" t="s">
        <v>20</v>
      </c>
      <c r="O30" s="5" t="str">
        <v>C432</v>
      </c>
      <c r="P30" s="5">
        <f t="shared" si="0"/>
        <v>2</v>
      </c>
      <c r="Q30" s="5">
        <f t="shared" si="1"/>
        <v>1626.9</v>
      </c>
    </row>
    <row r="31" spans="1:17" x14ac:dyDescent="0.35">
      <c r="A31" t="s">
        <v>95</v>
      </c>
      <c r="B31" t="s">
        <v>96</v>
      </c>
      <c r="C31" s="1">
        <v>45243</v>
      </c>
      <c r="D31" t="s">
        <v>42</v>
      </c>
      <c r="E31" t="s">
        <v>24</v>
      </c>
      <c r="F31" t="s">
        <v>25</v>
      </c>
      <c r="G31">
        <v>4</v>
      </c>
      <c r="H31">
        <v>147</v>
      </c>
      <c r="I31">
        <v>0.15</v>
      </c>
      <c r="J31">
        <v>499.8</v>
      </c>
      <c r="K31">
        <v>124.95</v>
      </c>
      <c r="L31" t="s">
        <v>39</v>
      </c>
      <c r="M31" t="s">
        <v>20</v>
      </c>
      <c r="O31" s="5" t="str">
        <v>C735</v>
      </c>
      <c r="P31" s="5">
        <f t="shared" si="0"/>
        <v>1</v>
      </c>
      <c r="Q31" s="5">
        <f t="shared" si="1"/>
        <v>564.4</v>
      </c>
    </row>
    <row r="32" spans="1:17" x14ac:dyDescent="0.35">
      <c r="A32" t="s">
        <v>97</v>
      </c>
      <c r="B32" t="s">
        <v>98</v>
      </c>
      <c r="C32" s="1">
        <v>45022</v>
      </c>
      <c r="D32" t="s">
        <v>63</v>
      </c>
      <c r="E32" t="s">
        <v>33</v>
      </c>
      <c r="F32" t="s">
        <v>66</v>
      </c>
      <c r="G32">
        <v>3</v>
      </c>
      <c r="H32">
        <v>330</v>
      </c>
      <c r="I32">
        <v>0.15</v>
      </c>
      <c r="J32">
        <v>841.5</v>
      </c>
      <c r="K32">
        <v>210.38</v>
      </c>
      <c r="L32" t="s">
        <v>19</v>
      </c>
      <c r="M32" t="s">
        <v>20</v>
      </c>
      <c r="O32" s="5" t="str">
        <v>C285</v>
      </c>
      <c r="P32" s="5">
        <f t="shared" si="0"/>
        <v>2</v>
      </c>
      <c r="Q32" s="5">
        <f t="shared" si="1"/>
        <v>694</v>
      </c>
    </row>
    <row r="33" spans="1:17" x14ac:dyDescent="0.35">
      <c r="A33" t="s">
        <v>99</v>
      </c>
      <c r="B33" t="s">
        <v>100</v>
      </c>
      <c r="C33" s="1">
        <v>45142</v>
      </c>
      <c r="D33" t="s">
        <v>16</v>
      </c>
      <c r="E33" t="s">
        <v>17</v>
      </c>
      <c r="F33" t="s">
        <v>58</v>
      </c>
      <c r="G33">
        <v>2</v>
      </c>
      <c r="H33">
        <v>332</v>
      </c>
      <c r="I33">
        <v>0.15</v>
      </c>
      <c r="J33">
        <v>564.4</v>
      </c>
      <c r="K33">
        <v>141.1</v>
      </c>
      <c r="L33" t="s">
        <v>19</v>
      </c>
      <c r="M33" t="s">
        <v>20</v>
      </c>
      <c r="O33" s="5" t="str">
        <v>C318</v>
      </c>
      <c r="P33" s="5">
        <f t="shared" si="0"/>
        <v>1</v>
      </c>
      <c r="Q33" s="5">
        <f t="shared" si="1"/>
        <v>846.6</v>
      </c>
    </row>
    <row r="34" spans="1:17" x14ac:dyDescent="0.35">
      <c r="A34" t="s">
        <v>101</v>
      </c>
      <c r="B34" t="s">
        <v>36</v>
      </c>
      <c r="C34" s="1">
        <v>45210</v>
      </c>
      <c r="D34" t="s">
        <v>42</v>
      </c>
      <c r="E34" t="s">
        <v>17</v>
      </c>
      <c r="F34" t="s">
        <v>58</v>
      </c>
      <c r="G34">
        <v>1</v>
      </c>
      <c r="H34">
        <v>250</v>
      </c>
      <c r="I34">
        <v>0</v>
      </c>
      <c r="J34">
        <v>250</v>
      </c>
      <c r="K34">
        <v>75</v>
      </c>
      <c r="L34" t="s">
        <v>19</v>
      </c>
      <c r="M34" t="s">
        <v>20</v>
      </c>
      <c r="O34" s="5" t="str">
        <v>C674</v>
      </c>
      <c r="P34" s="5">
        <f t="shared" si="0"/>
        <v>8</v>
      </c>
      <c r="Q34" s="5">
        <f t="shared" si="1"/>
        <v>4914.8</v>
      </c>
    </row>
    <row r="35" spans="1:17" x14ac:dyDescent="0.35">
      <c r="A35" t="s">
        <v>102</v>
      </c>
      <c r="B35" t="s">
        <v>103</v>
      </c>
      <c r="C35" s="1">
        <v>45266</v>
      </c>
      <c r="D35" t="s">
        <v>23</v>
      </c>
      <c r="E35" t="s">
        <v>33</v>
      </c>
      <c r="F35" t="s">
        <v>38</v>
      </c>
      <c r="G35">
        <v>3</v>
      </c>
      <c r="H35">
        <v>332</v>
      </c>
      <c r="I35">
        <v>0.15</v>
      </c>
      <c r="J35">
        <v>846.6</v>
      </c>
      <c r="K35">
        <v>169.32</v>
      </c>
      <c r="L35" t="s">
        <v>26</v>
      </c>
      <c r="M35" t="s">
        <v>20</v>
      </c>
      <c r="O35" s="5" t="str">
        <v>C657</v>
      </c>
      <c r="P35" s="5">
        <f t="shared" si="0"/>
        <v>5</v>
      </c>
      <c r="Q35" s="5">
        <f t="shared" si="1"/>
        <v>3598.25</v>
      </c>
    </row>
    <row r="36" spans="1:17" x14ac:dyDescent="0.35">
      <c r="A36" t="s">
        <v>104</v>
      </c>
      <c r="B36" t="s">
        <v>105</v>
      </c>
      <c r="C36" s="1">
        <v>45741</v>
      </c>
      <c r="D36" t="s">
        <v>37</v>
      </c>
      <c r="E36" t="s">
        <v>17</v>
      </c>
      <c r="F36" t="s">
        <v>46</v>
      </c>
      <c r="G36">
        <v>2</v>
      </c>
      <c r="H36">
        <v>328</v>
      </c>
      <c r="I36">
        <v>0.1</v>
      </c>
      <c r="J36">
        <v>590.4</v>
      </c>
      <c r="K36">
        <v>177.12</v>
      </c>
      <c r="L36" t="s">
        <v>19</v>
      </c>
      <c r="M36" t="s">
        <v>27</v>
      </c>
      <c r="O36" s="5" t="str">
        <v>C205</v>
      </c>
      <c r="P36" s="5">
        <f t="shared" si="0"/>
        <v>4</v>
      </c>
      <c r="Q36" s="5">
        <f t="shared" si="1"/>
        <v>1270.6000000000001</v>
      </c>
    </row>
    <row r="37" spans="1:17" x14ac:dyDescent="0.35">
      <c r="A37" t="s">
        <v>106</v>
      </c>
      <c r="B37" t="s">
        <v>60</v>
      </c>
      <c r="C37" s="1">
        <v>45711</v>
      </c>
      <c r="D37" t="s">
        <v>37</v>
      </c>
      <c r="E37" t="s">
        <v>24</v>
      </c>
      <c r="F37" t="s">
        <v>107</v>
      </c>
      <c r="G37">
        <v>1</v>
      </c>
      <c r="H37">
        <v>231</v>
      </c>
      <c r="I37">
        <v>0</v>
      </c>
      <c r="J37">
        <v>231</v>
      </c>
      <c r="K37">
        <v>57.75</v>
      </c>
      <c r="L37" t="s">
        <v>26</v>
      </c>
      <c r="M37" t="s">
        <v>27</v>
      </c>
      <c r="O37" s="5" t="str">
        <v>C854</v>
      </c>
      <c r="P37" s="5">
        <f t="shared" si="0"/>
        <v>2</v>
      </c>
      <c r="Q37" s="5">
        <f t="shared" si="1"/>
        <v>1957</v>
      </c>
    </row>
    <row r="38" spans="1:17" x14ac:dyDescent="0.35">
      <c r="A38" t="s">
        <v>108</v>
      </c>
      <c r="B38" t="s">
        <v>29</v>
      </c>
      <c r="C38" s="1">
        <v>45794</v>
      </c>
      <c r="D38" t="s">
        <v>42</v>
      </c>
      <c r="E38" t="s">
        <v>17</v>
      </c>
      <c r="F38" t="s">
        <v>46</v>
      </c>
      <c r="G38">
        <v>3</v>
      </c>
      <c r="H38">
        <v>285</v>
      </c>
      <c r="I38">
        <v>0.15</v>
      </c>
      <c r="J38">
        <v>726.75</v>
      </c>
      <c r="K38">
        <v>145.35</v>
      </c>
      <c r="L38" t="s">
        <v>39</v>
      </c>
      <c r="M38" t="s">
        <v>20</v>
      </c>
      <c r="O38" s="5" t="str">
        <v>C900</v>
      </c>
      <c r="P38" s="5">
        <f t="shared" si="0"/>
        <v>1</v>
      </c>
      <c r="Q38" s="5">
        <f t="shared" si="1"/>
        <v>1140</v>
      </c>
    </row>
    <row r="39" spans="1:17" x14ac:dyDescent="0.35">
      <c r="A39" t="s">
        <v>109</v>
      </c>
      <c r="B39" t="s">
        <v>110</v>
      </c>
      <c r="C39" s="1">
        <v>45369</v>
      </c>
      <c r="D39" t="s">
        <v>37</v>
      </c>
      <c r="E39" t="s">
        <v>33</v>
      </c>
      <c r="F39" t="s">
        <v>38</v>
      </c>
      <c r="G39">
        <v>3</v>
      </c>
      <c r="H39">
        <v>181</v>
      </c>
      <c r="I39">
        <v>0.05</v>
      </c>
      <c r="J39">
        <v>515.85</v>
      </c>
      <c r="K39">
        <v>103.17</v>
      </c>
      <c r="L39" t="s">
        <v>19</v>
      </c>
      <c r="M39" t="s">
        <v>20</v>
      </c>
      <c r="O39" s="5" t="str">
        <v>C901</v>
      </c>
      <c r="P39" s="5">
        <f t="shared" si="0"/>
        <v>1</v>
      </c>
      <c r="Q39" s="5">
        <f t="shared" si="1"/>
        <v>856</v>
      </c>
    </row>
    <row r="40" spans="1:17" x14ac:dyDescent="0.35">
      <c r="A40" t="s">
        <v>111</v>
      </c>
      <c r="B40" t="s">
        <v>112</v>
      </c>
      <c r="C40" s="1">
        <v>45499</v>
      </c>
      <c r="D40" t="s">
        <v>63</v>
      </c>
      <c r="E40" t="s">
        <v>24</v>
      </c>
      <c r="F40" t="s">
        <v>25</v>
      </c>
      <c r="G40">
        <v>2</v>
      </c>
      <c r="H40">
        <v>290</v>
      </c>
      <c r="I40">
        <v>0.05</v>
      </c>
      <c r="J40">
        <v>551</v>
      </c>
      <c r="K40">
        <v>165.3</v>
      </c>
      <c r="L40" t="s">
        <v>19</v>
      </c>
      <c r="M40" t="s">
        <v>27</v>
      </c>
      <c r="O40" s="5" t="str">
        <v>C902</v>
      </c>
      <c r="P40" s="5">
        <f t="shared" si="0"/>
        <v>5</v>
      </c>
      <c r="Q40" s="5">
        <f t="shared" si="1"/>
        <v>2532.2000000000003</v>
      </c>
    </row>
    <row r="41" spans="1:17" x14ac:dyDescent="0.35">
      <c r="A41" t="s">
        <v>113</v>
      </c>
      <c r="B41" t="s">
        <v>530</v>
      </c>
      <c r="C41" s="1">
        <v>45883</v>
      </c>
      <c r="D41" t="s">
        <v>42</v>
      </c>
      <c r="E41" t="s">
        <v>33</v>
      </c>
      <c r="F41" t="s">
        <v>66</v>
      </c>
      <c r="G41">
        <v>4</v>
      </c>
      <c r="H41">
        <v>285</v>
      </c>
      <c r="I41">
        <v>0</v>
      </c>
      <c r="J41">
        <v>1140</v>
      </c>
      <c r="K41">
        <v>228</v>
      </c>
      <c r="L41" t="s">
        <v>26</v>
      </c>
      <c r="M41" t="s">
        <v>27</v>
      </c>
      <c r="O41" s="5" t="str">
        <v>C903</v>
      </c>
      <c r="P41" s="5">
        <f t="shared" si="0"/>
        <v>4</v>
      </c>
      <c r="Q41" s="5">
        <f t="shared" si="1"/>
        <v>2420.4</v>
      </c>
    </row>
    <row r="42" spans="1:17" x14ac:dyDescent="0.35">
      <c r="A42" t="s">
        <v>114</v>
      </c>
      <c r="B42" t="s">
        <v>531</v>
      </c>
      <c r="C42" s="1">
        <v>45123</v>
      </c>
      <c r="D42" t="s">
        <v>37</v>
      </c>
      <c r="E42" t="s">
        <v>33</v>
      </c>
      <c r="F42" t="s">
        <v>38</v>
      </c>
      <c r="G42">
        <v>4</v>
      </c>
      <c r="H42">
        <v>214</v>
      </c>
      <c r="I42">
        <v>0</v>
      </c>
      <c r="J42">
        <v>856</v>
      </c>
      <c r="K42">
        <v>171.2</v>
      </c>
      <c r="L42" t="s">
        <v>26</v>
      </c>
      <c r="M42" t="s">
        <v>27</v>
      </c>
      <c r="O42" s="5" t="str">
        <v>C904</v>
      </c>
      <c r="P42" s="5">
        <f t="shared" si="0"/>
        <v>1</v>
      </c>
      <c r="Q42" s="5">
        <f t="shared" si="1"/>
        <v>446.4</v>
      </c>
    </row>
    <row r="43" spans="1:17" x14ac:dyDescent="0.35">
      <c r="A43" t="s">
        <v>116</v>
      </c>
      <c r="B43" t="s">
        <v>387</v>
      </c>
      <c r="C43" s="1">
        <v>45018</v>
      </c>
      <c r="D43" t="s">
        <v>16</v>
      </c>
      <c r="E43" t="s">
        <v>33</v>
      </c>
      <c r="F43" t="s">
        <v>38</v>
      </c>
      <c r="G43">
        <v>3</v>
      </c>
      <c r="H43">
        <v>182</v>
      </c>
      <c r="I43">
        <v>0.05</v>
      </c>
      <c r="J43">
        <v>518.70000000000005</v>
      </c>
      <c r="K43">
        <v>129.66999999999999</v>
      </c>
      <c r="L43" t="s">
        <v>39</v>
      </c>
      <c r="M43" t="s">
        <v>20</v>
      </c>
      <c r="O43" s="5" t="str">
        <v>C841</v>
      </c>
      <c r="P43" s="5">
        <f t="shared" si="0"/>
        <v>1</v>
      </c>
      <c r="Q43" s="5">
        <f t="shared" si="1"/>
        <v>513</v>
      </c>
    </row>
    <row r="44" spans="1:17" x14ac:dyDescent="0.35">
      <c r="A44" t="s">
        <v>117</v>
      </c>
      <c r="B44" t="s">
        <v>229</v>
      </c>
      <c r="C44" s="1">
        <v>45015</v>
      </c>
      <c r="D44" t="s">
        <v>37</v>
      </c>
      <c r="E44" t="s">
        <v>17</v>
      </c>
      <c r="F44" t="s">
        <v>78</v>
      </c>
      <c r="G44">
        <v>3</v>
      </c>
      <c r="H44">
        <v>106</v>
      </c>
      <c r="I44">
        <v>0</v>
      </c>
      <c r="J44">
        <v>318</v>
      </c>
      <c r="K44">
        <v>63.6</v>
      </c>
      <c r="L44" t="s">
        <v>39</v>
      </c>
      <c r="M44" t="s">
        <v>27</v>
      </c>
      <c r="O44" s="5" t="str">
        <v>C353</v>
      </c>
      <c r="P44" s="5">
        <f t="shared" si="0"/>
        <v>4</v>
      </c>
      <c r="Q44" s="5">
        <f t="shared" si="1"/>
        <v>2507.4</v>
      </c>
    </row>
    <row r="45" spans="1:17" x14ac:dyDescent="0.35">
      <c r="A45" t="s">
        <v>118</v>
      </c>
      <c r="B45" t="s">
        <v>532</v>
      </c>
      <c r="C45" s="1">
        <v>45396</v>
      </c>
      <c r="D45" t="s">
        <v>42</v>
      </c>
      <c r="E45" t="s">
        <v>17</v>
      </c>
      <c r="F45" t="s">
        <v>18</v>
      </c>
      <c r="G45">
        <v>2</v>
      </c>
      <c r="H45">
        <v>248</v>
      </c>
      <c r="I45">
        <v>0.1</v>
      </c>
      <c r="J45">
        <v>446.4</v>
      </c>
      <c r="K45">
        <v>111.6</v>
      </c>
      <c r="L45" t="s">
        <v>19</v>
      </c>
      <c r="M45" t="s">
        <v>20</v>
      </c>
      <c r="O45" s="5" t="str">
        <v>C521</v>
      </c>
      <c r="P45" s="5">
        <f t="shared" si="0"/>
        <v>1</v>
      </c>
      <c r="Q45" s="5">
        <f t="shared" si="1"/>
        <v>824.6</v>
      </c>
    </row>
    <row r="46" spans="1:17" x14ac:dyDescent="0.35">
      <c r="A46" t="s">
        <v>120</v>
      </c>
      <c r="B46" t="s">
        <v>84</v>
      </c>
      <c r="C46" s="1">
        <v>44993</v>
      </c>
      <c r="D46" t="s">
        <v>63</v>
      </c>
      <c r="E46" t="s">
        <v>24</v>
      </c>
      <c r="F46" t="s">
        <v>107</v>
      </c>
      <c r="G46">
        <v>3</v>
      </c>
      <c r="H46">
        <v>171</v>
      </c>
      <c r="I46">
        <v>0</v>
      </c>
      <c r="J46">
        <v>513</v>
      </c>
      <c r="K46">
        <v>102.6</v>
      </c>
      <c r="L46" t="s">
        <v>19</v>
      </c>
      <c r="M46" t="s">
        <v>20</v>
      </c>
      <c r="O46" s="5" t="str">
        <v>C566</v>
      </c>
      <c r="P46" s="5">
        <f t="shared" si="0"/>
        <v>4</v>
      </c>
      <c r="Q46" s="5">
        <f t="shared" si="1"/>
        <v>1128.9000000000001</v>
      </c>
    </row>
    <row r="47" spans="1:17" x14ac:dyDescent="0.35">
      <c r="A47" t="s">
        <v>121</v>
      </c>
      <c r="B47" t="s">
        <v>122</v>
      </c>
      <c r="C47" s="1">
        <v>45854</v>
      </c>
      <c r="D47" t="s">
        <v>16</v>
      </c>
      <c r="E47" t="s">
        <v>24</v>
      </c>
      <c r="F47" t="s">
        <v>49</v>
      </c>
      <c r="G47">
        <v>3</v>
      </c>
      <c r="H47">
        <v>262</v>
      </c>
      <c r="I47">
        <v>0.1</v>
      </c>
      <c r="J47">
        <v>707.4</v>
      </c>
      <c r="K47">
        <v>176.85</v>
      </c>
      <c r="L47" t="s">
        <v>26</v>
      </c>
      <c r="M47" t="s">
        <v>27</v>
      </c>
      <c r="O47" s="5" t="str">
        <v>C453</v>
      </c>
      <c r="P47" s="5">
        <f t="shared" si="0"/>
        <v>2</v>
      </c>
      <c r="Q47" s="5">
        <f t="shared" si="1"/>
        <v>1326</v>
      </c>
    </row>
    <row r="48" spans="1:17" x14ac:dyDescent="0.35">
      <c r="A48" t="s">
        <v>123</v>
      </c>
      <c r="B48" t="s">
        <v>124</v>
      </c>
      <c r="C48" s="1">
        <v>45770</v>
      </c>
      <c r="D48" t="s">
        <v>16</v>
      </c>
      <c r="E48" t="s">
        <v>24</v>
      </c>
      <c r="F48" t="s">
        <v>30</v>
      </c>
      <c r="G48">
        <v>4</v>
      </c>
      <c r="H48">
        <v>217</v>
      </c>
      <c r="I48">
        <v>0.05</v>
      </c>
      <c r="J48">
        <v>824.6</v>
      </c>
      <c r="K48">
        <v>164.92</v>
      </c>
      <c r="L48" t="s">
        <v>39</v>
      </c>
      <c r="M48" t="s">
        <v>27</v>
      </c>
      <c r="O48" s="5" t="str">
        <v>C949</v>
      </c>
      <c r="P48" s="5">
        <f t="shared" si="0"/>
        <v>2</v>
      </c>
      <c r="Q48" s="5">
        <f t="shared" si="1"/>
        <v>611.65</v>
      </c>
    </row>
    <row r="49" spans="1:17" x14ac:dyDescent="0.35">
      <c r="A49" t="s">
        <v>125</v>
      </c>
      <c r="B49" t="s">
        <v>29</v>
      </c>
      <c r="C49" s="1">
        <v>45796</v>
      </c>
      <c r="D49" t="s">
        <v>63</v>
      </c>
      <c r="E49" t="s">
        <v>17</v>
      </c>
      <c r="F49" t="s">
        <v>46</v>
      </c>
      <c r="G49">
        <v>1</v>
      </c>
      <c r="H49">
        <v>297</v>
      </c>
      <c r="I49">
        <v>0</v>
      </c>
      <c r="J49">
        <v>297</v>
      </c>
      <c r="K49">
        <v>59.4</v>
      </c>
      <c r="L49" t="s">
        <v>26</v>
      </c>
      <c r="M49" t="s">
        <v>27</v>
      </c>
      <c r="O49" s="5" t="str">
        <v>C357</v>
      </c>
      <c r="P49" s="5">
        <f t="shared" si="0"/>
        <v>5</v>
      </c>
      <c r="Q49" s="5">
        <f t="shared" si="1"/>
        <v>1902.3999999999999</v>
      </c>
    </row>
    <row r="50" spans="1:17" x14ac:dyDescent="0.35">
      <c r="A50" t="s">
        <v>126</v>
      </c>
      <c r="B50" t="s">
        <v>127</v>
      </c>
      <c r="C50" s="1">
        <v>45000</v>
      </c>
      <c r="D50" t="s">
        <v>63</v>
      </c>
      <c r="E50" t="s">
        <v>33</v>
      </c>
      <c r="F50" t="s">
        <v>71</v>
      </c>
      <c r="G50">
        <v>3</v>
      </c>
      <c r="H50">
        <v>96</v>
      </c>
      <c r="I50">
        <v>0.05</v>
      </c>
      <c r="J50">
        <v>273.60000000000002</v>
      </c>
      <c r="K50">
        <v>82.08</v>
      </c>
      <c r="L50" t="s">
        <v>26</v>
      </c>
      <c r="M50" t="s">
        <v>27</v>
      </c>
      <c r="O50" s="5" t="str">
        <v>C156</v>
      </c>
      <c r="P50" s="5">
        <f t="shared" si="0"/>
        <v>1</v>
      </c>
      <c r="Q50" s="5">
        <f t="shared" si="1"/>
        <v>367.2</v>
      </c>
    </row>
    <row r="51" spans="1:17" x14ac:dyDescent="0.35">
      <c r="A51" t="s">
        <v>128</v>
      </c>
      <c r="B51" t="s">
        <v>129</v>
      </c>
      <c r="C51" s="1">
        <v>45490</v>
      </c>
      <c r="D51" t="s">
        <v>16</v>
      </c>
      <c r="E51" t="s">
        <v>17</v>
      </c>
      <c r="F51" t="s">
        <v>46</v>
      </c>
      <c r="G51">
        <v>4</v>
      </c>
      <c r="H51">
        <v>228</v>
      </c>
      <c r="I51">
        <v>0</v>
      </c>
      <c r="J51">
        <v>912</v>
      </c>
      <c r="K51">
        <v>228</v>
      </c>
      <c r="L51" t="s">
        <v>39</v>
      </c>
      <c r="M51" t="s">
        <v>27</v>
      </c>
      <c r="O51" s="5" t="str">
        <v>C897</v>
      </c>
      <c r="P51" s="5">
        <f t="shared" si="0"/>
        <v>2</v>
      </c>
      <c r="Q51" s="5">
        <f t="shared" si="1"/>
        <v>1062</v>
      </c>
    </row>
    <row r="52" spans="1:17" x14ac:dyDescent="0.35">
      <c r="A52" t="s">
        <v>130</v>
      </c>
      <c r="B52" t="s">
        <v>131</v>
      </c>
      <c r="C52" s="1">
        <v>45460</v>
      </c>
      <c r="D52" t="s">
        <v>42</v>
      </c>
      <c r="E52" t="s">
        <v>17</v>
      </c>
      <c r="F52" t="s">
        <v>46</v>
      </c>
      <c r="G52">
        <v>2</v>
      </c>
      <c r="H52">
        <v>110</v>
      </c>
      <c r="I52">
        <v>0.15</v>
      </c>
      <c r="J52">
        <v>187</v>
      </c>
      <c r="K52">
        <v>37.4</v>
      </c>
      <c r="L52" t="s">
        <v>19</v>
      </c>
      <c r="M52" t="s">
        <v>20</v>
      </c>
      <c r="O52" s="5" t="str">
        <v>C729</v>
      </c>
      <c r="P52" s="5">
        <f t="shared" si="0"/>
        <v>1</v>
      </c>
      <c r="Q52" s="5">
        <f t="shared" si="1"/>
        <v>96.3</v>
      </c>
    </row>
    <row r="53" spans="1:17" x14ac:dyDescent="0.35">
      <c r="A53" t="s">
        <v>132</v>
      </c>
      <c r="B53" t="s">
        <v>133</v>
      </c>
      <c r="C53" s="1">
        <v>44948</v>
      </c>
      <c r="D53" t="s">
        <v>42</v>
      </c>
      <c r="E53" t="s">
        <v>24</v>
      </c>
      <c r="F53" t="s">
        <v>25</v>
      </c>
      <c r="G53">
        <v>1</v>
      </c>
      <c r="H53">
        <v>412</v>
      </c>
      <c r="I53">
        <v>0.1</v>
      </c>
      <c r="J53">
        <v>370.8</v>
      </c>
      <c r="K53">
        <v>92.7</v>
      </c>
      <c r="L53" t="s">
        <v>39</v>
      </c>
      <c r="M53" t="s">
        <v>27</v>
      </c>
      <c r="O53" s="5" t="str">
        <v>C255</v>
      </c>
      <c r="P53" s="5">
        <f t="shared" si="0"/>
        <v>5</v>
      </c>
      <c r="Q53" s="5">
        <f t="shared" si="1"/>
        <v>3286.75</v>
      </c>
    </row>
    <row r="54" spans="1:17" x14ac:dyDescent="0.35">
      <c r="A54" t="s">
        <v>134</v>
      </c>
      <c r="B54" t="s">
        <v>135</v>
      </c>
      <c r="C54" s="1">
        <v>44976</v>
      </c>
      <c r="D54" t="s">
        <v>23</v>
      </c>
      <c r="E54" t="s">
        <v>17</v>
      </c>
      <c r="F54" t="s">
        <v>18</v>
      </c>
      <c r="G54">
        <v>4</v>
      </c>
      <c r="H54">
        <v>108</v>
      </c>
      <c r="I54">
        <v>0.15</v>
      </c>
      <c r="J54">
        <v>367.2</v>
      </c>
      <c r="K54">
        <v>73.44</v>
      </c>
      <c r="L54" t="s">
        <v>26</v>
      </c>
      <c r="M54" t="s">
        <v>27</v>
      </c>
      <c r="O54" s="5" t="str">
        <v>C183</v>
      </c>
      <c r="P54" s="5">
        <f t="shared" si="0"/>
        <v>4</v>
      </c>
      <c r="Q54" s="5">
        <f t="shared" si="1"/>
        <v>3332.55</v>
      </c>
    </row>
    <row r="55" spans="1:17" x14ac:dyDescent="0.35">
      <c r="A55" t="s">
        <v>136</v>
      </c>
      <c r="B55" t="s">
        <v>127</v>
      </c>
      <c r="C55" s="1">
        <v>45691</v>
      </c>
      <c r="D55" t="s">
        <v>37</v>
      </c>
      <c r="E55" t="s">
        <v>24</v>
      </c>
      <c r="F55" t="s">
        <v>107</v>
      </c>
      <c r="G55">
        <v>1</v>
      </c>
      <c r="H55">
        <v>180</v>
      </c>
      <c r="I55">
        <v>0.05</v>
      </c>
      <c r="J55">
        <v>171</v>
      </c>
      <c r="K55">
        <v>42.75</v>
      </c>
      <c r="L55" t="s">
        <v>39</v>
      </c>
      <c r="M55" t="s">
        <v>27</v>
      </c>
      <c r="O55" s="5" t="str">
        <v>C176</v>
      </c>
      <c r="P55" s="5">
        <f t="shared" si="0"/>
        <v>2</v>
      </c>
      <c r="Q55" s="5">
        <f t="shared" si="1"/>
        <v>869.7</v>
      </c>
    </row>
    <row r="56" spans="1:17" x14ac:dyDescent="0.35">
      <c r="A56" t="s">
        <v>137</v>
      </c>
      <c r="B56" t="s">
        <v>138</v>
      </c>
      <c r="C56" s="1">
        <v>45757</v>
      </c>
      <c r="D56" t="s">
        <v>63</v>
      </c>
      <c r="E56" t="s">
        <v>24</v>
      </c>
      <c r="F56" t="s">
        <v>107</v>
      </c>
      <c r="G56">
        <v>2</v>
      </c>
      <c r="H56">
        <v>165</v>
      </c>
      <c r="I56">
        <v>0.1</v>
      </c>
      <c r="J56">
        <v>297</v>
      </c>
      <c r="K56">
        <v>74.25</v>
      </c>
      <c r="L56" t="s">
        <v>26</v>
      </c>
      <c r="M56" t="s">
        <v>20</v>
      </c>
      <c r="O56" s="5" t="str">
        <v>C748</v>
      </c>
      <c r="P56" s="5">
        <f t="shared" si="0"/>
        <v>3</v>
      </c>
      <c r="Q56" s="5">
        <f t="shared" si="1"/>
        <v>1021.65</v>
      </c>
    </row>
    <row r="57" spans="1:17" x14ac:dyDescent="0.35">
      <c r="A57" t="s">
        <v>139</v>
      </c>
      <c r="B57" t="s">
        <v>96</v>
      </c>
      <c r="C57" s="1">
        <v>45832</v>
      </c>
      <c r="D57" t="s">
        <v>63</v>
      </c>
      <c r="E57" t="s">
        <v>24</v>
      </c>
      <c r="F57" t="s">
        <v>30</v>
      </c>
      <c r="G57">
        <v>1</v>
      </c>
      <c r="H57">
        <v>82</v>
      </c>
      <c r="I57">
        <v>0.1</v>
      </c>
      <c r="J57">
        <v>73.8</v>
      </c>
      <c r="K57">
        <v>18.45</v>
      </c>
      <c r="L57" t="s">
        <v>39</v>
      </c>
      <c r="M57" t="s">
        <v>20</v>
      </c>
      <c r="O57" s="5" t="str">
        <v>C488</v>
      </c>
      <c r="P57" s="5">
        <f t="shared" si="0"/>
        <v>1</v>
      </c>
      <c r="Q57" s="5">
        <f t="shared" si="1"/>
        <v>561</v>
      </c>
    </row>
    <row r="58" spans="1:17" x14ac:dyDescent="0.35">
      <c r="A58" t="s">
        <v>140</v>
      </c>
      <c r="B58" t="s">
        <v>141</v>
      </c>
      <c r="C58" s="1">
        <v>45455</v>
      </c>
      <c r="D58" t="s">
        <v>37</v>
      </c>
      <c r="E58" t="s">
        <v>33</v>
      </c>
      <c r="F58" t="s">
        <v>38</v>
      </c>
      <c r="G58">
        <v>1</v>
      </c>
      <c r="H58">
        <v>107</v>
      </c>
      <c r="I58">
        <v>0.1</v>
      </c>
      <c r="J58">
        <v>96.3</v>
      </c>
      <c r="K58">
        <v>24.07</v>
      </c>
      <c r="L58" t="s">
        <v>26</v>
      </c>
      <c r="M58" t="s">
        <v>20</v>
      </c>
      <c r="O58" s="5" t="str">
        <v>C951</v>
      </c>
      <c r="P58" s="5">
        <f t="shared" si="0"/>
        <v>2</v>
      </c>
      <c r="Q58" s="5">
        <f t="shared" si="1"/>
        <v>1077</v>
      </c>
    </row>
    <row r="59" spans="1:17" x14ac:dyDescent="0.35">
      <c r="A59" t="s">
        <v>142</v>
      </c>
      <c r="B59" t="s">
        <v>122</v>
      </c>
      <c r="C59" s="1">
        <v>45750</v>
      </c>
      <c r="D59" t="s">
        <v>63</v>
      </c>
      <c r="E59" t="s">
        <v>33</v>
      </c>
      <c r="F59" t="s">
        <v>43</v>
      </c>
      <c r="G59">
        <v>2</v>
      </c>
      <c r="H59">
        <v>360</v>
      </c>
      <c r="I59">
        <v>0.05</v>
      </c>
      <c r="J59">
        <v>684</v>
      </c>
      <c r="K59">
        <v>205.2</v>
      </c>
      <c r="L59" t="s">
        <v>26</v>
      </c>
      <c r="M59" t="s">
        <v>27</v>
      </c>
      <c r="O59" s="5" t="str">
        <v>C770</v>
      </c>
      <c r="P59" s="5">
        <f t="shared" si="0"/>
        <v>4</v>
      </c>
      <c r="Q59" s="5">
        <f t="shared" si="1"/>
        <v>2694.35</v>
      </c>
    </row>
    <row r="60" spans="1:17" x14ac:dyDescent="0.35">
      <c r="A60" t="s">
        <v>143</v>
      </c>
      <c r="B60" t="s">
        <v>144</v>
      </c>
      <c r="C60" s="1">
        <v>45371</v>
      </c>
      <c r="D60" t="s">
        <v>23</v>
      </c>
      <c r="E60" t="s">
        <v>17</v>
      </c>
      <c r="F60" t="s">
        <v>78</v>
      </c>
      <c r="G60">
        <v>2</v>
      </c>
      <c r="H60">
        <v>356</v>
      </c>
      <c r="I60">
        <v>0</v>
      </c>
      <c r="J60">
        <v>712</v>
      </c>
      <c r="K60">
        <v>178</v>
      </c>
      <c r="L60" t="s">
        <v>19</v>
      </c>
      <c r="M60" t="s">
        <v>27</v>
      </c>
      <c r="O60" s="5" t="str">
        <v>C169</v>
      </c>
      <c r="P60" s="5">
        <f t="shared" si="0"/>
        <v>6</v>
      </c>
      <c r="Q60" s="5">
        <f t="shared" si="1"/>
        <v>3635.6000000000004</v>
      </c>
    </row>
    <row r="61" spans="1:17" x14ac:dyDescent="0.35">
      <c r="A61" t="s">
        <v>145</v>
      </c>
      <c r="B61" t="s">
        <v>146</v>
      </c>
      <c r="C61" s="1">
        <v>44953</v>
      </c>
      <c r="D61" t="s">
        <v>23</v>
      </c>
      <c r="E61" t="s">
        <v>33</v>
      </c>
      <c r="F61" t="s">
        <v>43</v>
      </c>
      <c r="G61">
        <v>3</v>
      </c>
      <c r="H61">
        <v>338</v>
      </c>
      <c r="I61">
        <v>0.05</v>
      </c>
      <c r="J61">
        <v>963.3</v>
      </c>
      <c r="K61">
        <v>240.82</v>
      </c>
      <c r="L61" t="s">
        <v>26</v>
      </c>
      <c r="M61" t="s">
        <v>20</v>
      </c>
      <c r="O61" s="5" t="str">
        <v>C563</v>
      </c>
      <c r="P61" s="5">
        <f t="shared" si="0"/>
        <v>2</v>
      </c>
      <c r="Q61" s="5">
        <f t="shared" si="1"/>
        <v>1141.5</v>
      </c>
    </row>
    <row r="62" spans="1:17" x14ac:dyDescent="0.35">
      <c r="A62" t="s">
        <v>147</v>
      </c>
      <c r="B62" t="s">
        <v>22</v>
      </c>
      <c r="C62" s="1">
        <v>45947</v>
      </c>
      <c r="D62" t="s">
        <v>23</v>
      </c>
      <c r="E62" t="s">
        <v>17</v>
      </c>
      <c r="F62" t="s">
        <v>58</v>
      </c>
      <c r="G62">
        <v>2</v>
      </c>
      <c r="H62">
        <v>391</v>
      </c>
      <c r="I62">
        <v>0.15</v>
      </c>
      <c r="J62">
        <v>664.7</v>
      </c>
      <c r="K62">
        <v>132.94</v>
      </c>
      <c r="L62" t="s">
        <v>26</v>
      </c>
      <c r="M62" t="s">
        <v>27</v>
      </c>
      <c r="O62" s="5" t="str">
        <v>C906</v>
      </c>
      <c r="P62" s="5">
        <f t="shared" si="0"/>
        <v>5</v>
      </c>
      <c r="Q62" s="5">
        <f t="shared" si="1"/>
        <v>3827.2000000000003</v>
      </c>
    </row>
    <row r="63" spans="1:17" x14ac:dyDescent="0.35">
      <c r="A63" t="s">
        <v>148</v>
      </c>
      <c r="B63" t="s">
        <v>60</v>
      </c>
      <c r="C63" s="1">
        <v>45122</v>
      </c>
      <c r="D63" t="s">
        <v>63</v>
      </c>
      <c r="E63" t="s">
        <v>33</v>
      </c>
      <c r="F63" t="s">
        <v>66</v>
      </c>
      <c r="G63">
        <v>4</v>
      </c>
      <c r="H63">
        <v>421</v>
      </c>
      <c r="I63">
        <v>0.05</v>
      </c>
      <c r="J63">
        <v>1599.8</v>
      </c>
      <c r="K63">
        <v>319.95999999999998</v>
      </c>
      <c r="L63" t="s">
        <v>19</v>
      </c>
      <c r="M63" t="s">
        <v>27</v>
      </c>
      <c r="O63" s="5" t="str">
        <v>C428</v>
      </c>
      <c r="P63" s="5">
        <f t="shared" si="0"/>
        <v>1</v>
      </c>
      <c r="Q63" s="5">
        <f t="shared" si="1"/>
        <v>1120.5</v>
      </c>
    </row>
    <row r="64" spans="1:17" x14ac:dyDescent="0.35">
      <c r="A64" t="s">
        <v>149</v>
      </c>
      <c r="B64" t="s">
        <v>150</v>
      </c>
      <c r="C64" s="1">
        <v>45046</v>
      </c>
      <c r="D64" t="s">
        <v>37</v>
      </c>
      <c r="E64" t="s">
        <v>33</v>
      </c>
      <c r="F64" t="s">
        <v>43</v>
      </c>
      <c r="G64">
        <v>4</v>
      </c>
      <c r="H64">
        <v>87</v>
      </c>
      <c r="I64">
        <v>0.15</v>
      </c>
      <c r="J64">
        <v>295.8</v>
      </c>
      <c r="K64">
        <v>59.16</v>
      </c>
      <c r="L64" t="s">
        <v>39</v>
      </c>
      <c r="M64" t="s">
        <v>20</v>
      </c>
      <c r="O64" s="5" t="str">
        <v>C647</v>
      </c>
      <c r="P64" s="5">
        <f t="shared" si="0"/>
        <v>4</v>
      </c>
      <c r="Q64" s="5">
        <f t="shared" si="1"/>
        <v>2860.2</v>
      </c>
    </row>
    <row r="65" spans="1:17" x14ac:dyDescent="0.35">
      <c r="A65" t="s">
        <v>151</v>
      </c>
      <c r="B65" t="s">
        <v>77</v>
      </c>
      <c r="C65" s="1">
        <v>46004</v>
      </c>
      <c r="D65" t="s">
        <v>37</v>
      </c>
      <c r="E65" t="s">
        <v>17</v>
      </c>
      <c r="F65" t="s">
        <v>78</v>
      </c>
      <c r="G65">
        <v>4</v>
      </c>
      <c r="H65">
        <v>226</v>
      </c>
      <c r="I65">
        <v>0.15</v>
      </c>
      <c r="J65">
        <v>768.4</v>
      </c>
      <c r="K65">
        <v>230.52</v>
      </c>
      <c r="L65" t="s">
        <v>19</v>
      </c>
      <c r="M65" t="s">
        <v>20</v>
      </c>
      <c r="O65" s="5" t="str">
        <v>C189</v>
      </c>
      <c r="P65" s="5">
        <f t="shared" si="0"/>
        <v>1</v>
      </c>
      <c r="Q65" s="5">
        <f t="shared" si="1"/>
        <v>588</v>
      </c>
    </row>
    <row r="66" spans="1:17" x14ac:dyDescent="0.35">
      <c r="A66" t="s">
        <v>152</v>
      </c>
      <c r="B66" t="s">
        <v>62</v>
      </c>
      <c r="C66" s="1">
        <v>45965</v>
      </c>
      <c r="D66" t="s">
        <v>42</v>
      </c>
      <c r="E66" t="s">
        <v>17</v>
      </c>
      <c r="F66" t="s">
        <v>58</v>
      </c>
      <c r="G66">
        <v>4</v>
      </c>
      <c r="H66">
        <v>165</v>
      </c>
      <c r="I66">
        <v>0.15</v>
      </c>
      <c r="J66">
        <v>561</v>
      </c>
      <c r="K66">
        <v>112.2</v>
      </c>
      <c r="L66" t="s">
        <v>39</v>
      </c>
      <c r="M66" t="s">
        <v>20</v>
      </c>
      <c r="O66" s="5" t="str">
        <v>C172</v>
      </c>
      <c r="P66" s="5">
        <f t="shared" si="0"/>
        <v>1</v>
      </c>
      <c r="Q66" s="5">
        <f t="shared" si="1"/>
        <v>332.35</v>
      </c>
    </row>
    <row r="67" spans="1:17" x14ac:dyDescent="0.35">
      <c r="A67" t="s">
        <v>153</v>
      </c>
      <c r="B67" t="s">
        <v>154</v>
      </c>
      <c r="C67" s="1">
        <v>45680</v>
      </c>
      <c r="D67" t="s">
        <v>42</v>
      </c>
      <c r="E67" t="s">
        <v>24</v>
      </c>
      <c r="F67" t="s">
        <v>25</v>
      </c>
      <c r="G67">
        <v>2</v>
      </c>
      <c r="H67">
        <v>420</v>
      </c>
      <c r="I67">
        <v>0.05</v>
      </c>
      <c r="J67">
        <v>798</v>
      </c>
      <c r="K67">
        <v>159.6</v>
      </c>
      <c r="L67" t="s">
        <v>39</v>
      </c>
      <c r="M67" t="s">
        <v>27</v>
      </c>
      <c r="O67" s="5" t="str">
        <v>C551</v>
      </c>
      <c r="P67" s="5">
        <f t="shared" ref="P67:P130" si="2">COUNTIF($B$2:$B$351,O67)</f>
        <v>4</v>
      </c>
      <c r="Q67" s="5">
        <f t="shared" ref="Q67:Q130" si="3">SUMIF($B$2:$B$351,O67,$J$2:$J$351)</f>
        <v>2263.85</v>
      </c>
    </row>
    <row r="68" spans="1:17" x14ac:dyDescent="0.35">
      <c r="A68" t="s">
        <v>155</v>
      </c>
      <c r="B68" t="s">
        <v>156</v>
      </c>
      <c r="C68" s="1">
        <v>45122</v>
      </c>
      <c r="D68" t="s">
        <v>23</v>
      </c>
      <c r="E68" t="s">
        <v>33</v>
      </c>
      <c r="F68" t="s">
        <v>38</v>
      </c>
      <c r="G68">
        <v>4</v>
      </c>
      <c r="H68">
        <v>222</v>
      </c>
      <c r="I68">
        <v>0</v>
      </c>
      <c r="J68">
        <v>888</v>
      </c>
      <c r="K68">
        <v>266.39999999999998</v>
      </c>
      <c r="L68" t="s">
        <v>26</v>
      </c>
      <c r="M68" t="s">
        <v>27</v>
      </c>
      <c r="O68" s="5" t="str">
        <v>C408</v>
      </c>
      <c r="P68" s="5">
        <f t="shared" si="2"/>
        <v>10</v>
      </c>
      <c r="Q68" s="5">
        <f t="shared" si="3"/>
        <v>7749.35</v>
      </c>
    </row>
    <row r="69" spans="1:17" x14ac:dyDescent="0.35">
      <c r="A69" t="s">
        <v>157</v>
      </c>
      <c r="B69" t="s">
        <v>90</v>
      </c>
      <c r="C69" s="1">
        <v>45123</v>
      </c>
      <c r="D69" t="s">
        <v>63</v>
      </c>
      <c r="E69" t="s">
        <v>17</v>
      </c>
      <c r="F69" t="s">
        <v>46</v>
      </c>
      <c r="G69">
        <v>2</v>
      </c>
      <c r="H69">
        <v>174</v>
      </c>
      <c r="I69">
        <v>0</v>
      </c>
      <c r="J69">
        <v>348</v>
      </c>
      <c r="K69">
        <v>87</v>
      </c>
      <c r="L69" t="s">
        <v>39</v>
      </c>
      <c r="M69" t="s">
        <v>20</v>
      </c>
      <c r="O69" s="5" t="str">
        <v>C152</v>
      </c>
      <c r="P69" s="5">
        <f t="shared" si="2"/>
        <v>1</v>
      </c>
      <c r="Q69" s="5">
        <f t="shared" si="3"/>
        <v>785.4</v>
      </c>
    </row>
    <row r="70" spans="1:17" x14ac:dyDescent="0.35">
      <c r="A70" t="s">
        <v>158</v>
      </c>
      <c r="B70" t="s">
        <v>159</v>
      </c>
      <c r="C70" s="1">
        <v>45207</v>
      </c>
      <c r="D70" t="s">
        <v>16</v>
      </c>
      <c r="E70" t="s">
        <v>24</v>
      </c>
      <c r="F70" t="s">
        <v>49</v>
      </c>
      <c r="G70">
        <v>1</v>
      </c>
      <c r="H70">
        <v>311</v>
      </c>
      <c r="I70">
        <v>0</v>
      </c>
      <c r="J70">
        <v>311</v>
      </c>
      <c r="K70">
        <v>77.75</v>
      </c>
      <c r="L70" t="s">
        <v>19</v>
      </c>
      <c r="M70" t="s">
        <v>27</v>
      </c>
      <c r="O70" s="5" t="str">
        <v>C756</v>
      </c>
      <c r="P70" s="5">
        <f t="shared" si="2"/>
        <v>4</v>
      </c>
      <c r="Q70" s="5">
        <f t="shared" si="3"/>
        <v>1806.75</v>
      </c>
    </row>
    <row r="71" spans="1:17" x14ac:dyDescent="0.35">
      <c r="A71" t="s">
        <v>160</v>
      </c>
      <c r="B71" t="s">
        <v>65</v>
      </c>
      <c r="C71" s="1">
        <v>45900</v>
      </c>
      <c r="D71" t="s">
        <v>37</v>
      </c>
      <c r="E71" t="s">
        <v>33</v>
      </c>
      <c r="F71" t="s">
        <v>38</v>
      </c>
      <c r="G71">
        <v>1</v>
      </c>
      <c r="H71">
        <v>384</v>
      </c>
      <c r="I71">
        <v>0.15</v>
      </c>
      <c r="J71">
        <v>326.39999999999998</v>
      </c>
      <c r="K71">
        <v>65.28</v>
      </c>
      <c r="L71" t="s">
        <v>19</v>
      </c>
      <c r="M71" t="s">
        <v>20</v>
      </c>
      <c r="O71" s="5" t="str">
        <v>C919</v>
      </c>
      <c r="P71" s="5">
        <f t="shared" si="2"/>
        <v>3</v>
      </c>
      <c r="Q71" s="5">
        <f t="shared" si="3"/>
        <v>1728.4499999999998</v>
      </c>
    </row>
    <row r="72" spans="1:17" x14ac:dyDescent="0.35">
      <c r="A72" t="s">
        <v>161</v>
      </c>
      <c r="B72" t="s">
        <v>162</v>
      </c>
      <c r="C72" s="1">
        <v>45879</v>
      </c>
      <c r="D72" t="s">
        <v>37</v>
      </c>
      <c r="E72" t="s">
        <v>17</v>
      </c>
      <c r="F72" t="s">
        <v>18</v>
      </c>
      <c r="G72">
        <v>3</v>
      </c>
      <c r="H72">
        <v>429</v>
      </c>
      <c r="I72">
        <v>0.1</v>
      </c>
      <c r="J72">
        <v>1158.3</v>
      </c>
      <c r="K72">
        <v>347.49</v>
      </c>
      <c r="L72" t="s">
        <v>26</v>
      </c>
      <c r="M72" t="s">
        <v>20</v>
      </c>
      <c r="O72" s="5" t="str">
        <v>C882</v>
      </c>
      <c r="P72" s="5">
        <f t="shared" si="2"/>
        <v>2</v>
      </c>
      <c r="Q72" s="5">
        <f t="shared" si="3"/>
        <v>1136</v>
      </c>
    </row>
    <row r="73" spans="1:17" x14ac:dyDescent="0.35">
      <c r="A73" t="s">
        <v>163</v>
      </c>
      <c r="B73" t="s">
        <v>15</v>
      </c>
      <c r="C73" s="1">
        <v>45192</v>
      </c>
      <c r="D73" t="s">
        <v>42</v>
      </c>
      <c r="E73" t="s">
        <v>33</v>
      </c>
      <c r="F73" t="s">
        <v>34</v>
      </c>
      <c r="G73">
        <v>3</v>
      </c>
      <c r="H73">
        <v>415</v>
      </c>
      <c r="I73">
        <v>0.1</v>
      </c>
      <c r="J73">
        <v>1120.5</v>
      </c>
      <c r="K73">
        <v>280.12</v>
      </c>
      <c r="L73" t="s">
        <v>39</v>
      </c>
      <c r="M73" t="s">
        <v>20</v>
      </c>
      <c r="O73" s="5" t="str">
        <v>C734</v>
      </c>
      <c r="P73" s="5">
        <f t="shared" si="2"/>
        <v>6</v>
      </c>
      <c r="Q73" s="5">
        <f t="shared" si="3"/>
        <v>3227.85</v>
      </c>
    </row>
    <row r="74" spans="1:17" x14ac:dyDescent="0.35">
      <c r="A74" t="s">
        <v>164</v>
      </c>
      <c r="B74" t="s">
        <v>60</v>
      </c>
      <c r="C74" s="1">
        <v>45673</v>
      </c>
      <c r="D74" t="s">
        <v>63</v>
      </c>
      <c r="E74" t="s">
        <v>33</v>
      </c>
      <c r="F74" t="s">
        <v>43</v>
      </c>
      <c r="G74">
        <v>3</v>
      </c>
      <c r="H74">
        <v>369</v>
      </c>
      <c r="I74">
        <v>0.05</v>
      </c>
      <c r="J74">
        <v>1051.6500000000001</v>
      </c>
      <c r="K74">
        <v>315.49</v>
      </c>
      <c r="L74" t="s">
        <v>39</v>
      </c>
      <c r="M74" t="s">
        <v>20</v>
      </c>
      <c r="O74" s="5" t="str">
        <v>C554</v>
      </c>
      <c r="P74" s="5">
        <f t="shared" si="2"/>
        <v>3</v>
      </c>
      <c r="Q74" s="5">
        <f t="shared" si="3"/>
        <v>2419.3000000000002</v>
      </c>
    </row>
    <row r="75" spans="1:17" x14ac:dyDescent="0.35">
      <c r="A75" t="s">
        <v>165</v>
      </c>
      <c r="B75" t="s">
        <v>166</v>
      </c>
      <c r="C75" s="1">
        <v>44999</v>
      </c>
      <c r="D75" t="s">
        <v>63</v>
      </c>
      <c r="E75" t="s">
        <v>33</v>
      </c>
      <c r="F75" t="s">
        <v>66</v>
      </c>
      <c r="G75">
        <v>2</v>
      </c>
      <c r="H75">
        <v>336</v>
      </c>
      <c r="I75">
        <v>0.15</v>
      </c>
      <c r="J75">
        <v>571.20000000000005</v>
      </c>
      <c r="K75">
        <v>142.80000000000001</v>
      </c>
      <c r="L75" t="s">
        <v>26</v>
      </c>
      <c r="M75" t="s">
        <v>27</v>
      </c>
      <c r="O75" s="5" t="str">
        <v>C764</v>
      </c>
      <c r="P75" s="5">
        <f t="shared" si="2"/>
        <v>2</v>
      </c>
      <c r="Q75" s="5">
        <f t="shared" si="3"/>
        <v>751.7</v>
      </c>
    </row>
    <row r="76" spans="1:17" x14ac:dyDescent="0.35">
      <c r="A76" t="s">
        <v>167</v>
      </c>
      <c r="B76" t="s">
        <v>162</v>
      </c>
      <c r="C76" s="1">
        <v>45196</v>
      </c>
      <c r="D76" t="s">
        <v>23</v>
      </c>
      <c r="E76" t="s">
        <v>33</v>
      </c>
      <c r="F76" t="s">
        <v>34</v>
      </c>
      <c r="G76">
        <v>4</v>
      </c>
      <c r="H76">
        <v>332</v>
      </c>
      <c r="I76">
        <v>0.1</v>
      </c>
      <c r="J76">
        <v>1195.2</v>
      </c>
      <c r="K76">
        <v>239.04</v>
      </c>
      <c r="L76" t="s">
        <v>39</v>
      </c>
      <c r="M76" t="s">
        <v>20</v>
      </c>
      <c r="O76" s="5" t="str">
        <v>C641</v>
      </c>
      <c r="P76" s="5">
        <f t="shared" si="2"/>
        <v>2</v>
      </c>
      <c r="Q76" s="5">
        <f t="shared" si="3"/>
        <v>917.59999999999991</v>
      </c>
    </row>
    <row r="77" spans="1:17" x14ac:dyDescent="0.35">
      <c r="A77" t="s">
        <v>168</v>
      </c>
      <c r="B77" t="s">
        <v>169</v>
      </c>
      <c r="C77" s="1">
        <v>44979</v>
      </c>
      <c r="D77" t="s">
        <v>37</v>
      </c>
      <c r="E77" t="s">
        <v>33</v>
      </c>
      <c r="F77" t="s">
        <v>34</v>
      </c>
      <c r="G77">
        <v>3</v>
      </c>
      <c r="H77">
        <v>196</v>
      </c>
      <c r="I77">
        <v>0</v>
      </c>
      <c r="J77">
        <v>588</v>
      </c>
      <c r="K77">
        <v>117.6</v>
      </c>
      <c r="L77" t="s">
        <v>39</v>
      </c>
      <c r="M77" t="s">
        <v>20</v>
      </c>
      <c r="O77" s="5" t="str">
        <v>C763</v>
      </c>
      <c r="P77" s="5">
        <f t="shared" si="2"/>
        <v>6</v>
      </c>
      <c r="Q77" s="5">
        <f t="shared" si="3"/>
        <v>4495.1499999999996</v>
      </c>
    </row>
    <row r="78" spans="1:17" x14ac:dyDescent="0.35">
      <c r="A78" t="s">
        <v>170</v>
      </c>
      <c r="B78" t="s">
        <v>127</v>
      </c>
      <c r="C78" s="1">
        <v>45737</v>
      </c>
      <c r="D78" t="s">
        <v>23</v>
      </c>
      <c r="E78" t="s">
        <v>17</v>
      </c>
      <c r="F78" t="s">
        <v>78</v>
      </c>
      <c r="G78">
        <v>2</v>
      </c>
      <c r="H78">
        <v>103</v>
      </c>
      <c r="I78">
        <v>0.15</v>
      </c>
      <c r="J78">
        <v>175.1</v>
      </c>
      <c r="K78">
        <v>52.53</v>
      </c>
      <c r="L78" t="s">
        <v>26</v>
      </c>
      <c r="M78" t="s">
        <v>27</v>
      </c>
      <c r="O78" s="5" t="str">
        <v>C555</v>
      </c>
      <c r="P78" s="5">
        <f t="shared" si="2"/>
        <v>6</v>
      </c>
      <c r="Q78" s="5">
        <f t="shared" si="3"/>
        <v>2852.45</v>
      </c>
    </row>
    <row r="79" spans="1:17" x14ac:dyDescent="0.35">
      <c r="A79" t="s">
        <v>171</v>
      </c>
      <c r="B79" t="s">
        <v>172</v>
      </c>
      <c r="C79" s="1">
        <v>45717</v>
      </c>
      <c r="D79" t="s">
        <v>37</v>
      </c>
      <c r="E79" t="s">
        <v>24</v>
      </c>
      <c r="F79" t="s">
        <v>30</v>
      </c>
      <c r="G79">
        <v>1</v>
      </c>
      <c r="H79">
        <v>391</v>
      </c>
      <c r="I79">
        <v>0.15</v>
      </c>
      <c r="J79">
        <v>332.35</v>
      </c>
      <c r="K79">
        <v>99.7</v>
      </c>
      <c r="L79" t="s">
        <v>39</v>
      </c>
      <c r="M79" t="s">
        <v>27</v>
      </c>
      <c r="O79" s="5" t="str">
        <v>C703</v>
      </c>
      <c r="P79" s="5">
        <f t="shared" si="2"/>
        <v>4</v>
      </c>
      <c r="Q79" s="5">
        <f t="shared" si="3"/>
        <v>2823.1</v>
      </c>
    </row>
    <row r="80" spans="1:17" x14ac:dyDescent="0.35">
      <c r="A80" t="s">
        <v>173</v>
      </c>
      <c r="B80" t="s">
        <v>174</v>
      </c>
      <c r="C80" s="1">
        <v>45896</v>
      </c>
      <c r="D80" t="s">
        <v>42</v>
      </c>
      <c r="E80" t="s">
        <v>17</v>
      </c>
      <c r="F80" t="s">
        <v>46</v>
      </c>
      <c r="G80">
        <v>4</v>
      </c>
      <c r="H80">
        <v>176</v>
      </c>
      <c r="I80">
        <v>0.15</v>
      </c>
      <c r="J80">
        <v>598.4</v>
      </c>
      <c r="K80">
        <v>149.6</v>
      </c>
      <c r="L80" t="s">
        <v>19</v>
      </c>
      <c r="M80" t="s">
        <v>20</v>
      </c>
      <c r="O80" s="5" t="str">
        <v>C836</v>
      </c>
      <c r="P80" s="5">
        <f t="shared" si="2"/>
        <v>2</v>
      </c>
      <c r="Q80" s="5">
        <f t="shared" si="3"/>
        <v>1047.5</v>
      </c>
    </row>
    <row r="81" spans="1:17" x14ac:dyDescent="0.35">
      <c r="A81" t="s">
        <v>175</v>
      </c>
      <c r="B81" t="s">
        <v>176</v>
      </c>
      <c r="C81" s="1">
        <v>44947</v>
      </c>
      <c r="D81" t="s">
        <v>23</v>
      </c>
      <c r="E81" t="s">
        <v>33</v>
      </c>
      <c r="F81" t="s">
        <v>43</v>
      </c>
      <c r="G81">
        <v>4</v>
      </c>
      <c r="H81">
        <v>110</v>
      </c>
      <c r="I81">
        <v>0.15</v>
      </c>
      <c r="J81">
        <v>374</v>
      </c>
      <c r="K81">
        <v>93.5</v>
      </c>
      <c r="L81" t="s">
        <v>26</v>
      </c>
      <c r="M81" t="s">
        <v>20</v>
      </c>
      <c r="O81" s="5" t="str">
        <v>C677</v>
      </c>
      <c r="P81" s="5">
        <f t="shared" si="2"/>
        <v>4</v>
      </c>
      <c r="Q81" s="5">
        <f t="shared" si="3"/>
        <v>3501</v>
      </c>
    </row>
    <row r="82" spans="1:17" x14ac:dyDescent="0.35">
      <c r="A82" t="s">
        <v>177</v>
      </c>
      <c r="B82" t="s">
        <v>178</v>
      </c>
      <c r="C82" s="1">
        <v>45879</v>
      </c>
      <c r="D82" t="s">
        <v>16</v>
      </c>
      <c r="E82" t="s">
        <v>24</v>
      </c>
      <c r="F82" t="s">
        <v>30</v>
      </c>
      <c r="G82">
        <v>3</v>
      </c>
      <c r="H82">
        <v>308</v>
      </c>
      <c r="I82">
        <v>0.15</v>
      </c>
      <c r="J82">
        <v>785.4</v>
      </c>
      <c r="K82">
        <v>157.08000000000001</v>
      </c>
      <c r="L82" t="s">
        <v>39</v>
      </c>
      <c r="M82" t="s">
        <v>20</v>
      </c>
      <c r="O82" s="5" t="str">
        <v>C379</v>
      </c>
      <c r="P82" s="5">
        <f t="shared" si="2"/>
        <v>1</v>
      </c>
      <c r="Q82" s="5">
        <f t="shared" si="3"/>
        <v>188.7</v>
      </c>
    </row>
    <row r="83" spans="1:17" x14ac:dyDescent="0.35">
      <c r="A83" t="s">
        <v>179</v>
      </c>
      <c r="B83" t="s">
        <v>180</v>
      </c>
      <c r="C83" s="1">
        <v>45927</v>
      </c>
      <c r="D83" t="s">
        <v>37</v>
      </c>
      <c r="E83" t="s">
        <v>24</v>
      </c>
      <c r="F83" t="s">
        <v>107</v>
      </c>
      <c r="G83">
        <v>1</v>
      </c>
      <c r="H83">
        <v>242</v>
      </c>
      <c r="I83">
        <v>0.05</v>
      </c>
      <c r="J83">
        <v>229.9</v>
      </c>
      <c r="K83">
        <v>57.47</v>
      </c>
      <c r="L83" t="s">
        <v>19</v>
      </c>
      <c r="M83" t="s">
        <v>20</v>
      </c>
      <c r="O83" s="5" t="str">
        <v>C237</v>
      </c>
      <c r="P83" s="5">
        <f t="shared" si="2"/>
        <v>1</v>
      </c>
      <c r="Q83" s="5">
        <f t="shared" si="3"/>
        <v>454</v>
      </c>
    </row>
    <row r="84" spans="1:17" x14ac:dyDescent="0.35">
      <c r="A84" t="s">
        <v>181</v>
      </c>
      <c r="B84" t="s">
        <v>176</v>
      </c>
      <c r="C84" s="1">
        <v>45386</v>
      </c>
      <c r="D84" t="s">
        <v>63</v>
      </c>
      <c r="E84" t="s">
        <v>33</v>
      </c>
      <c r="F84" t="s">
        <v>71</v>
      </c>
      <c r="G84">
        <v>3</v>
      </c>
      <c r="H84">
        <v>209</v>
      </c>
      <c r="I84">
        <v>0.15</v>
      </c>
      <c r="J84">
        <v>532.95000000000005</v>
      </c>
      <c r="K84">
        <v>133.24</v>
      </c>
      <c r="L84" t="s">
        <v>19</v>
      </c>
      <c r="M84" t="s">
        <v>27</v>
      </c>
      <c r="O84" s="5" t="str">
        <v>C773</v>
      </c>
      <c r="P84" s="5">
        <f t="shared" si="2"/>
        <v>3</v>
      </c>
      <c r="Q84" s="5">
        <f t="shared" si="3"/>
        <v>1528.6</v>
      </c>
    </row>
    <row r="85" spans="1:17" x14ac:dyDescent="0.35">
      <c r="A85" t="s">
        <v>182</v>
      </c>
      <c r="B85" t="s">
        <v>183</v>
      </c>
      <c r="C85" s="1">
        <v>44985</v>
      </c>
      <c r="D85" t="s">
        <v>16</v>
      </c>
      <c r="E85" t="s">
        <v>33</v>
      </c>
      <c r="F85" t="s">
        <v>66</v>
      </c>
      <c r="G85">
        <v>3</v>
      </c>
      <c r="H85">
        <v>303</v>
      </c>
      <c r="I85">
        <v>0.1</v>
      </c>
      <c r="J85">
        <v>818.1</v>
      </c>
      <c r="K85">
        <v>204.53</v>
      </c>
      <c r="L85" t="s">
        <v>39</v>
      </c>
      <c r="M85" t="s">
        <v>27</v>
      </c>
      <c r="O85" s="5" t="str">
        <v>C994</v>
      </c>
      <c r="P85" s="5">
        <f t="shared" si="2"/>
        <v>2</v>
      </c>
      <c r="Q85" s="5">
        <f t="shared" si="3"/>
        <v>605.20000000000005</v>
      </c>
    </row>
    <row r="86" spans="1:17" x14ac:dyDescent="0.35">
      <c r="A86" t="s">
        <v>184</v>
      </c>
      <c r="B86" t="s">
        <v>185</v>
      </c>
      <c r="C86" s="1">
        <v>45639</v>
      </c>
      <c r="D86" t="s">
        <v>16</v>
      </c>
      <c r="E86" t="s">
        <v>17</v>
      </c>
      <c r="F86" t="s">
        <v>18</v>
      </c>
      <c r="G86">
        <v>4</v>
      </c>
      <c r="H86">
        <v>257</v>
      </c>
      <c r="I86">
        <v>0</v>
      </c>
      <c r="J86">
        <v>1028</v>
      </c>
      <c r="K86">
        <v>257</v>
      </c>
      <c r="L86" t="s">
        <v>39</v>
      </c>
      <c r="M86" t="s">
        <v>27</v>
      </c>
      <c r="O86" s="5" t="str">
        <v>C732</v>
      </c>
      <c r="P86" s="5">
        <f t="shared" si="2"/>
        <v>2</v>
      </c>
      <c r="Q86" s="5">
        <f t="shared" si="3"/>
        <v>2141.3000000000002</v>
      </c>
    </row>
    <row r="87" spans="1:17" x14ac:dyDescent="0.35">
      <c r="A87" t="s">
        <v>186</v>
      </c>
      <c r="B87" t="s">
        <v>187</v>
      </c>
      <c r="C87" s="1">
        <v>45502</v>
      </c>
      <c r="D87" t="s">
        <v>42</v>
      </c>
      <c r="E87" t="s">
        <v>33</v>
      </c>
      <c r="F87" t="s">
        <v>43</v>
      </c>
      <c r="G87">
        <v>1</v>
      </c>
      <c r="H87">
        <v>401</v>
      </c>
      <c r="I87">
        <v>0.15</v>
      </c>
      <c r="J87">
        <v>340.85</v>
      </c>
      <c r="K87">
        <v>68.17</v>
      </c>
      <c r="L87" t="s">
        <v>19</v>
      </c>
      <c r="M87" t="s">
        <v>27</v>
      </c>
      <c r="O87" s="5" t="str">
        <v>C273</v>
      </c>
      <c r="P87" s="5">
        <f t="shared" si="2"/>
        <v>5</v>
      </c>
      <c r="Q87" s="5">
        <f t="shared" si="3"/>
        <v>2518.1999999999998</v>
      </c>
    </row>
    <row r="88" spans="1:17" x14ac:dyDescent="0.35">
      <c r="A88" t="s">
        <v>188</v>
      </c>
      <c r="B88" t="s">
        <v>189</v>
      </c>
      <c r="C88" s="1">
        <v>45067</v>
      </c>
      <c r="D88" t="s">
        <v>63</v>
      </c>
      <c r="E88" t="s">
        <v>24</v>
      </c>
      <c r="F88" t="s">
        <v>25</v>
      </c>
      <c r="G88">
        <v>3</v>
      </c>
      <c r="H88">
        <v>314</v>
      </c>
      <c r="I88">
        <v>0.15</v>
      </c>
      <c r="J88">
        <v>800.7</v>
      </c>
      <c r="K88">
        <v>200.17</v>
      </c>
      <c r="L88" t="s">
        <v>19</v>
      </c>
      <c r="M88" t="s">
        <v>27</v>
      </c>
      <c r="O88" s="5" t="str">
        <v>C560</v>
      </c>
      <c r="P88" s="5">
        <f t="shared" si="2"/>
        <v>2</v>
      </c>
      <c r="Q88" s="5">
        <f t="shared" si="3"/>
        <v>1036.55</v>
      </c>
    </row>
    <row r="89" spans="1:17" x14ac:dyDescent="0.35">
      <c r="A89" t="s">
        <v>190</v>
      </c>
      <c r="B89" t="s">
        <v>75</v>
      </c>
      <c r="C89" s="1">
        <v>45035</v>
      </c>
      <c r="D89" t="s">
        <v>63</v>
      </c>
      <c r="E89" t="s">
        <v>24</v>
      </c>
      <c r="F89" t="s">
        <v>25</v>
      </c>
      <c r="G89">
        <v>4</v>
      </c>
      <c r="H89">
        <v>85</v>
      </c>
      <c r="I89">
        <v>0.15</v>
      </c>
      <c r="J89">
        <v>289</v>
      </c>
      <c r="K89">
        <v>57.8</v>
      </c>
      <c r="L89" t="s">
        <v>19</v>
      </c>
      <c r="M89" t="s">
        <v>27</v>
      </c>
      <c r="O89" s="5" t="str">
        <v>C490</v>
      </c>
      <c r="P89" s="5">
        <f t="shared" si="2"/>
        <v>3</v>
      </c>
      <c r="Q89" s="5">
        <f t="shared" si="3"/>
        <v>1850.8999999999999</v>
      </c>
    </row>
    <row r="90" spans="1:17" x14ac:dyDescent="0.35">
      <c r="A90" t="s">
        <v>191</v>
      </c>
      <c r="B90" t="s">
        <v>22</v>
      </c>
      <c r="C90" s="1">
        <v>45305</v>
      </c>
      <c r="D90" t="s">
        <v>23</v>
      </c>
      <c r="E90" t="s">
        <v>33</v>
      </c>
      <c r="F90" t="s">
        <v>38</v>
      </c>
      <c r="G90">
        <v>1</v>
      </c>
      <c r="H90">
        <v>205</v>
      </c>
      <c r="I90">
        <v>0</v>
      </c>
      <c r="J90">
        <v>205</v>
      </c>
      <c r="K90">
        <v>41</v>
      </c>
      <c r="L90" t="s">
        <v>26</v>
      </c>
      <c r="M90" t="s">
        <v>27</v>
      </c>
      <c r="O90" s="5" t="str">
        <v>C628</v>
      </c>
      <c r="P90" s="5">
        <f t="shared" si="2"/>
        <v>2</v>
      </c>
      <c r="Q90" s="5">
        <f t="shared" si="3"/>
        <v>320.14999999999998</v>
      </c>
    </row>
    <row r="91" spans="1:17" x14ac:dyDescent="0.35">
      <c r="A91" t="s">
        <v>192</v>
      </c>
      <c r="B91" t="s">
        <v>133</v>
      </c>
      <c r="C91" s="1">
        <v>45404</v>
      </c>
      <c r="D91" t="s">
        <v>42</v>
      </c>
      <c r="E91" t="s">
        <v>24</v>
      </c>
      <c r="F91" t="s">
        <v>107</v>
      </c>
      <c r="G91">
        <v>4</v>
      </c>
      <c r="H91">
        <v>200</v>
      </c>
      <c r="I91">
        <v>0.05</v>
      </c>
      <c r="J91">
        <v>760</v>
      </c>
      <c r="K91">
        <v>190</v>
      </c>
      <c r="L91" t="s">
        <v>39</v>
      </c>
      <c r="M91" t="s">
        <v>20</v>
      </c>
      <c r="O91" s="5" t="str">
        <v>C464</v>
      </c>
      <c r="P91" s="5">
        <f t="shared" si="2"/>
        <v>3</v>
      </c>
      <c r="Q91" s="5">
        <f t="shared" si="3"/>
        <v>1297.5</v>
      </c>
    </row>
    <row r="92" spans="1:17" x14ac:dyDescent="0.35">
      <c r="A92" t="s">
        <v>193</v>
      </c>
      <c r="B92" t="s">
        <v>70</v>
      </c>
      <c r="C92" s="1">
        <v>45629</v>
      </c>
      <c r="D92" t="s">
        <v>63</v>
      </c>
      <c r="E92" t="s">
        <v>17</v>
      </c>
      <c r="F92" t="s">
        <v>78</v>
      </c>
      <c r="G92">
        <v>3</v>
      </c>
      <c r="H92">
        <v>316</v>
      </c>
      <c r="I92">
        <v>0</v>
      </c>
      <c r="J92">
        <v>948</v>
      </c>
      <c r="K92">
        <v>284.39999999999998</v>
      </c>
      <c r="L92" t="s">
        <v>39</v>
      </c>
      <c r="M92" t="s">
        <v>20</v>
      </c>
      <c r="O92" s="5" t="str">
        <v>C852</v>
      </c>
      <c r="P92" s="5">
        <f t="shared" si="2"/>
        <v>5</v>
      </c>
      <c r="Q92" s="5">
        <f t="shared" si="3"/>
        <v>3292.7000000000003</v>
      </c>
    </row>
    <row r="93" spans="1:17" x14ac:dyDescent="0.35">
      <c r="A93" t="s">
        <v>194</v>
      </c>
      <c r="B93" t="s">
        <v>195</v>
      </c>
      <c r="C93" s="1">
        <v>44932</v>
      </c>
      <c r="D93" t="s">
        <v>37</v>
      </c>
      <c r="E93" t="s">
        <v>24</v>
      </c>
      <c r="F93" t="s">
        <v>25</v>
      </c>
      <c r="G93">
        <v>2</v>
      </c>
      <c r="H93">
        <v>164</v>
      </c>
      <c r="I93">
        <v>0</v>
      </c>
      <c r="J93">
        <v>328</v>
      </c>
      <c r="K93">
        <v>65.599999999999994</v>
      </c>
      <c r="L93" t="s">
        <v>26</v>
      </c>
      <c r="M93" t="s">
        <v>27</v>
      </c>
      <c r="O93" s="5" t="str">
        <v>C924</v>
      </c>
      <c r="P93" s="5">
        <f t="shared" si="2"/>
        <v>1</v>
      </c>
      <c r="Q93" s="5">
        <f t="shared" si="3"/>
        <v>408</v>
      </c>
    </row>
    <row r="94" spans="1:17" x14ac:dyDescent="0.35">
      <c r="A94" t="s">
        <v>196</v>
      </c>
      <c r="B94" t="s">
        <v>55</v>
      </c>
      <c r="C94" s="1">
        <v>45731</v>
      </c>
      <c r="D94" t="s">
        <v>42</v>
      </c>
      <c r="E94" t="s">
        <v>24</v>
      </c>
      <c r="F94" t="s">
        <v>49</v>
      </c>
      <c r="G94">
        <v>3</v>
      </c>
      <c r="H94">
        <v>437</v>
      </c>
      <c r="I94">
        <v>0.15</v>
      </c>
      <c r="J94">
        <v>1114.3499999999999</v>
      </c>
      <c r="K94">
        <v>222.87</v>
      </c>
      <c r="L94" t="s">
        <v>19</v>
      </c>
      <c r="M94" t="s">
        <v>20</v>
      </c>
      <c r="O94" s="5" t="str">
        <v>C511</v>
      </c>
      <c r="P94" s="5">
        <f t="shared" si="2"/>
        <v>4</v>
      </c>
      <c r="Q94" s="5">
        <f t="shared" si="3"/>
        <v>2157.9499999999998</v>
      </c>
    </row>
    <row r="95" spans="1:17" x14ac:dyDescent="0.35">
      <c r="A95" t="s">
        <v>197</v>
      </c>
      <c r="B95" t="s">
        <v>198</v>
      </c>
      <c r="C95" s="1">
        <v>45610</v>
      </c>
      <c r="D95" t="s">
        <v>37</v>
      </c>
      <c r="E95" t="s">
        <v>24</v>
      </c>
      <c r="F95" t="s">
        <v>49</v>
      </c>
      <c r="G95">
        <v>4</v>
      </c>
      <c r="H95">
        <v>84</v>
      </c>
      <c r="I95">
        <v>0.05</v>
      </c>
      <c r="J95">
        <v>319.2</v>
      </c>
      <c r="K95">
        <v>79.8</v>
      </c>
      <c r="L95" t="s">
        <v>19</v>
      </c>
      <c r="M95" t="s">
        <v>27</v>
      </c>
      <c r="O95" s="5" t="str">
        <v>C550</v>
      </c>
      <c r="P95" s="5">
        <f t="shared" si="2"/>
        <v>3</v>
      </c>
      <c r="Q95" s="5">
        <f t="shared" si="3"/>
        <v>2177.4</v>
      </c>
    </row>
    <row r="96" spans="1:17" x14ac:dyDescent="0.35">
      <c r="A96" t="s">
        <v>199</v>
      </c>
      <c r="B96" t="s">
        <v>45</v>
      </c>
      <c r="C96" s="1">
        <v>45554</v>
      </c>
      <c r="D96" t="s">
        <v>37</v>
      </c>
      <c r="E96" t="s">
        <v>24</v>
      </c>
      <c r="F96" t="s">
        <v>107</v>
      </c>
      <c r="G96">
        <v>4</v>
      </c>
      <c r="H96">
        <v>409</v>
      </c>
      <c r="I96">
        <v>0</v>
      </c>
      <c r="J96">
        <v>1636</v>
      </c>
      <c r="K96">
        <v>409</v>
      </c>
      <c r="L96" t="s">
        <v>26</v>
      </c>
      <c r="M96" t="s">
        <v>20</v>
      </c>
      <c r="O96" s="5" t="str">
        <v>C375</v>
      </c>
      <c r="P96" s="5">
        <f t="shared" si="2"/>
        <v>3</v>
      </c>
      <c r="Q96" s="5">
        <f t="shared" si="3"/>
        <v>2579.8000000000002</v>
      </c>
    </row>
    <row r="97" spans="1:17" x14ac:dyDescent="0.35">
      <c r="A97" t="s">
        <v>200</v>
      </c>
      <c r="B97" t="s">
        <v>129</v>
      </c>
      <c r="C97" s="1">
        <v>45685</v>
      </c>
      <c r="D97" t="s">
        <v>42</v>
      </c>
      <c r="E97" t="s">
        <v>33</v>
      </c>
      <c r="F97" t="s">
        <v>66</v>
      </c>
      <c r="G97">
        <v>1</v>
      </c>
      <c r="H97">
        <v>414</v>
      </c>
      <c r="I97">
        <v>0</v>
      </c>
      <c r="J97">
        <v>414</v>
      </c>
      <c r="K97">
        <v>124.2</v>
      </c>
      <c r="L97" t="s">
        <v>19</v>
      </c>
      <c r="M97" t="s">
        <v>27</v>
      </c>
      <c r="O97" s="5" t="str">
        <v>C669</v>
      </c>
      <c r="P97" s="5">
        <f t="shared" si="2"/>
        <v>4</v>
      </c>
      <c r="Q97" s="5">
        <f t="shared" si="3"/>
        <v>2273.9499999999998</v>
      </c>
    </row>
    <row r="98" spans="1:17" x14ac:dyDescent="0.35">
      <c r="A98" t="s">
        <v>201</v>
      </c>
      <c r="B98" t="s">
        <v>202</v>
      </c>
      <c r="C98" s="1">
        <v>45194</v>
      </c>
      <c r="D98" t="s">
        <v>23</v>
      </c>
      <c r="E98" t="s">
        <v>33</v>
      </c>
      <c r="F98" t="s">
        <v>71</v>
      </c>
      <c r="G98">
        <v>4</v>
      </c>
      <c r="H98">
        <v>341</v>
      </c>
      <c r="I98">
        <v>0.15</v>
      </c>
      <c r="J98">
        <v>1159.4000000000001</v>
      </c>
      <c r="K98">
        <v>347.82</v>
      </c>
      <c r="L98" t="s">
        <v>19</v>
      </c>
      <c r="M98" t="s">
        <v>27</v>
      </c>
      <c r="O98" s="5" t="str">
        <v>C909</v>
      </c>
      <c r="P98" s="5">
        <f t="shared" si="2"/>
        <v>2</v>
      </c>
      <c r="Q98" s="5">
        <f t="shared" si="3"/>
        <v>2015</v>
      </c>
    </row>
    <row r="99" spans="1:17" x14ac:dyDescent="0.35">
      <c r="A99" t="s">
        <v>203</v>
      </c>
      <c r="B99" t="s">
        <v>204</v>
      </c>
      <c r="C99" s="1">
        <v>45739</v>
      </c>
      <c r="D99" t="s">
        <v>37</v>
      </c>
      <c r="E99" t="s">
        <v>24</v>
      </c>
      <c r="F99" t="s">
        <v>49</v>
      </c>
      <c r="G99">
        <v>3</v>
      </c>
      <c r="H99">
        <v>421</v>
      </c>
      <c r="I99">
        <v>0</v>
      </c>
      <c r="J99">
        <v>1263</v>
      </c>
      <c r="K99">
        <v>252.6</v>
      </c>
      <c r="L99" t="s">
        <v>19</v>
      </c>
      <c r="M99" t="s">
        <v>27</v>
      </c>
      <c r="O99" s="5" t="str">
        <v>C934</v>
      </c>
      <c r="P99" s="5">
        <f t="shared" si="2"/>
        <v>1</v>
      </c>
      <c r="Q99" s="5">
        <f t="shared" si="3"/>
        <v>1732</v>
      </c>
    </row>
    <row r="100" spans="1:17" x14ac:dyDescent="0.35">
      <c r="A100" t="s">
        <v>205</v>
      </c>
      <c r="B100" t="s">
        <v>60</v>
      </c>
      <c r="C100" s="1">
        <v>45222</v>
      </c>
      <c r="D100" t="s">
        <v>16</v>
      </c>
      <c r="E100" t="s">
        <v>24</v>
      </c>
      <c r="F100" t="s">
        <v>30</v>
      </c>
      <c r="G100">
        <v>3</v>
      </c>
      <c r="H100">
        <v>174</v>
      </c>
      <c r="I100">
        <v>0.1</v>
      </c>
      <c r="J100">
        <v>469.8</v>
      </c>
      <c r="K100">
        <v>93.96</v>
      </c>
      <c r="L100" t="s">
        <v>39</v>
      </c>
      <c r="M100" t="s">
        <v>27</v>
      </c>
      <c r="O100" s="5" t="str">
        <v>C766</v>
      </c>
      <c r="P100" s="5">
        <f t="shared" si="2"/>
        <v>3</v>
      </c>
      <c r="Q100" s="5">
        <f t="shared" si="3"/>
        <v>789.45</v>
      </c>
    </row>
    <row r="101" spans="1:17" x14ac:dyDescent="0.35">
      <c r="A101" t="s">
        <v>206</v>
      </c>
      <c r="B101" t="s">
        <v>207</v>
      </c>
      <c r="C101" s="1">
        <v>45639</v>
      </c>
      <c r="D101" t="s">
        <v>63</v>
      </c>
      <c r="E101" t="s">
        <v>33</v>
      </c>
      <c r="F101" t="s">
        <v>66</v>
      </c>
      <c r="G101">
        <v>3</v>
      </c>
      <c r="H101">
        <v>210</v>
      </c>
      <c r="I101">
        <v>0.15</v>
      </c>
      <c r="J101">
        <v>535.5</v>
      </c>
      <c r="K101">
        <v>107.1</v>
      </c>
      <c r="L101" t="s">
        <v>26</v>
      </c>
      <c r="M101" t="s">
        <v>27</v>
      </c>
      <c r="O101" s="5" t="str">
        <v>C825</v>
      </c>
      <c r="P101" s="5">
        <f t="shared" si="2"/>
        <v>1</v>
      </c>
      <c r="Q101" s="5">
        <f t="shared" si="3"/>
        <v>963.9</v>
      </c>
    </row>
    <row r="102" spans="1:17" x14ac:dyDescent="0.35">
      <c r="A102" t="s">
        <v>208</v>
      </c>
      <c r="B102" t="s">
        <v>176</v>
      </c>
      <c r="C102" s="1">
        <v>45207</v>
      </c>
      <c r="D102" t="s">
        <v>63</v>
      </c>
      <c r="E102" t="s">
        <v>33</v>
      </c>
      <c r="F102" t="s">
        <v>34</v>
      </c>
      <c r="G102">
        <v>3</v>
      </c>
      <c r="H102">
        <v>391</v>
      </c>
      <c r="I102">
        <v>0.15</v>
      </c>
      <c r="J102">
        <v>997.05</v>
      </c>
      <c r="K102">
        <v>249.26</v>
      </c>
      <c r="L102" t="s">
        <v>19</v>
      </c>
      <c r="M102" t="s">
        <v>20</v>
      </c>
      <c r="O102" s="5" t="str">
        <v>C452</v>
      </c>
      <c r="P102" s="5">
        <f t="shared" si="2"/>
        <v>1</v>
      </c>
      <c r="Q102" s="5">
        <f t="shared" si="3"/>
        <v>445.4</v>
      </c>
    </row>
    <row r="103" spans="1:17" x14ac:dyDescent="0.35">
      <c r="A103" t="s">
        <v>209</v>
      </c>
      <c r="B103" t="s">
        <v>210</v>
      </c>
      <c r="C103" s="1">
        <v>45816</v>
      </c>
      <c r="D103" t="s">
        <v>63</v>
      </c>
      <c r="E103" t="s">
        <v>24</v>
      </c>
      <c r="F103" t="s">
        <v>25</v>
      </c>
      <c r="G103">
        <v>3</v>
      </c>
      <c r="H103">
        <v>259</v>
      </c>
      <c r="I103">
        <v>0.1</v>
      </c>
      <c r="J103">
        <v>699.3</v>
      </c>
      <c r="K103">
        <v>174.83</v>
      </c>
      <c r="L103" t="s">
        <v>39</v>
      </c>
      <c r="M103" t="s">
        <v>20</v>
      </c>
      <c r="O103" s="5" t="str">
        <v>C361</v>
      </c>
      <c r="P103" s="5">
        <f t="shared" si="2"/>
        <v>4</v>
      </c>
      <c r="Q103" s="5">
        <f t="shared" si="3"/>
        <v>1374.1499999999999</v>
      </c>
    </row>
    <row r="104" spans="1:17" x14ac:dyDescent="0.35">
      <c r="A104" t="s">
        <v>211</v>
      </c>
      <c r="B104" t="s">
        <v>212</v>
      </c>
      <c r="C104" s="1">
        <v>45505</v>
      </c>
      <c r="D104" t="s">
        <v>37</v>
      </c>
      <c r="E104" t="s">
        <v>17</v>
      </c>
      <c r="F104" t="s">
        <v>18</v>
      </c>
      <c r="G104">
        <v>1</v>
      </c>
      <c r="H104">
        <v>222</v>
      </c>
      <c r="I104">
        <v>0.15</v>
      </c>
      <c r="J104">
        <v>188.7</v>
      </c>
      <c r="K104">
        <v>37.74</v>
      </c>
      <c r="L104" t="s">
        <v>39</v>
      </c>
      <c r="M104" t="s">
        <v>20</v>
      </c>
      <c r="O104" s="5" t="str">
        <v>C661</v>
      </c>
      <c r="P104" s="5">
        <f t="shared" si="2"/>
        <v>2</v>
      </c>
      <c r="Q104" s="5">
        <f t="shared" si="3"/>
        <v>1944.1</v>
      </c>
    </row>
    <row r="105" spans="1:17" x14ac:dyDescent="0.35">
      <c r="A105" t="s">
        <v>213</v>
      </c>
      <c r="B105" t="s">
        <v>150</v>
      </c>
      <c r="C105" s="1">
        <v>45707</v>
      </c>
      <c r="D105" t="s">
        <v>23</v>
      </c>
      <c r="E105" t="s">
        <v>17</v>
      </c>
      <c r="F105" t="s">
        <v>78</v>
      </c>
      <c r="G105">
        <v>1</v>
      </c>
      <c r="H105">
        <v>450</v>
      </c>
      <c r="I105">
        <v>0.05</v>
      </c>
      <c r="J105">
        <v>427.5</v>
      </c>
      <c r="K105">
        <v>85.5</v>
      </c>
      <c r="L105" t="s">
        <v>26</v>
      </c>
      <c r="M105" t="s">
        <v>27</v>
      </c>
      <c r="O105" s="5" t="str">
        <v>C479</v>
      </c>
      <c r="P105" s="5">
        <f t="shared" si="2"/>
        <v>2</v>
      </c>
      <c r="Q105" s="5">
        <f t="shared" si="3"/>
        <v>714.9</v>
      </c>
    </row>
    <row r="106" spans="1:17" x14ac:dyDescent="0.35">
      <c r="A106" t="s">
        <v>214</v>
      </c>
      <c r="B106" t="s">
        <v>189</v>
      </c>
      <c r="C106" s="1">
        <v>45001</v>
      </c>
      <c r="D106" t="s">
        <v>23</v>
      </c>
      <c r="E106" t="s">
        <v>24</v>
      </c>
      <c r="F106" t="s">
        <v>30</v>
      </c>
      <c r="G106">
        <v>3</v>
      </c>
      <c r="H106">
        <v>412</v>
      </c>
      <c r="I106">
        <v>0.15</v>
      </c>
      <c r="J106">
        <v>1050.5999999999999</v>
      </c>
      <c r="K106">
        <v>262.64999999999998</v>
      </c>
      <c r="L106" t="s">
        <v>19</v>
      </c>
      <c r="M106" t="s">
        <v>20</v>
      </c>
      <c r="O106" s="5" t="str">
        <v>C510</v>
      </c>
      <c r="P106" s="5">
        <f t="shared" si="2"/>
        <v>2</v>
      </c>
      <c r="Q106" s="5">
        <f t="shared" si="3"/>
        <v>644.25</v>
      </c>
    </row>
    <row r="107" spans="1:17" x14ac:dyDescent="0.35">
      <c r="A107" t="s">
        <v>215</v>
      </c>
      <c r="B107" t="s">
        <v>216</v>
      </c>
      <c r="C107" s="1">
        <v>44993</v>
      </c>
      <c r="D107" t="s">
        <v>37</v>
      </c>
      <c r="E107" t="s">
        <v>24</v>
      </c>
      <c r="F107" t="s">
        <v>30</v>
      </c>
      <c r="G107">
        <v>2</v>
      </c>
      <c r="H107">
        <v>227</v>
      </c>
      <c r="I107">
        <v>0</v>
      </c>
      <c r="J107">
        <v>454</v>
      </c>
      <c r="K107">
        <v>90.8</v>
      </c>
      <c r="L107" t="s">
        <v>39</v>
      </c>
      <c r="M107" t="s">
        <v>20</v>
      </c>
      <c r="O107" s="5" t="str">
        <v>C354</v>
      </c>
      <c r="P107" s="5">
        <f t="shared" si="2"/>
        <v>1</v>
      </c>
      <c r="Q107" s="5">
        <f t="shared" si="3"/>
        <v>459</v>
      </c>
    </row>
    <row r="108" spans="1:17" x14ac:dyDescent="0.35">
      <c r="A108" t="s">
        <v>217</v>
      </c>
      <c r="B108" t="s">
        <v>55</v>
      </c>
      <c r="C108" s="1">
        <v>45405</v>
      </c>
      <c r="D108" t="s">
        <v>63</v>
      </c>
      <c r="E108" t="s">
        <v>17</v>
      </c>
      <c r="F108" t="s">
        <v>78</v>
      </c>
      <c r="G108">
        <v>3</v>
      </c>
      <c r="H108">
        <v>354</v>
      </c>
      <c r="I108">
        <v>0.05</v>
      </c>
      <c r="J108">
        <v>1008.9</v>
      </c>
      <c r="K108">
        <v>302.67</v>
      </c>
      <c r="L108" t="s">
        <v>26</v>
      </c>
      <c r="M108" t="s">
        <v>20</v>
      </c>
      <c r="O108" s="5" t="str">
        <v>C500</v>
      </c>
      <c r="P108" s="5">
        <f t="shared" si="2"/>
        <v>3</v>
      </c>
      <c r="Q108" s="5">
        <f t="shared" si="3"/>
        <v>1659.6</v>
      </c>
    </row>
    <row r="109" spans="1:17" x14ac:dyDescent="0.35">
      <c r="A109" t="s">
        <v>218</v>
      </c>
      <c r="B109" t="s">
        <v>90</v>
      </c>
      <c r="C109" s="1">
        <v>45239</v>
      </c>
      <c r="D109" t="s">
        <v>23</v>
      </c>
      <c r="E109" t="s">
        <v>33</v>
      </c>
      <c r="F109" t="s">
        <v>43</v>
      </c>
      <c r="G109">
        <v>4</v>
      </c>
      <c r="H109">
        <v>417</v>
      </c>
      <c r="I109">
        <v>0.05</v>
      </c>
      <c r="J109">
        <v>1584.6</v>
      </c>
      <c r="K109">
        <v>396.15</v>
      </c>
      <c r="L109" t="s">
        <v>19</v>
      </c>
      <c r="M109" t="s">
        <v>27</v>
      </c>
      <c r="O109" s="5" t="str">
        <v>C826</v>
      </c>
      <c r="P109" s="5">
        <f t="shared" si="2"/>
        <v>2</v>
      </c>
      <c r="Q109" s="5">
        <f t="shared" si="3"/>
        <v>1204.3</v>
      </c>
    </row>
    <row r="110" spans="1:17" x14ac:dyDescent="0.35">
      <c r="A110" t="s">
        <v>219</v>
      </c>
      <c r="B110" t="s">
        <v>144</v>
      </c>
      <c r="C110" s="1">
        <v>45531</v>
      </c>
      <c r="D110" t="s">
        <v>42</v>
      </c>
      <c r="E110" t="s">
        <v>17</v>
      </c>
      <c r="F110" t="s">
        <v>18</v>
      </c>
      <c r="G110">
        <v>2</v>
      </c>
      <c r="H110">
        <v>347</v>
      </c>
      <c r="I110">
        <v>0.15</v>
      </c>
      <c r="J110">
        <v>589.9</v>
      </c>
      <c r="K110">
        <v>176.97</v>
      </c>
      <c r="L110" t="s">
        <v>39</v>
      </c>
      <c r="M110" t="s">
        <v>20</v>
      </c>
      <c r="O110" s="5" t="str">
        <v>C419</v>
      </c>
      <c r="P110" s="5">
        <f t="shared" si="2"/>
        <v>3</v>
      </c>
      <c r="Q110" s="5">
        <f t="shared" si="3"/>
        <v>2894.8999999999996</v>
      </c>
    </row>
    <row r="111" spans="1:17" x14ac:dyDescent="0.35">
      <c r="A111" t="s">
        <v>220</v>
      </c>
      <c r="B111" t="s">
        <v>204</v>
      </c>
      <c r="C111" s="1">
        <v>45320</v>
      </c>
      <c r="D111" t="s">
        <v>42</v>
      </c>
      <c r="E111" t="s">
        <v>33</v>
      </c>
      <c r="F111" t="s">
        <v>43</v>
      </c>
      <c r="G111">
        <v>2</v>
      </c>
      <c r="H111">
        <v>105</v>
      </c>
      <c r="I111">
        <v>0.05</v>
      </c>
      <c r="J111">
        <v>199.5</v>
      </c>
      <c r="K111">
        <v>59.85</v>
      </c>
      <c r="L111" t="s">
        <v>39</v>
      </c>
      <c r="M111" t="s">
        <v>20</v>
      </c>
      <c r="O111" s="5" t="str">
        <v>C565</v>
      </c>
      <c r="P111" s="5">
        <f t="shared" si="2"/>
        <v>2</v>
      </c>
      <c r="Q111" s="5">
        <f t="shared" si="3"/>
        <v>1309</v>
      </c>
    </row>
    <row r="112" spans="1:17" x14ac:dyDescent="0.35">
      <c r="A112" t="s">
        <v>221</v>
      </c>
      <c r="B112" t="s">
        <v>176</v>
      </c>
      <c r="C112" s="1">
        <v>45787</v>
      </c>
      <c r="D112" t="s">
        <v>42</v>
      </c>
      <c r="E112" t="s">
        <v>17</v>
      </c>
      <c r="F112" t="s">
        <v>18</v>
      </c>
      <c r="G112">
        <v>2</v>
      </c>
      <c r="H112">
        <v>419</v>
      </c>
      <c r="I112">
        <v>0.15</v>
      </c>
      <c r="J112">
        <v>712.3</v>
      </c>
      <c r="K112">
        <v>142.46</v>
      </c>
      <c r="L112" t="s">
        <v>19</v>
      </c>
      <c r="M112" t="s">
        <v>27</v>
      </c>
      <c r="O112" s="5" t="str">
        <v>C611</v>
      </c>
      <c r="P112" s="5">
        <f t="shared" si="2"/>
        <v>1</v>
      </c>
      <c r="Q112" s="5">
        <f t="shared" si="3"/>
        <v>357.3</v>
      </c>
    </row>
    <row r="113" spans="1:17" x14ac:dyDescent="0.35">
      <c r="A113" t="s">
        <v>222</v>
      </c>
      <c r="B113" t="s">
        <v>223</v>
      </c>
      <c r="C113" s="1">
        <v>45194</v>
      </c>
      <c r="D113" t="s">
        <v>63</v>
      </c>
      <c r="E113" t="s">
        <v>33</v>
      </c>
      <c r="F113" t="s">
        <v>66</v>
      </c>
      <c r="G113">
        <v>4</v>
      </c>
      <c r="H113">
        <v>119</v>
      </c>
      <c r="I113">
        <v>0.05</v>
      </c>
      <c r="J113">
        <v>452.2</v>
      </c>
      <c r="K113">
        <v>113.05</v>
      </c>
      <c r="L113" t="s">
        <v>39</v>
      </c>
      <c r="M113" t="s">
        <v>20</v>
      </c>
      <c r="O113" s="5" t="str">
        <v>C460</v>
      </c>
      <c r="P113" s="5">
        <f t="shared" si="2"/>
        <v>1</v>
      </c>
      <c r="Q113" s="5">
        <f t="shared" si="3"/>
        <v>272</v>
      </c>
    </row>
    <row r="114" spans="1:17" x14ac:dyDescent="0.35">
      <c r="A114" t="s">
        <v>224</v>
      </c>
      <c r="B114" t="s">
        <v>225</v>
      </c>
      <c r="C114" s="1">
        <v>45788</v>
      </c>
      <c r="D114" t="s">
        <v>63</v>
      </c>
      <c r="E114" t="s">
        <v>24</v>
      </c>
      <c r="F114" t="s">
        <v>30</v>
      </c>
      <c r="G114">
        <v>1</v>
      </c>
      <c r="H114">
        <v>388</v>
      </c>
      <c r="I114">
        <v>0.15</v>
      </c>
      <c r="J114">
        <v>329.8</v>
      </c>
      <c r="K114">
        <v>65.959999999999994</v>
      </c>
      <c r="L114" t="s">
        <v>26</v>
      </c>
      <c r="M114" t="s">
        <v>27</v>
      </c>
      <c r="O114" s="5" t="str">
        <v>C158</v>
      </c>
      <c r="P114" s="5">
        <f t="shared" si="2"/>
        <v>2</v>
      </c>
      <c r="Q114" s="5">
        <f t="shared" si="3"/>
        <v>2217</v>
      </c>
    </row>
    <row r="115" spans="1:17" x14ac:dyDescent="0.35">
      <c r="A115" t="s">
        <v>226</v>
      </c>
      <c r="B115" t="s">
        <v>227</v>
      </c>
      <c r="C115" s="1">
        <v>45541</v>
      </c>
      <c r="D115" t="s">
        <v>23</v>
      </c>
      <c r="E115" t="s">
        <v>24</v>
      </c>
      <c r="F115" t="s">
        <v>49</v>
      </c>
      <c r="G115">
        <v>3</v>
      </c>
      <c r="H115">
        <v>307</v>
      </c>
      <c r="I115">
        <v>0.1</v>
      </c>
      <c r="J115">
        <v>828.9</v>
      </c>
      <c r="K115">
        <v>207.22</v>
      </c>
      <c r="L115" t="s">
        <v>39</v>
      </c>
      <c r="M115" t="s">
        <v>20</v>
      </c>
      <c r="O115" s="5" t="str">
        <v>C937</v>
      </c>
      <c r="P115" s="5">
        <f t="shared" si="2"/>
        <v>1</v>
      </c>
      <c r="Q115" s="5">
        <f t="shared" si="3"/>
        <v>806.4</v>
      </c>
    </row>
    <row r="116" spans="1:17" x14ac:dyDescent="0.35">
      <c r="A116" t="s">
        <v>228</v>
      </c>
      <c r="B116" t="s">
        <v>229</v>
      </c>
      <c r="C116" s="1">
        <v>45916</v>
      </c>
      <c r="D116" t="s">
        <v>42</v>
      </c>
      <c r="E116" t="s">
        <v>33</v>
      </c>
      <c r="F116" t="s">
        <v>66</v>
      </c>
      <c r="G116">
        <v>3</v>
      </c>
      <c r="H116">
        <v>382</v>
      </c>
      <c r="I116">
        <v>0.1</v>
      </c>
      <c r="J116">
        <v>1031.4000000000001</v>
      </c>
      <c r="K116">
        <v>206.28</v>
      </c>
      <c r="L116" t="s">
        <v>39</v>
      </c>
      <c r="M116" t="s">
        <v>20</v>
      </c>
      <c r="O116" s="5" t="str">
        <v>C114</v>
      </c>
      <c r="P116" s="5">
        <f t="shared" si="2"/>
        <v>1</v>
      </c>
      <c r="Q116" s="5">
        <f t="shared" si="3"/>
        <v>381.9</v>
      </c>
    </row>
    <row r="117" spans="1:17" x14ac:dyDescent="0.35">
      <c r="A117" t="s">
        <v>230</v>
      </c>
      <c r="B117" t="s">
        <v>159</v>
      </c>
      <c r="C117" s="1">
        <v>45323</v>
      </c>
      <c r="D117" t="s">
        <v>37</v>
      </c>
      <c r="E117" t="s">
        <v>24</v>
      </c>
      <c r="F117" t="s">
        <v>49</v>
      </c>
      <c r="G117">
        <v>3</v>
      </c>
      <c r="H117">
        <v>416</v>
      </c>
      <c r="I117">
        <v>0</v>
      </c>
      <c r="J117">
        <v>1248</v>
      </c>
      <c r="K117">
        <v>249.6</v>
      </c>
      <c r="L117" t="s">
        <v>39</v>
      </c>
      <c r="M117" t="s">
        <v>20</v>
      </c>
      <c r="O117" s="5" t="str">
        <v>C930</v>
      </c>
      <c r="P117" s="5">
        <f t="shared" si="2"/>
        <v>1</v>
      </c>
      <c r="Q117" s="5">
        <f t="shared" si="3"/>
        <v>596.70000000000005</v>
      </c>
    </row>
    <row r="118" spans="1:17" x14ac:dyDescent="0.35">
      <c r="A118" t="s">
        <v>231</v>
      </c>
      <c r="B118" t="s">
        <v>232</v>
      </c>
      <c r="C118" s="1">
        <v>45547</v>
      </c>
      <c r="D118" t="s">
        <v>42</v>
      </c>
      <c r="E118" t="s">
        <v>17</v>
      </c>
      <c r="F118" t="s">
        <v>46</v>
      </c>
      <c r="G118">
        <v>3</v>
      </c>
      <c r="H118">
        <v>446</v>
      </c>
      <c r="I118">
        <v>0.05</v>
      </c>
      <c r="J118">
        <v>1271.0999999999999</v>
      </c>
      <c r="K118">
        <v>381.33</v>
      </c>
      <c r="L118" t="s">
        <v>39</v>
      </c>
      <c r="M118" t="s">
        <v>20</v>
      </c>
      <c r="O118" s="5" t="str">
        <v>C155</v>
      </c>
      <c r="P118" s="5">
        <f t="shared" si="2"/>
        <v>1</v>
      </c>
      <c r="Q118" s="5">
        <f t="shared" si="3"/>
        <v>471.6</v>
      </c>
    </row>
    <row r="119" spans="1:17" x14ac:dyDescent="0.35">
      <c r="A119" t="s">
        <v>233</v>
      </c>
      <c r="B119" t="s">
        <v>234</v>
      </c>
      <c r="C119" s="1">
        <v>44994</v>
      </c>
      <c r="D119" t="s">
        <v>16</v>
      </c>
      <c r="E119" t="s">
        <v>33</v>
      </c>
      <c r="F119" t="s">
        <v>43</v>
      </c>
      <c r="G119">
        <v>2</v>
      </c>
      <c r="H119">
        <v>400</v>
      </c>
      <c r="I119">
        <v>0</v>
      </c>
      <c r="J119">
        <v>800</v>
      </c>
      <c r="K119">
        <v>160</v>
      </c>
      <c r="L119" t="s">
        <v>26</v>
      </c>
      <c r="M119" t="s">
        <v>27</v>
      </c>
      <c r="O119" s="5" t="str">
        <v>C281</v>
      </c>
      <c r="P119" s="5">
        <f t="shared" si="2"/>
        <v>1</v>
      </c>
      <c r="Q119" s="5">
        <f t="shared" si="3"/>
        <v>1064</v>
      </c>
    </row>
    <row r="120" spans="1:17" x14ac:dyDescent="0.35">
      <c r="A120" t="s">
        <v>235</v>
      </c>
      <c r="B120" t="s">
        <v>32</v>
      </c>
      <c r="C120" s="1">
        <v>45175</v>
      </c>
      <c r="D120" t="s">
        <v>42</v>
      </c>
      <c r="E120" t="s">
        <v>24</v>
      </c>
      <c r="F120" t="s">
        <v>49</v>
      </c>
      <c r="G120">
        <v>2</v>
      </c>
      <c r="H120">
        <v>434</v>
      </c>
      <c r="I120">
        <v>0.05</v>
      </c>
      <c r="J120">
        <v>824.6</v>
      </c>
      <c r="K120">
        <v>164.92</v>
      </c>
      <c r="L120" t="s">
        <v>19</v>
      </c>
      <c r="M120" t="s">
        <v>20</v>
      </c>
      <c r="O120" s="5" t="str">
        <v>C489</v>
      </c>
      <c r="P120" s="5">
        <f t="shared" si="2"/>
        <v>2</v>
      </c>
      <c r="Q120" s="5">
        <f t="shared" si="3"/>
        <v>877.80000000000007</v>
      </c>
    </row>
    <row r="121" spans="1:17" x14ac:dyDescent="0.35">
      <c r="A121" t="s">
        <v>236</v>
      </c>
      <c r="B121" t="s">
        <v>156</v>
      </c>
      <c r="C121" s="1">
        <v>45323</v>
      </c>
      <c r="D121" t="s">
        <v>16</v>
      </c>
      <c r="E121" t="s">
        <v>24</v>
      </c>
      <c r="F121" t="s">
        <v>25</v>
      </c>
      <c r="G121">
        <v>4</v>
      </c>
      <c r="H121">
        <v>170</v>
      </c>
      <c r="I121">
        <v>0.1</v>
      </c>
      <c r="J121">
        <v>612</v>
      </c>
      <c r="K121">
        <v>183.6</v>
      </c>
      <c r="L121" t="s">
        <v>39</v>
      </c>
      <c r="M121" t="s">
        <v>20</v>
      </c>
      <c r="O121" s="5" t="str">
        <v>C136</v>
      </c>
      <c r="P121" s="5">
        <f t="shared" si="2"/>
        <v>1</v>
      </c>
      <c r="Q121" s="5">
        <f t="shared" si="3"/>
        <v>644</v>
      </c>
    </row>
    <row r="122" spans="1:17" x14ac:dyDescent="0.35">
      <c r="A122" t="s">
        <v>237</v>
      </c>
      <c r="B122" t="s">
        <v>238</v>
      </c>
      <c r="C122" s="1">
        <v>45725</v>
      </c>
      <c r="D122" t="s">
        <v>16</v>
      </c>
      <c r="E122" t="s">
        <v>24</v>
      </c>
      <c r="F122" t="s">
        <v>30</v>
      </c>
      <c r="G122">
        <v>1</v>
      </c>
      <c r="H122">
        <v>275</v>
      </c>
      <c r="I122">
        <v>0</v>
      </c>
      <c r="J122">
        <v>275</v>
      </c>
      <c r="K122">
        <v>82.5</v>
      </c>
      <c r="L122" t="s">
        <v>19</v>
      </c>
      <c r="M122" t="s">
        <v>20</v>
      </c>
      <c r="O122" s="5" t="str">
        <v>C107</v>
      </c>
      <c r="P122" s="5">
        <f t="shared" si="2"/>
        <v>1</v>
      </c>
      <c r="Q122" s="5">
        <f t="shared" si="3"/>
        <v>510</v>
      </c>
    </row>
    <row r="123" spans="1:17" x14ac:dyDescent="0.35">
      <c r="A123" t="s">
        <v>239</v>
      </c>
      <c r="B123" t="s">
        <v>240</v>
      </c>
      <c r="C123" s="1">
        <v>45025</v>
      </c>
      <c r="D123" t="s">
        <v>63</v>
      </c>
      <c r="E123" t="s">
        <v>24</v>
      </c>
      <c r="F123" t="s">
        <v>107</v>
      </c>
      <c r="G123">
        <v>1</v>
      </c>
      <c r="H123">
        <v>109</v>
      </c>
      <c r="I123">
        <v>0.05</v>
      </c>
      <c r="J123">
        <v>103.55</v>
      </c>
      <c r="K123">
        <v>25.89</v>
      </c>
      <c r="L123" t="s">
        <v>26</v>
      </c>
      <c r="M123" t="s">
        <v>20</v>
      </c>
      <c r="O123" s="5" t="str">
        <v>C754</v>
      </c>
      <c r="P123" s="5">
        <f t="shared" si="2"/>
        <v>2</v>
      </c>
      <c r="Q123" s="5">
        <f t="shared" si="3"/>
        <v>1573.5</v>
      </c>
    </row>
    <row r="124" spans="1:17" x14ac:dyDescent="0.35">
      <c r="A124" t="s">
        <v>241</v>
      </c>
      <c r="B124" t="s">
        <v>180</v>
      </c>
      <c r="C124" s="1">
        <v>45581</v>
      </c>
      <c r="D124" t="s">
        <v>23</v>
      </c>
      <c r="E124" t="s">
        <v>17</v>
      </c>
      <c r="F124" t="s">
        <v>78</v>
      </c>
      <c r="G124">
        <v>3</v>
      </c>
      <c r="H124">
        <v>91</v>
      </c>
      <c r="I124">
        <v>0.15</v>
      </c>
      <c r="J124">
        <v>232.05</v>
      </c>
      <c r="K124">
        <v>69.61</v>
      </c>
      <c r="L124" t="s">
        <v>39</v>
      </c>
      <c r="M124" t="s">
        <v>20</v>
      </c>
      <c r="O124" s="5" t="str">
        <v>C752</v>
      </c>
      <c r="P124" s="5">
        <f t="shared" si="2"/>
        <v>3</v>
      </c>
      <c r="Q124" s="5">
        <f t="shared" si="3"/>
        <v>1463.1</v>
      </c>
    </row>
    <row r="125" spans="1:17" x14ac:dyDescent="0.35">
      <c r="A125" t="s">
        <v>242</v>
      </c>
      <c r="B125" t="s">
        <v>96</v>
      </c>
      <c r="C125" s="1">
        <v>45714</v>
      </c>
      <c r="D125" t="s">
        <v>16</v>
      </c>
      <c r="E125" t="s">
        <v>17</v>
      </c>
      <c r="F125" t="s">
        <v>46</v>
      </c>
      <c r="G125">
        <v>1</v>
      </c>
      <c r="H125">
        <v>130</v>
      </c>
      <c r="I125">
        <v>0.1</v>
      </c>
      <c r="J125">
        <v>117</v>
      </c>
      <c r="K125">
        <v>29.25</v>
      </c>
      <c r="L125" t="s">
        <v>26</v>
      </c>
      <c r="M125" t="s">
        <v>27</v>
      </c>
      <c r="O125" s="5" t="str">
        <v>C272</v>
      </c>
      <c r="P125" s="5">
        <f t="shared" si="2"/>
        <v>1</v>
      </c>
      <c r="Q125" s="5">
        <f t="shared" si="3"/>
        <v>950.4</v>
      </c>
    </row>
    <row r="126" spans="1:17" x14ac:dyDescent="0.35">
      <c r="A126" t="s">
        <v>243</v>
      </c>
      <c r="B126" t="s">
        <v>234</v>
      </c>
      <c r="C126" s="1">
        <v>45980</v>
      </c>
      <c r="D126" t="s">
        <v>23</v>
      </c>
      <c r="E126" t="s">
        <v>33</v>
      </c>
      <c r="F126" t="s">
        <v>71</v>
      </c>
      <c r="G126">
        <v>1</v>
      </c>
      <c r="H126">
        <v>249</v>
      </c>
      <c r="I126">
        <v>0.05</v>
      </c>
      <c r="J126">
        <v>236.55</v>
      </c>
      <c r="K126">
        <v>59.14</v>
      </c>
      <c r="L126" t="s">
        <v>19</v>
      </c>
      <c r="M126" t="s">
        <v>20</v>
      </c>
      <c r="O126" s="5" t="str">
        <v>C458</v>
      </c>
      <c r="P126" s="5">
        <f t="shared" si="2"/>
        <v>2</v>
      </c>
      <c r="Q126" s="5">
        <f t="shared" si="3"/>
        <v>2191.6</v>
      </c>
    </row>
    <row r="127" spans="1:17" x14ac:dyDescent="0.35">
      <c r="A127" t="s">
        <v>244</v>
      </c>
      <c r="B127" t="s">
        <v>133</v>
      </c>
      <c r="C127" s="1">
        <v>45610</v>
      </c>
      <c r="D127" t="s">
        <v>42</v>
      </c>
      <c r="E127" t="s">
        <v>17</v>
      </c>
      <c r="F127" t="s">
        <v>58</v>
      </c>
      <c r="G127">
        <v>2</v>
      </c>
      <c r="H127">
        <v>246</v>
      </c>
      <c r="I127">
        <v>0.1</v>
      </c>
      <c r="J127">
        <v>442.8</v>
      </c>
      <c r="K127">
        <v>110.7</v>
      </c>
      <c r="L127" t="s">
        <v>19</v>
      </c>
      <c r="M127" t="s">
        <v>27</v>
      </c>
      <c r="O127" s="5" t="str">
        <v>C726</v>
      </c>
      <c r="P127" s="5">
        <f t="shared" si="2"/>
        <v>1</v>
      </c>
      <c r="Q127" s="5">
        <f t="shared" si="3"/>
        <v>1142.4000000000001</v>
      </c>
    </row>
    <row r="128" spans="1:17" x14ac:dyDescent="0.35">
      <c r="A128" t="s">
        <v>245</v>
      </c>
      <c r="B128" t="s">
        <v>246</v>
      </c>
      <c r="C128" s="1">
        <v>45532</v>
      </c>
      <c r="D128" t="s">
        <v>37</v>
      </c>
      <c r="E128" t="s">
        <v>24</v>
      </c>
      <c r="F128" t="s">
        <v>30</v>
      </c>
      <c r="G128">
        <v>1</v>
      </c>
      <c r="H128">
        <v>285</v>
      </c>
      <c r="I128">
        <v>0.1</v>
      </c>
      <c r="J128">
        <v>256.5</v>
      </c>
      <c r="K128">
        <v>64.12</v>
      </c>
      <c r="L128" t="s">
        <v>26</v>
      </c>
      <c r="M128" t="s">
        <v>20</v>
      </c>
      <c r="O128" s="5" t="str">
        <v>C553</v>
      </c>
      <c r="P128" s="5">
        <f t="shared" si="2"/>
        <v>1</v>
      </c>
      <c r="Q128" s="5">
        <f t="shared" si="3"/>
        <v>1121</v>
      </c>
    </row>
    <row r="129" spans="1:17" x14ac:dyDescent="0.35">
      <c r="A129" t="s">
        <v>247</v>
      </c>
      <c r="B129" t="s">
        <v>162</v>
      </c>
      <c r="C129" s="1">
        <v>45805</v>
      </c>
      <c r="D129" t="s">
        <v>16</v>
      </c>
      <c r="E129" t="s">
        <v>17</v>
      </c>
      <c r="F129" t="s">
        <v>78</v>
      </c>
      <c r="G129">
        <v>2</v>
      </c>
      <c r="H129">
        <v>338</v>
      </c>
      <c r="I129">
        <v>0.1</v>
      </c>
      <c r="J129">
        <v>608.4</v>
      </c>
      <c r="K129">
        <v>182.52</v>
      </c>
      <c r="L129" t="s">
        <v>39</v>
      </c>
      <c r="M129" t="s">
        <v>27</v>
      </c>
      <c r="O129" s="5" t="str">
        <v>C344</v>
      </c>
      <c r="P129" s="5">
        <f t="shared" si="2"/>
        <v>2</v>
      </c>
      <c r="Q129" s="5">
        <f t="shared" si="3"/>
        <v>564.29999999999995</v>
      </c>
    </row>
    <row r="130" spans="1:17" x14ac:dyDescent="0.35">
      <c r="A130" t="s">
        <v>248</v>
      </c>
      <c r="B130" t="s">
        <v>98</v>
      </c>
      <c r="C130" s="1">
        <v>45435</v>
      </c>
      <c r="D130" t="s">
        <v>42</v>
      </c>
      <c r="E130" t="s">
        <v>24</v>
      </c>
      <c r="F130" t="s">
        <v>107</v>
      </c>
      <c r="G130">
        <v>3</v>
      </c>
      <c r="H130">
        <v>308</v>
      </c>
      <c r="I130">
        <v>0.15</v>
      </c>
      <c r="J130">
        <v>785.4</v>
      </c>
      <c r="K130">
        <v>196.35</v>
      </c>
      <c r="L130" t="s">
        <v>19</v>
      </c>
      <c r="M130" t="s">
        <v>20</v>
      </c>
      <c r="O130" s="5" t="str">
        <v>C381</v>
      </c>
      <c r="P130" s="5">
        <f t="shared" si="2"/>
        <v>1</v>
      </c>
      <c r="Q130" s="5">
        <f t="shared" si="3"/>
        <v>496.8</v>
      </c>
    </row>
    <row r="131" spans="1:17" x14ac:dyDescent="0.35">
      <c r="A131" t="s">
        <v>249</v>
      </c>
      <c r="B131" t="s">
        <v>250</v>
      </c>
      <c r="C131" s="1">
        <v>45799</v>
      </c>
      <c r="D131" t="s">
        <v>37</v>
      </c>
      <c r="E131" t="s">
        <v>24</v>
      </c>
      <c r="F131" t="s">
        <v>49</v>
      </c>
      <c r="G131">
        <v>3</v>
      </c>
      <c r="H131">
        <v>423</v>
      </c>
      <c r="I131">
        <v>0.15</v>
      </c>
      <c r="J131">
        <v>1078.6500000000001</v>
      </c>
      <c r="K131">
        <v>215.73</v>
      </c>
      <c r="L131" t="s">
        <v>39</v>
      </c>
      <c r="M131" t="s">
        <v>27</v>
      </c>
      <c r="O131" s="5" t="str">
        <v>C630</v>
      </c>
      <c r="P131" s="5">
        <f t="shared" ref="P131:P143" si="4">COUNTIF($B$2:$B$351,O131)</f>
        <v>1</v>
      </c>
      <c r="Q131" s="5">
        <f t="shared" ref="Q131:Q143" si="5">SUMIF($B$2:$B$351,O131,$J$2:$J$351)</f>
        <v>345.6</v>
      </c>
    </row>
    <row r="132" spans="1:17" x14ac:dyDescent="0.35">
      <c r="A132" t="s">
        <v>251</v>
      </c>
      <c r="B132" t="s">
        <v>252</v>
      </c>
      <c r="C132" s="1">
        <v>45323</v>
      </c>
      <c r="D132" t="s">
        <v>63</v>
      </c>
      <c r="E132" t="s">
        <v>17</v>
      </c>
      <c r="F132" t="s">
        <v>78</v>
      </c>
      <c r="G132">
        <v>2</v>
      </c>
      <c r="H132">
        <v>204</v>
      </c>
      <c r="I132">
        <v>0</v>
      </c>
      <c r="J132">
        <v>408</v>
      </c>
      <c r="K132">
        <v>81.599999999999994</v>
      </c>
      <c r="L132" t="s">
        <v>26</v>
      </c>
      <c r="M132" t="s">
        <v>27</v>
      </c>
      <c r="O132" s="5" t="str">
        <v>C962</v>
      </c>
      <c r="P132" s="5">
        <f t="shared" si="4"/>
        <v>2</v>
      </c>
      <c r="Q132" s="5">
        <f t="shared" si="5"/>
        <v>567.79999999999995</v>
      </c>
    </row>
    <row r="133" spans="1:17" x14ac:dyDescent="0.35">
      <c r="A133" t="s">
        <v>253</v>
      </c>
      <c r="B133" t="s">
        <v>254</v>
      </c>
      <c r="C133" s="1">
        <v>45239</v>
      </c>
      <c r="D133" t="s">
        <v>23</v>
      </c>
      <c r="E133" t="s">
        <v>24</v>
      </c>
      <c r="F133" t="s">
        <v>30</v>
      </c>
      <c r="G133">
        <v>1</v>
      </c>
      <c r="H133">
        <v>222</v>
      </c>
      <c r="I133">
        <v>0.1</v>
      </c>
      <c r="J133">
        <v>199.8</v>
      </c>
      <c r="K133">
        <v>49.95</v>
      </c>
      <c r="L133" t="s">
        <v>39</v>
      </c>
      <c r="M133" t="s">
        <v>20</v>
      </c>
      <c r="O133" s="5" t="str">
        <v>C442</v>
      </c>
      <c r="P133" s="5">
        <f t="shared" si="4"/>
        <v>1</v>
      </c>
      <c r="Q133" s="5">
        <f t="shared" si="5"/>
        <v>615.6</v>
      </c>
    </row>
    <row r="134" spans="1:17" x14ac:dyDescent="0.35">
      <c r="A134" t="s">
        <v>255</v>
      </c>
      <c r="B134" t="s">
        <v>256</v>
      </c>
      <c r="C134" s="1">
        <v>45940</v>
      </c>
      <c r="D134" t="s">
        <v>42</v>
      </c>
      <c r="E134" t="s">
        <v>33</v>
      </c>
      <c r="F134" t="s">
        <v>66</v>
      </c>
      <c r="G134">
        <v>3</v>
      </c>
      <c r="H134">
        <v>228</v>
      </c>
      <c r="I134">
        <v>0</v>
      </c>
      <c r="J134">
        <v>684</v>
      </c>
      <c r="K134">
        <v>171</v>
      </c>
      <c r="L134" t="s">
        <v>39</v>
      </c>
      <c r="M134" t="s">
        <v>20</v>
      </c>
      <c r="O134" s="5" t="str">
        <v>C999</v>
      </c>
      <c r="P134" s="5">
        <f t="shared" si="4"/>
        <v>2</v>
      </c>
      <c r="Q134" s="5">
        <f t="shared" si="5"/>
        <v>2392.8000000000002</v>
      </c>
    </row>
    <row r="135" spans="1:17" x14ac:dyDescent="0.35">
      <c r="A135" t="s">
        <v>257</v>
      </c>
      <c r="B135" t="s">
        <v>204</v>
      </c>
      <c r="C135" s="1">
        <v>45477</v>
      </c>
      <c r="D135" t="s">
        <v>16</v>
      </c>
      <c r="E135" t="s">
        <v>24</v>
      </c>
      <c r="F135" t="s">
        <v>107</v>
      </c>
      <c r="G135">
        <v>4</v>
      </c>
      <c r="H135">
        <v>215</v>
      </c>
      <c r="I135">
        <v>0.05</v>
      </c>
      <c r="J135">
        <v>817</v>
      </c>
      <c r="K135">
        <v>204.25</v>
      </c>
      <c r="L135" t="s">
        <v>19</v>
      </c>
      <c r="M135" t="s">
        <v>20</v>
      </c>
      <c r="O135" s="5" t="str">
        <v>C457</v>
      </c>
      <c r="P135" s="5">
        <f t="shared" si="4"/>
        <v>1</v>
      </c>
      <c r="Q135" s="5">
        <f t="shared" si="5"/>
        <v>383.8</v>
      </c>
    </row>
    <row r="136" spans="1:17" x14ac:dyDescent="0.35">
      <c r="A136" t="s">
        <v>258</v>
      </c>
      <c r="B136" t="s">
        <v>256</v>
      </c>
      <c r="C136" s="1">
        <v>45968</v>
      </c>
      <c r="D136" t="s">
        <v>42</v>
      </c>
      <c r="E136" t="s">
        <v>24</v>
      </c>
      <c r="F136" t="s">
        <v>30</v>
      </c>
      <c r="G136">
        <v>3</v>
      </c>
      <c r="H136">
        <v>392</v>
      </c>
      <c r="I136">
        <v>0.05</v>
      </c>
      <c r="J136">
        <v>1117.2</v>
      </c>
      <c r="K136">
        <v>279.3</v>
      </c>
      <c r="L136" t="s">
        <v>19</v>
      </c>
      <c r="M136" t="s">
        <v>20</v>
      </c>
      <c r="O136" s="5" t="str">
        <v>C958</v>
      </c>
      <c r="P136" s="5">
        <f t="shared" si="4"/>
        <v>1</v>
      </c>
      <c r="Q136" s="5">
        <f t="shared" si="5"/>
        <v>732.6</v>
      </c>
    </row>
    <row r="137" spans="1:17" x14ac:dyDescent="0.35">
      <c r="A137" t="s">
        <v>259</v>
      </c>
      <c r="B137" t="s">
        <v>260</v>
      </c>
      <c r="C137" s="1">
        <v>44927</v>
      </c>
      <c r="D137" t="s">
        <v>42</v>
      </c>
      <c r="E137" t="s">
        <v>17</v>
      </c>
      <c r="F137" t="s">
        <v>58</v>
      </c>
      <c r="G137">
        <v>3</v>
      </c>
      <c r="H137">
        <v>144</v>
      </c>
      <c r="I137">
        <v>0.15</v>
      </c>
      <c r="J137">
        <v>367.2</v>
      </c>
      <c r="K137">
        <v>91.8</v>
      </c>
      <c r="L137" t="s">
        <v>39</v>
      </c>
      <c r="M137" t="s">
        <v>27</v>
      </c>
      <c r="O137" s="5" t="str">
        <v>C543</v>
      </c>
      <c r="P137" s="5">
        <f t="shared" si="4"/>
        <v>2</v>
      </c>
      <c r="Q137" s="5">
        <f t="shared" si="5"/>
        <v>1356.1</v>
      </c>
    </row>
    <row r="138" spans="1:17" x14ac:dyDescent="0.35">
      <c r="A138" t="s">
        <v>261</v>
      </c>
      <c r="B138" t="s">
        <v>48</v>
      </c>
      <c r="C138" s="1">
        <v>44980</v>
      </c>
      <c r="D138" t="s">
        <v>63</v>
      </c>
      <c r="E138" t="s">
        <v>24</v>
      </c>
      <c r="F138" t="s">
        <v>25</v>
      </c>
      <c r="G138">
        <v>4</v>
      </c>
      <c r="H138">
        <v>236</v>
      </c>
      <c r="I138">
        <v>0.15</v>
      </c>
      <c r="J138">
        <v>802.4</v>
      </c>
      <c r="K138">
        <v>240.72</v>
      </c>
      <c r="L138" t="s">
        <v>26</v>
      </c>
      <c r="M138" t="s">
        <v>27</v>
      </c>
      <c r="O138" s="5" t="str">
        <v>C256</v>
      </c>
      <c r="P138" s="5">
        <f t="shared" si="4"/>
        <v>2</v>
      </c>
      <c r="Q138" s="5">
        <f t="shared" si="5"/>
        <v>685.85</v>
      </c>
    </row>
    <row r="139" spans="1:17" x14ac:dyDescent="0.35">
      <c r="A139" t="s">
        <v>262</v>
      </c>
      <c r="B139" t="s">
        <v>176</v>
      </c>
      <c r="C139" s="1">
        <v>45390</v>
      </c>
      <c r="D139" t="s">
        <v>63</v>
      </c>
      <c r="E139" t="s">
        <v>17</v>
      </c>
      <c r="F139" t="s">
        <v>46</v>
      </c>
      <c r="G139">
        <v>2</v>
      </c>
      <c r="H139">
        <v>380</v>
      </c>
      <c r="I139">
        <v>0.1</v>
      </c>
      <c r="J139">
        <v>684</v>
      </c>
      <c r="K139">
        <v>205.2</v>
      </c>
      <c r="L139" t="s">
        <v>26</v>
      </c>
      <c r="M139" t="s">
        <v>27</v>
      </c>
      <c r="O139" s="5" t="str">
        <v>C782</v>
      </c>
      <c r="P139" s="5">
        <f t="shared" si="4"/>
        <v>2</v>
      </c>
      <c r="Q139" s="5">
        <f t="shared" si="5"/>
        <v>1209.2</v>
      </c>
    </row>
    <row r="140" spans="1:17" x14ac:dyDescent="0.35">
      <c r="A140" t="s">
        <v>263</v>
      </c>
      <c r="B140" t="s">
        <v>156</v>
      </c>
      <c r="C140" s="1">
        <v>45401</v>
      </c>
      <c r="D140" t="s">
        <v>16</v>
      </c>
      <c r="E140" t="s">
        <v>17</v>
      </c>
      <c r="F140" t="s">
        <v>78</v>
      </c>
      <c r="G140">
        <v>3</v>
      </c>
      <c r="H140">
        <v>259</v>
      </c>
      <c r="I140">
        <v>0.15</v>
      </c>
      <c r="J140">
        <v>660.45</v>
      </c>
      <c r="K140">
        <v>132.09</v>
      </c>
      <c r="L140" t="s">
        <v>39</v>
      </c>
      <c r="M140" t="s">
        <v>27</v>
      </c>
      <c r="O140" s="5" t="str">
        <v>C503</v>
      </c>
      <c r="P140" s="5">
        <f t="shared" si="4"/>
        <v>1</v>
      </c>
      <c r="Q140" s="5">
        <f t="shared" si="5"/>
        <v>381.6</v>
      </c>
    </row>
    <row r="141" spans="1:17" x14ac:dyDescent="0.35">
      <c r="A141" t="s">
        <v>264</v>
      </c>
      <c r="B141" t="s">
        <v>265</v>
      </c>
      <c r="C141" s="1">
        <v>45157</v>
      </c>
      <c r="D141" t="s">
        <v>63</v>
      </c>
      <c r="E141" t="s">
        <v>24</v>
      </c>
      <c r="F141" t="s">
        <v>30</v>
      </c>
      <c r="G141">
        <v>1</v>
      </c>
      <c r="H141">
        <v>299</v>
      </c>
      <c r="I141">
        <v>0</v>
      </c>
      <c r="J141">
        <v>299</v>
      </c>
      <c r="K141">
        <v>59.8</v>
      </c>
      <c r="L141" t="s">
        <v>39</v>
      </c>
      <c r="M141" t="s">
        <v>20</v>
      </c>
      <c r="O141" s="5" t="str">
        <v>C891</v>
      </c>
      <c r="P141" s="5">
        <f t="shared" si="4"/>
        <v>1</v>
      </c>
      <c r="Q141" s="5">
        <f t="shared" si="5"/>
        <v>1483.2</v>
      </c>
    </row>
    <row r="142" spans="1:17" x14ac:dyDescent="0.35">
      <c r="A142" t="s">
        <v>266</v>
      </c>
      <c r="B142" t="s">
        <v>267</v>
      </c>
      <c r="C142" s="1">
        <v>45649</v>
      </c>
      <c r="D142" t="s">
        <v>23</v>
      </c>
      <c r="E142" t="s">
        <v>17</v>
      </c>
      <c r="F142" t="s">
        <v>46</v>
      </c>
      <c r="G142">
        <v>4</v>
      </c>
      <c r="H142">
        <v>308</v>
      </c>
      <c r="I142">
        <v>0</v>
      </c>
      <c r="J142">
        <v>1232</v>
      </c>
      <c r="K142">
        <v>308</v>
      </c>
      <c r="L142" t="s">
        <v>39</v>
      </c>
      <c r="M142" t="s">
        <v>27</v>
      </c>
      <c r="O142" s="5" t="str">
        <v>C970</v>
      </c>
      <c r="P142" s="5">
        <f t="shared" si="4"/>
        <v>1</v>
      </c>
      <c r="Q142" s="5">
        <f t="shared" si="5"/>
        <v>348.5</v>
      </c>
    </row>
    <row r="143" spans="1:17" x14ac:dyDescent="0.35">
      <c r="A143" t="s">
        <v>268</v>
      </c>
      <c r="B143" t="s">
        <v>232</v>
      </c>
      <c r="C143" s="1">
        <v>45977</v>
      </c>
      <c r="D143" t="s">
        <v>37</v>
      </c>
      <c r="E143" t="s">
        <v>24</v>
      </c>
      <c r="F143" t="s">
        <v>25</v>
      </c>
      <c r="G143">
        <v>1</v>
      </c>
      <c r="H143">
        <v>264</v>
      </c>
      <c r="I143">
        <v>0.1</v>
      </c>
      <c r="J143">
        <v>237.6</v>
      </c>
      <c r="K143">
        <v>47.52</v>
      </c>
      <c r="L143" t="s">
        <v>26</v>
      </c>
      <c r="M143" t="s">
        <v>20</v>
      </c>
      <c r="O143" s="5" t="str">
        <v>C713</v>
      </c>
      <c r="P143" s="5">
        <f t="shared" si="4"/>
        <v>1</v>
      </c>
      <c r="Q143" s="5">
        <f t="shared" si="5"/>
        <v>848</v>
      </c>
    </row>
    <row r="144" spans="1:17" x14ac:dyDescent="0.35">
      <c r="A144" t="s">
        <v>269</v>
      </c>
      <c r="B144" t="s">
        <v>270</v>
      </c>
      <c r="C144" s="1">
        <v>46021</v>
      </c>
      <c r="D144" t="s">
        <v>23</v>
      </c>
      <c r="E144" t="s">
        <v>33</v>
      </c>
      <c r="F144" t="s">
        <v>43</v>
      </c>
      <c r="G144">
        <v>4</v>
      </c>
      <c r="H144">
        <v>433</v>
      </c>
      <c r="I144">
        <v>0</v>
      </c>
      <c r="J144">
        <v>1732</v>
      </c>
      <c r="K144">
        <v>519.6</v>
      </c>
      <c r="L144" t="s">
        <v>39</v>
      </c>
      <c r="M144" t="s">
        <v>27</v>
      </c>
    </row>
    <row r="145" spans="1:22" x14ac:dyDescent="0.35">
      <c r="A145" t="s">
        <v>271</v>
      </c>
      <c r="B145" t="s">
        <v>70</v>
      </c>
      <c r="C145" s="1">
        <v>45050</v>
      </c>
      <c r="D145" t="s">
        <v>63</v>
      </c>
      <c r="E145" t="s">
        <v>33</v>
      </c>
      <c r="F145" t="s">
        <v>66</v>
      </c>
      <c r="G145">
        <v>3</v>
      </c>
      <c r="H145">
        <v>436</v>
      </c>
      <c r="I145">
        <v>0.05</v>
      </c>
      <c r="J145">
        <v>1242.5999999999999</v>
      </c>
      <c r="K145">
        <v>372.78</v>
      </c>
      <c r="L145" t="s">
        <v>19</v>
      </c>
      <c r="M145" t="s">
        <v>27</v>
      </c>
    </row>
    <row r="146" spans="1:22" x14ac:dyDescent="0.35">
      <c r="A146" t="s">
        <v>272</v>
      </c>
      <c r="B146" t="s">
        <v>273</v>
      </c>
      <c r="C146" s="1">
        <v>44981</v>
      </c>
      <c r="D146" t="s">
        <v>23</v>
      </c>
      <c r="E146" t="s">
        <v>24</v>
      </c>
      <c r="F146" t="s">
        <v>25</v>
      </c>
      <c r="G146">
        <v>2</v>
      </c>
      <c r="H146">
        <v>124</v>
      </c>
      <c r="I146">
        <v>0</v>
      </c>
      <c r="J146">
        <v>248</v>
      </c>
      <c r="K146">
        <v>49.6</v>
      </c>
      <c r="L146" t="s">
        <v>19</v>
      </c>
      <c r="M146" t="s">
        <v>20</v>
      </c>
      <c r="O146" s="23" t="s">
        <v>588</v>
      </c>
      <c r="P146" s="23"/>
      <c r="Q146" s="23"/>
      <c r="R146" s="23"/>
      <c r="T146" s="15" t="s">
        <v>553</v>
      </c>
      <c r="U146" s="15"/>
      <c r="V146" s="15"/>
    </row>
    <row r="147" spans="1:22" x14ac:dyDescent="0.35">
      <c r="A147" t="s">
        <v>274</v>
      </c>
      <c r="B147" t="s">
        <v>265</v>
      </c>
      <c r="C147" s="1">
        <v>45700</v>
      </c>
      <c r="D147" t="s">
        <v>63</v>
      </c>
      <c r="E147" t="s">
        <v>33</v>
      </c>
      <c r="F147" t="s">
        <v>38</v>
      </c>
      <c r="G147">
        <v>3</v>
      </c>
      <c r="H147">
        <v>81</v>
      </c>
      <c r="I147">
        <v>0.15</v>
      </c>
      <c r="J147">
        <v>206.55</v>
      </c>
      <c r="K147">
        <v>41.31</v>
      </c>
      <c r="L147" t="s">
        <v>19</v>
      </c>
      <c r="M147" t="s">
        <v>27</v>
      </c>
      <c r="O147" s="24" t="s">
        <v>570</v>
      </c>
      <c r="P147" s="24"/>
      <c r="Q147" s="24" t="s">
        <v>571</v>
      </c>
      <c r="R147" s="24"/>
      <c r="T147" s="16" t="s">
        <v>589</v>
      </c>
      <c r="U147" s="16"/>
      <c r="V147" s="16"/>
    </row>
    <row r="148" spans="1:22" x14ac:dyDescent="0.35">
      <c r="A148" t="s">
        <v>275</v>
      </c>
      <c r="B148" t="s">
        <v>238</v>
      </c>
      <c r="C148" s="1">
        <v>45903</v>
      </c>
      <c r="D148" t="s">
        <v>37</v>
      </c>
      <c r="E148" t="s">
        <v>24</v>
      </c>
      <c r="F148" t="s">
        <v>25</v>
      </c>
      <c r="G148">
        <v>4</v>
      </c>
      <c r="H148">
        <v>366</v>
      </c>
      <c r="I148">
        <v>0.1</v>
      </c>
      <c r="J148">
        <v>1317.6</v>
      </c>
      <c r="K148">
        <v>329.4</v>
      </c>
      <c r="L148" t="s">
        <v>26</v>
      </c>
      <c r="M148" t="s">
        <v>20</v>
      </c>
      <c r="O148" s="25"/>
      <c r="P148" s="25"/>
      <c r="Q148" s="25"/>
      <c r="R148" s="25"/>
      <c r="T148" s="16"/>
      <c r="U148" s="16"/>
      <c r="V148" s="16"/>
    </row>
    <row r="149" spans="1:22" x14ac:dyDescent="0.35">
      <c r="A149" t="s">
        <v>276</v>
      </c>
      <c r="B149" t="s">
        <v>48</v>
      </c>
      <c r="C149" s="1">
        <v>45524</v>
      </c>
      <c r="D149" t="s">
        <v>37</v>
      </c>
      <c r="E149" t="s">
        <v>33</v>
      </c>
      <c r="F149" t="s">
        <v>43</v>
      </c>
      <c r="G149">
        <v>1</v>
      </c>
      <c r="H149">
        <v>209</v>
      </c>
      <c r="I149">
        <v>0</v>
      </c>
      <c r="J149">
        <v>209</v>
      </c>
      <c r="K149">
        <v>52.25</v>
      </c>
      <c r="L149" t="s">
        <v>19</v>
      </c>
      <c r="M149" t="s">
        <v>20</v>
      </c>
      <c r="O149" s="25" t="s">
        <v>572</v>
      </c>
      <c r="P149" s="25">
        <v>593.14900000000011</v>
      </c>
      <c r="Q149" s="25" t="s">
        <v>572</v>
      </c>
      <c r="R149" s="25">
        <v>147.42682857142853</v>
      </c>
      <c r="T149" s="16"/>
      <c r="U149" s="16"/>
      <c r="V149" s="16"/>
    </row>
    <row r="150" spans="1:22" x14ac:dyDescent="0.35">
      <c r="A150" t="s">
        <v>277</v>
      </c>
      <c r="B150" t="s">
        <v>278</v>
      </c>
      <c r="C150" s="1">
        <v>45917</v>
      </c>
      <c r="D150" t="s">
        <v>23</v>
      </c>
      <c r="E150" t="s">
        <v>17</v>
      </c>
      <c r="F150" t="s">
        <v>46</v>
      </c>
      <c r="G150">
        <v>3</v>
      </c>
      <c r="H150">
        <v>357</v>
      </c>
      <c r="I150">
        <v>0.1</v>
      </c>
      <c r="J150">
        <v>963.9</v>
      </c>
      <c r="K150">
        <v>240.97</v>
      </c>
      <c r="L150" t="s">
        <v>19</v>
      </c>
      <c r="M150" t="s">
        <v>27</v>
      </c>
      <c r="O150" s="25" t="s">
        <v>573</v>
      </c>
      <c r="P150" s="25">
        <v>19.5856738415942</v>
      </c>
      <c r="Q150" s="25" t="s">
        <v>573</v>
      </c>
      <c r="R150" s="25">
        <v>5.0947013239108054</v>
      </c>
    </row>
    <row r="151" spans="1:22" x14ac:dyDescent="0.35">
      <c r="A151" t="s">
        <v>279</v>
      </c>
      <c r="B151" t="s">
        <v>280</v>
      </c>
      <c r="C151" s="1">
        <v>45226</v>
      </c>
      <c r="D151" t="s">
        <v>23</v>
      </c>
      <c r="E151" t="s">
        <v>33</v>
      </c>
      <c r="F151" t="s">
        <v>38</v>
      </c>
      <c r="G151">
        <v>2</v>
      </c>
      <c r="H151">
        <v>262</v>
      </c>
      <c r="I151">
        <v>0.15</v>
      </c>
      <c r="J151">
        <v>445.4</v>
      </c>
      <c r="K151">
        <v>89.08</v>
      </c>
      <c r="L151" t="s">
        <v>39</v>
      </c>
      <c r="M151" t="s">
        <v>20</v>
      </c>
      <c r="O151" s="25" t="s">
        <v>574</v>
      </c>
      <c r="P151" s="25">
        <v>515.92499999999995</v>
      </c>
      <c r="Q151" s="25" t="s">
        <v>574</v>
      </c>
      <c r="R151" s="25">
        <v>124.80000000000001</v>
      </c>
    </row>
    <row r="152" spans="1:22" x14ac:dyDescent="0.35">
      <c r="A152" t="s">
        <v>281</v>
      </c>
      <c r="B152" t="s">
        <v>265</v>
      </c>
      <c r="C152" s="1">
        <v>45833</v>
      </c>
      <c r="D152" t="s">
        <v>37</v>
      </c>
      <c r="E152" t="s">
        <v>17</v>
      </c>
      <c r="F152" t="s">
        <v>58</v>
      </c>
      <c r="G152">
        <v>4</v>
      </c>
      <c r="H152">
        <v>221</v>
      </c>
      <c r="I152">
        <v>0.15</v>
      </c>
      <c r="J152">
        <v>751.4</v>
      </c>
      <c r="K152">
        <v>225.42</v>
      </c>
      <c r="L152" t="s">
        <v>26</v>
      </c>
      <c r="M152" t="s">
        <v>20</v>
      </c>
      <c r="O152" s="25" t="s">
        <v>575</v>
      </c>
      <c r="P152" s="25">
        <v>684</v>
      </c>
      <c r="Q152" s="25" t="s">
        <v>575</v>
      </c>
      <c r="R152" s="25">
        <v>205.2</v>
      </c>
    </row>
    <row r="153" spans="1:22" x14ac:dyDescent="0.35">
      <c r="A153" t="s">
        <v>282</v>
      </c>
      <c r="B153" t="s">
        <v>283</v>
      </c>
      <c r="C153" s="1">
        <v>45229</v>
      </c>
      <c r="D153" t="s">
        <v>42</v>
      </c>
      <c r="E153" t="s">
        <v>24</v>
      </c>
      <c r="F153" t="s">
        <v>49</v>
      </c>
      <c r="G153">
        <v>2</v>
      </c>
      <c r="H153">
        <v>352</v>
      </c>
      <c r="I153">
        <v>0.05</v>
      </c>
      <c r="J153">
        <v>668.8</v>
      </c>
      <c r="K153">
        <v>167.2</v>
      </c>
      <c r="L153" t="s">
        <v>26</v>
      </c>
      <c r="M153" t="s">
        <v>20</v>
      </c>
      <c r="O153" s="25" t="s">
        <v>576</v>
      </c>
      <c r="P153" s="25">
        <v>366.41440602173049</v>
      </c>
      <c r="Q153" s="25" t="s">
        <v>576</v>
      </c>
      <c r="R153" s="25">
        <v>95.313134210089231</v>
      </c>
    </row>
    <row r="154" spans="1:22" x14ac:dyDescent="0.35">
      <c r="A154" t="s">
        <v>284</v>
      </c>
      <c r="B154" t="s">
        <v>285</v>
      </c>
      <c r="C154" s="1">
        <v>45173</v>
      </c>
      <c r="D154" t="s">
        <v>16</v>
      </c>
      <c r="E154" t="s">
        <v>33</v>
      </c>
      <c r="F154" t="s">
        <v>43</v>
      </c>
      <c r="G154">
        <v>2</v>
      </c>
      <c r="H154">
        <v>434</v>
      </c>
      <c r="I154">
        <v>0</v>
      </c>
      <c r="J154">
        <v>868</v>
      </c>
      <c r="K154">
        <v>260.39999999999998</v>
      </c>
      <c r="L154" t="s">
        <v>39</v>
      </c>
      <c r="M154" t="s">
        <v>27</v>
      </c>
      <c r="O154" s="25" t="s">
        <v>577</v>
      </c>
      <c r="P154" s="25">
        <v>134259.51694025757</v>
      </c>
      <c r="Q154" s="25" t="s">
        <v>577</v>
      </c>
      <c r="R154" s="25">
        <v>9084.5935529504823</v>
      </c>
    </row>
    <row r="155" spans="1:22" x14ac:dyDescent="0.35">
      <c r="A155" t="s">
        <v>286</v>
      </c>
      <c r="B155" t="s">
        <v>287</v>
      </c>
      <c r="C155" s="1">
        <v>45506</v>
      </c>
      <c r="D155" t="s">
        <v>42</v>
      </c>
      <c r="E155" t="s">
        <v>33</v>
      </c>
      <c r="F155" t="s">
        <v>66</v>
      </c>
      <c r="G155">
        <v>3</v>
      </c>
      <c r="H155">
        <v>152</v>
      </c>
      <c r="I155">
        <v>0.05</v>
      </c>
      <c r="J155">
        <v>433.2</v>
      </c>
      <c r="K155">
        <v>86.64</v>
      </c>
      <c r="L155" t="s">
        <v>39</v>
      </c>
      <c r="M155" t="s">
        <v>20</v>
      </c>
      <c r="O155" s="25" t="s">
        <v>578</v>
      </c>
      <c r="P155" s="25">
        <v>0.31010258516411282</v>
      </c>
      <c r="Q155" s="25" t="s">
        <v>578</v>
      </c>
      <c r="R155" s="25">
        <v>1.5511908749626957</v>
      </c>
    </row>
    <row r="156" spans="1:22" x14ac:dyDescent="0.35">
      <c r="A156" t="s">
        <v>288</v>
      </c>
      <c r="B156" t="s">
        <v>159</v>
      </c>
      <c r="C156" s="1">
        <v>45698</v>
      </c>
      <c r="D156" t="s">
        <v>23</v>
      </c>
      <c r="E156" t="s">
        <v>33</v>
      </c>
      <c r="F156" t="s">
        <v>43</v>
      </c>
      <c r="G156">
        <v>3</v>
      </c>
      <c r="H156">
        <v>389</v>
      </c>
      <c r="I156">
        <v>0.15</v>
      </c>
      <c r="J156">
        <v>991.95</v>
      </c>
      <c r="K156">
        <v>198.39</v>
      </c>
      <c r="L156" t="s">
        <v>19</v>
      </c>
      <c r="M156" t="s">
        <v>27</v>
      </c>
      <c r="O156" s="25" t="s">
        <v>579</v>
      </c>
      <c r="P156" s="25">
        <v>0.87787306799235154</v>
      </c>
      <c r="Q156" s="25" t="s">
        <v>579</v>
      </c>
      <c r="R156" s="25">
        <v>1.1796801210408843</v>
      </c>
    </row>
    <row r="157" spans="1:22" x14ac:dyDescent="0.35">
      <c r="A157" t="s">
        <v>289</v>
      </c>
      <c r="B157" t="s">
        <v>176</v>
      </c>
      <c r="C157" s="1">
        <v>45054</v>
      </c>
      <c r="D157" t="s">
        <v>16</v>
      </c>
      <c r="E157" t="s">
        <v>33</v>
      </c>
      <c r="F157" t="s">
        <v>38</v>
      </c>
      <c r="G157">
        <v>1</v>
      </c>
      <c r="H157">
        <v>214</v>
      </c>
      <c r="I157">
        <v>0.15</v>
      </c>
      <c r="J157">
        <v>181.9</v>
      </c>
      <c r="K157">
        <v>54.57</v>
      </c>
      <c r="L157" t="s">
        <v>26</v>
      </c>
      <c r="M157" t="s">
        <v>20</v>
      </c>
      <c r="O157" s="25" t="s">
        <v>580</v>
      </c>
      <c r="P157" s="25">
        <v>1718.2</v>
      </c>
      <c r="Q157" s="25" t="s">
        <v>580</v>
      </c>
      <c r="R157" s="25">
        <v>519.15</v>
      </c>
    </row>
    <row r="158" spans="1:22" x14ac:dyDescent="0.35">
      <c r="A158" t="s">
        <v>290</v>
      </c>
      <c r="B158" t="s">
        <v>232</v>
      </c>
      <c r="C158" s="1">
        <v>45063</v>
      </c>
      <c r="D158" t="s">
        <v>23</v>
      </c>
      <c r="E158" t="s">
        <v>33</v>
      </c>
      <c r="F158" t="s">
        <v>34</v>
      </c>
      <c r="G158">
        <v>3</v>
      </c>
      <c r="H158">
        <v>122</v>
      </c>
      <c r="I158">
        <v>0</v>
      </c>
      <c r="J158">
        <v>366</v>
      </c>
      <c r="K158">
        <v>109.8</v>
      </c>
      <c r="L158" t="s">
        <v>39</v>
      </c>
      <c r="M158" t="s">
        <v>27</v>
      </c>
      <c r="O158" s="25" t="s">
        <v>581</v>
      </c>
      <c r="P158" s="25">
        <v>73.8</v>
      </c>
      <c r="Q158" s="25" t="s">
        <v>581</v>
      </c>
      <c r="R158" s="25">
        <v>18.45</v>
      </c>
    </row>
    <row r="159" spans="1:22" x14ac:dyDescent="0.35">
      <c r="A159" t="s">
        <v>291</v>
      </c>
      <c r="B159" t="s">
        <v>70</v>
      </c>
      <c r="C159" s="1">
        <v>45260</v>
      </c>
      <c r="D159" t="s">
        <v>63</v>
      </c>
      <c r="E159" t="s">
        <v>24</v>
      </c>
      <c r="F159" t="s">
        <v>107</v>
      </c>
      <c r="G159">
        <v>2</v>
      </c>
      <c r="H159">
        <v>450</v>
      </c>
      <c r="I159">
        <v>0.15</v>
      </c>
      <c r="J159">
        <v>765</v>
      </c>
      <c r="K159">
        <v>153</v>
      </c>
      <c r="L159" t="s">
        <v>39</v>
      </c>
      <c r="M159" t="s">
        <v>20</v>
      </c>
      <c r="O159" s="25" t="s">
        <v>582</v>
      </c>
      <c r="P159" s="25">
        <v>1792</v>
      </c>
      <c r="Q159" s="25" t="s">
        <v>582</v>
      </c>
      <c r="R159" s="25">
        <v>537.6</v>
      </c>
    </row>
    <row r="160" spans="1:22" x14ac:dyDescent="0.35">
      <c r="A160" t="s">
        <v>292</v>
      </c>
      <c r="B160" t="s">
        <v>202</v>
      </c>
      <c r="C160" s="1">
        <v>45414</v>
      </c>
      <c r="D160" t="s">
        <v>63</v>
      </c>
      <c r="E160" t="s">
        <v>33</v>
      </c>
      <c r="F160" t="s">
        <v>71</v>
      </c>
      <c r="G160">
        <v>2</v>
      </c>
      <c r="H160">
        <v>223</v>
      </c>
      <c r="I160">
        <v>0</v>
      </c>
      <c r="J160">
        <v>446</v>
      </c>
      <c r="K160">
        <v>133.80000000000001</v>
      </c>
      <c r="L160" t="s">
        <v>19</v>
      </c>
      <c r="M160" t="s">
        <v>27</v>
      </c>
      <c r="O160" s="25" t="s">
        <v>583</v>
      </c>
      <c r="P160" s="25">
        <v>207602.15000000002</v>
      </c>
      <c r="Q160" s="25" t="s">
        <v>583</v>
      </c>
      <c r="R160" s="25">
        <v>51599.389999999985</v>
      </c>
    </row>
    <row r="161" spans="1:18" x14ac:dyDescent="0.35">
      <c r="A161" t="s">
        <v>293</v>
      </c>
      <c r="B161" t="s">
        <v>187</v>
      </c>
      <c r="C161" s="1">
        <v>45638</v>
      </c>
      <c r="D161" t="s">
        <v>63</v>
      </c>
      <c r="E161" t="s">
        <v>33</v>
      </c>
      <c r="F161" t="s">
        <v>38</v>
      </c>
      <c r="G161">
        <v>2</v>
      </c>
      <c r="H161">
        <v>349</v>
      </c>
      <c r="I161">
        <v>0.05</v>
      </c>
      <c r="J161">
        <v>663.1</v>
      </c>
      <c r="K161">
        <v>198.93</v>
      </c>
      <c r="L161" t="s">
        <v>19</v>
      </c>
      <c r="M161" t="s">
        <v>27</v>
      </c>
      <c r="O161" s="25" t="s">
        <v>584</v>
      </c>
      <c r="P161" s="25">
        <v>350</v>
      </c>
      <c r="Q161" s="25" t="s">
        <v>584</v>
      </c>
      <c r="R161" s="25">
        <v>350</v>
      </c>
    </row>
    <row r="162" spans="1:18" x14ac:dyDescent="0.35">
      <c r="A162" t="s">
        <v>294</v>
      </c>
      <c r="B162" t="s">
        <v>295</v>
      </c>
      <c r="C162" s="1">
        <v>45689</v>
      </c>
      <c r="D162" t="s">
        <v>63</v>
      </c>
      <c r="E162" t="s">
        <v>33</v>
      </c>
      <c r="F162" t="s">
        <v>34</v>
      </c>
      <c r="G162">
        <v>3</v>
      </c>
      <c r="H162">
        <v>85</v>
      </c>
      <c r="I162">
        <v>0.05</v>
      </c>
      <c r="J162">
        <v>242.25</v>
      </c>
      <c r="K162">
        <v>72.67</v>
      </c>
      <c r="L162" t="s">
        <v>39</v>
      </c>
      <c r="M162" t="s">
        <v>20</v>
      </c>
      <c r="O162" s="25" t="s">
        <v>585</v>
      </c>
      <c r="P162" s="25">
        <v>1792</v>
      </c>
      <c r="Q162" s="25" t="s">
        <v>585</v>
      </c>
      <c r="R162" s="25">
        <v>537.6</v>
      </c>
    </row>
    <row r="163" spans="1:18" x14ac:dyDescent="0.35">
      <c r="A163" t="s">
        <v>296</v>
      </c>
      <c r="B163" t="s">
        <v>86</v>
      </c>
      <c r="C163" s="1">
        <v>45268</v>
      </c>
      <c r="D163" t="s">
        <v>16</v>
      </c>
      <c r="E163" t="s">
        <v>17</v>
      </c>
      <c r="F163" t="s">
        <v>78</v>
      </c>
      <c r="G163">
        <v>3</v>
      </c>
      <c r="H163">
        <v>254</v>
      </c>
      <c r="I163">
        <v>0.1</v>
      </c>
      <c r="J163">
        <v>685.8</v>
      </c>
      <c r="K163">
        <v>137.16</v>
      </c>
      <c r="L163" t="s">
        <v>26</v>
      </c>
      <c r="M163" t="s">
        <v>20</v>
      </c>
      <c r="O163" s="25" t="s">
        <v>586</v>
      </c>
      <c r="P163" s="25">
        <v>73.8</v>
      </c>
      <c r="Q163" s="25" t="s">
        <v>586</v>
      </c>
      <c r="R163" s="25">
        <v>18.45</v>
      </c>
    </row>
    <row r="164" spans="1:18" x14ac:dyDescent="0.35">
      <c r="A164" t="s">
        <v>297</v>
      </c>
      <c r="B164" t="s">
        <v>154</v>
      </c>
      <c r="C164" s="1">
        <v>44991</v>
      </c>
      <c r="D164" t="s">
        <v>16</v>
      </c>
      <c r="E164" t="s">
        <v>33</v>
      </c>
      <c r="F164" t="s">
        <v>43</v>
      </c>
      <c r="G164">
        <v>2</v>
      </c>
      <c r="H164">
        <v>155</v>
      </c>
      <c r="I164">
        <v>0.1</v>
      </c>
      <c r="J164">
        <v>279</v>
      </c>
      <c r="K164">
        <v>55.8</v>
      </c>
      <c r="L164" t="s">
        <v>19</v>
      </c>
      <c r="M164" t="s">
        <v>27</v>
      </c>
      <c r="O164" s="25" t="s">
        <v>587</v>
      </c>
      <c r="P164" s="25">
        <v>38.520800841759396</v>
      </c>
      <c r="Q164" s="25" t="s">
        <v>587</v>
      </c>
      <c r="R164" s="25">
        <v>10.02017988422919</v>
      </c>
    </row>
    <row r="165" spans="1:18" x14ac:dyDescent="0.35">
      <c r="A165" t="s">
        <v>298</v>
      </c>
      <c r="B165" t="s">
        <v>105</v>
      </c>
      <c r="C165" s="1">
        <v>45047</v>
      </c>
      <c r="D165" t="s">
        <v>63</v>
      </c>
      <c r="E165" t="s">
        <v>33</v>
      </c>
      <c r="F165" t="s">
        <v>34</v>
      </c>
      <c r="G165">
        <v>4</v>
      </c>
      <c r="H165">
        <v>253</v>
      </c>
      <c r="I165">
        <v>0</v>
      </c>
      <c r="J165">
        <v>1012</v>
      </c>
      <c r="K165">
        <v>202.4</v>
      </c>
      <c r="L165" t="s">
        <v>26</v>
      </c>
      <c r="M165" t="s">
        <v>27</v>
      </c>
    </row>
    <row r="166" spans="1:18" x14ac:dyDescent="0.35">
      <c r="A166" t="s">
        <v>299</v>
      </c>
      <c r="B166" t="s">
        <v>70</v>
      </c>
      <c r="C166" s="1">
        <v>45959</v>
      </c>
      <c r="D166" t="s">
        <v>23</v>
      </c>
      <c r="E166" t="s">
        <v>33</v>
      </c>
      <c r="F166" t="s">
        <v>38</v>
      </c>
      <c r="G166">
        <v>3</v>
      </c>
      <c r="H166">
        <v>117</v>
      </c>
      <c r="I166">
        <v>0.05</v>
      </c>
      <c r="J166">
        <v>333.45</v>
      </c>
      <c r="K166">
        <v>66.69</v>
      </c>
      <c r="L166" t="s">
        <v>19</v>
      </c>
      <c r="M166" t="s">
        <v>20</v>
      </c>
    </row>
    <row r="167" spans="1:18" x14ac:dyDescent="0.35">
      <c r="A167" t="s">
        <v>300</v>
      </c>
      <c r="B167" t="s">
        <v>301</v>
      </c>
      <c r="C167" s="1">
        <v>45353</v>
      </c>
      <c r="D167" t="s">
        <v>42</v>
      </c>
      <c r="E167" t="s">
        <v>17</v>
      </c>
      <c r="F167" t="s">
        <v>46</v>
      </c>
      <c r="G167">
        <v>3</v>
      </c>
      <c r="H167">
        <v>170</v>
      </c>
      <c r="I167">
        <v>0.1</v>
      </c>
      <c r="J167">
        <v>459</v>
      </c>
      <c r="K167">
        <v>137.69999999999999</v>
      </c>
      <c r="L167" t="s">
        <v>26</v>
      </c>
      <c r="M167" t="s">
        <v>27</v>
      </c>
    </row>
    <row r="168" spans="1:18" x14ac:dyDescent="0.35">
      <c r="A168" t="s">
        <v>302</v>
      </c>
      <c r="B168" t="s">
        <v>110</v>
      </c>
      <c r="C168" s="1">
        <v>45839</v>
      </c>
      <c r="D168" t="s">
        <v>16</v>
      </c>
      <c r="E168" t="s">
        <v>24</v>
      </c>
      <c r="F168" t="s">
        <v>49</v>
      </c>
      <c r="G168">
        <v>1</v>
      </c>
      <c r="H168">
        <v>167</v>
      </c>
      <c r="I168">
        <v>0.1</v>
      </c>
      <c r="J168">
        <v>150.30000000000001</v>
      </c>
      <c r="K168">
        <v>37.58</v>
      </c>
      <c r="L168" t="s">
        <v>19</v>
      </c>
      <c r="M168" t="s">
        <v>20</v>
      </c>
    </row>
    <row r="169" spans="1:18" x14ac:dyDescent="0.35">
      <c r="A169" t="s">
        <v>303</v>
      </c>
      <c r="B169" t="s">
        <v>304</v>
      </c>
      <c r="C169" s="1">
        <v>45421</v>
      </c>
      <c r="D169" t="s">
        <v>63</v>
      </c>
      <c r="E169" t="s">
        <v>33</v>
      </c>
      <c r="F169" t="s">
        <v>66</v>
      </c>
      <c r="G169">
        <v>4</v>
      </c>
      <c r="H169">
        <v>281</v>
      </c>
      <c r="I169">
        <v>0.1</v>
      </c>
      <c r="J169">
        <v>1011.6</v>
      </c>
      <c r="K169">
        <v>202.32</v>
      </c>
      <c r="L169" t="s">
        <v>26</v>
      </c>
      <c r="M169" t="s">
        <v>27</v>
      </c>
    </row>
    <row r="170" spans="1:18" x14ac:dyDescent="0.35">
      <c r="A170" t="s">
        <v>305</v>
      </c>
      <c r="B170" t="s">
        <v>112</v>
      </c>
      <c r="C170" s="1">
        <v>45457</v>
      </c>
      <c r="D170" t="s">
        <v>37</v>
      </c>
      <c r="E170" t="s">
        <v>24</v>
      </c>
      <c r="F170" t="s">
        <v>25</v>
      </c>
      <c r="G170">
        <v>4</v>
      </c>
      <c r="H170">
        <v>370</v>
      </c>
      <c r="I170">
        <v>0.05</v>
      </c>
      <c r="J170">
        <v>1406</v>
      </c>
      <c r="K170">
        <v>351.5</v>
      </c>
      <c r="L170" t="s">
        <v>39</v>
      </c>
      <c r="M170" t="s">
        <v>27</v>
      </c>
    </row>
    <row r="171" spans="1:18" x14ac:dyDescent="0.35">
      <c r="A171" t="s">
        <v>306</v>
      </c>
      <c r="B171" t="s">
        <v>307</v>
      </c>
      <c r="C171" s="1">
        <v>45810</v>
      </c>
      <c r="D171" t="s">
        <v>23</v>
      </c>
      <c r="E171" t="s">
        <v>24</v>
      </c>
      <c r="F171" t="s">
        <v>25</v>
      </c>
      <c r="G171">
        <v>4</v>
      </c>
      <c r="H171">
        <v>227</v>
      </c>
      <c r="I171">
        <v>0.05</v>
      </c>
      <c r="J171">
        <v>862.6</v>
      </c>
      <c r="K171">
        <v>215.65</v>
      </c>
      <c r="L171" t="s">
        <v>26</v>
      </c>
      <c r="M171" t="s">
        <v>27</v>
      </c>
    </row>
    <row r="172" spans="1:18" x14ac:dyDescent="0.35">
      <c r="A172" t="s">
        <v>308</v>
      </c>
      <c r="B172" t="s">
        <v>92</v>
      </c>
      <c r="C172" s="1">
        <v>45637</v>
      </c>
      <c r="D172" t="s">
        <v>37</v>
      </c>
      <c r="E172" t="s">
        <v>17</v>
      </c>
      <c r="F172" t="s">
        <v>78</v>
      </c>
      <c r="G172">
        <v>2</v>
      </c>
      <c r="H172">
        <v>378</v>
      </c>
      <c r="I172">
        <v>0.1</v>
      </c>
      <c r="J172">
        <v>680.4</v>
      </c>
      <c r="K172">
        <v>204.12</v>
      </c>
      <c r="L172" t="s">
        <v>26</v>
      </c>
      <c r="M172" t="s">
        <v>20</v>
      </c>
    </row>
    <row r="173" spans="1:18" x14ac:dyDescent="0.35">
      <c r="A173" t="s">
        <v>309</v>
      </c>
      <c r="B173" t="s">
        <v>254</v>
      </c>
      <c r="C173" s="1">
        <v>45850</v>
      </c>
      <c r="D173" t="s">
        <v>23</v>
      </c>
      <c r="E173" t="s">
        <v>33</v>
      </c>
      <c r="F173" t="s">
        <v>34</v>
      </c>
      <c r="G173">
        <v>2</v>
      </c>
      <c r="H173">
        <v>448</v>
      </c>
      <c r="I173">
        <v>0.1</v>
      </c>
      <c r="J173">
        <v>806.4</v>
      </c>
      <c r="K173">
        <v>201.6</v>
      </c>
      <c r="L173" t="s">
        <v>26</v>
      </c>
      <c r="M173" t="s">
        <v>20</v>
      </c>
    </row>
    <row r="174" spans="1:18" x14ac:dyDescent="0.35">
      <c r="A174" t="s">
        <v>310</v>
      </c>
      <c r="B174" t="s">
        <v>57</v>
      </c>
      <c r="C174" s="1">
        <v>45701</v>
      </c>
      <c r="D174" t="s">
        <v>23</v>
      </c>
      <c r="E174" t="s">
        <v>17</v>
      </c>
      <c r="F174" t="s">
        <v>58</v>
      </c>
      <c r="G174">
        <v>4</v>
      </c>
      <c r="H174">
        <v>316</v>
      </c>
      <c r="I174">
        <v>0.05</v>
      </c>
      <c r="J174">
        <v>1200.8</v>
      </c>
      <c r="K174">
        <v>360.24</v>
      </c>
      <c r="L174" t="s">
        <v>39</v>
      </c>
      <c r="M174" t="s">
        <v>20</v>
      </c>
    </row>
    <row r="175" spans="1:18" x14ac:dyDescent="0.35">
      <c r="A175" t="s">
        <v>311</v>
      </c>
      <c r="B175" t="s">
        <v>210</v>
      </c>
      <c r="C175" s="1">
        <v>45014</v>
      </c>
      <c r="D175" t="s">
        <v>42</v>
      </c>
      <c r="E175" t="s">
        <v>24</v>
      </c>
      <c r="F175" t="s">
        <v>25</v>
      </c>
      <c r="G175">
        <v>3</v>
      </c>
      <c r="H175">
        <v>311</v>
      </c>
      <c r="I175">
        <v>0.1</v>
      </c>
      <c r="J175">
        <v>839.7</v>
      </c>
      <c r="K175">
        <v>209.93</v>
      </c>
      <c r="L175" t="s">
        <v>39</v>
      </c>
      <c r="M175" t="s">
        <v>20</v>
      </c>
    </row>
    <row r="176" spans="1:18" x14ac:dyDescent="0.35">
      <c r="A176" t="s">
        <v>312</v>
      </c>
      <c r="B176" t="s">
        <v>313</v>
      </c>
      <c r="C176" s="1">
        <v>45143</v>
      </c>
      <c r="D176" t="s">
        <v>37</v>
      </c>
      <c r="E176" t="s">
        <v>33</v>
      </c>
      <c r="F176" t="s">
        <v>38</v>
      </c>
      <c r="G176">
        <v>1</v>
      </c>
      <c r="H176">
        <v>235</v>
      </c>
      <c r="I176">
        <v>0.15</v>
      </c>
      <c r="J176">
        <v>199.75</v>
      </c>
      <c r="K176">
        <v>59.92</v>
      </c>
      <c r="L176" t="s">
        <v>19</v>
      </c>
      <c r="M176" t="s">
        <v>27</v>
      </c>
    </row>
    <row r="177" spans="1:13" x14ac:dyDescent="0.35">
      <c r="A177" t="s">
        <v>314</v>
      </c>
      <c r="B177" t="s">
        <v>176</v>
      </c>
      <c r="C177" s="1">
        <v>45102</v>
      </c>
      <c r="D177" t="s">
        <v>23</v>
      </c>
      <c r="E177" t="s">
        <v>24</v>
      </c>
      <c r="F177" t="s">
        <v>49</v>
      </c>
      <c r="G177">
        <v>4</v>
      </c>
      <c r="H177">
        <v>331</v>
      </c>
      <c r="I177">
        <v>0</v>
      </c>
      <c r="J177">
        <v>1324</v>
      </c>
      <c r="K177">
        <v>397.2</v>
      </c>
      <c r="L177" t="s">
        <v>39</v>
      </c>
      <c r="M177" t="s">
        <v>27</v>
      </c>
    </row>
    <row r="178" spans="1:13" x14ac:dyDescent="0.35">
      <c r="A178" t="s">
        <v>315</v>
      </c>
      <c r="B178" t="s">
        <v>304</v>
      </c>
      <c r="C178" s="1">
        <v>45658</v>
      </c>
      <c r="D178" t="s">
        <v>37</v>
      </c>
      <c r="E178" t="s">
        <v>24</v>
      </c>
      <c r="F178" t="s">
        <v>30</v>
      </c>
      <c r="G178">
        <v>1</v>
      </c>
      <c r="H178">
        <v>242</v>
      </c>
      <c r="I178">
        <v>0</v>
      </c>
      <c r="J178">
        <v>242</v>
      </c>
      <c r="K178">
        <v>60.5</v>
      </c>
      <c r="L178" t="s">
        <v>19</v>
      </c>
      <c r="M178" t="s">
        <v>20</v>
      </c>
    </row>
    <row r="179" spans="1:13" x14ac:dyDescent="0.35">
      <c r="A179" t="s">
        <v>316</v>
      </c>
      <c r="B179" t="s">
        <v>317</v>
      </c>
      <c r="C179" s="1">
        <v>45057</v>
      </c>
      <c r="D179" t="s">
        <v>63</v>
      </c>
      <c r="E179" t="s">
        <v>17</v>
      </c>
      <c r="F179" t="s">
        <v>18</v>
      </c>
      <c r="G179">
        <v>1</v>
      </c>
      <c r="H179">
        <v>397</v>
      </c>
      <c r="I179">
        <v>0.1</v>
      </c>
      <c r="J179">
        <v>357.3</v>
      </c>
      <c r="K179">
        <v>107.19</v>
      </c>
      <c r="L179" t="s">
        <v>19</v>
      </c>
      <c r="M179" t="s">
        <v>20</v>
      </c>
    </row>
    <row r="180" spans="1:13" x14ac:dyDescent="0.35">
      <c r="A180" t="s">
        <v>318</v>
      </c>
      <c r="B180" t="s">
        <v>166</v>
      </c>
      <c r="C180" s="1">
        <v>45505</v>
      </c>
      <c r="D180" t="s">
        <v>16</v>
      </c>
      <c r="E180" t="s">
        <v>17</v>
      </c>
      <c r="F180" t="s">
        <v>78</v>
      </c>
      <c r="G180">
        <v>2</v>
      </c>
      <c r="H180">
        <v>440</v>
      </c>
      <c r="I180">
        <v>0</v>
      </c>
      <c r="J180">
        <v>880</v>
      </c>
      <c r="K180">
        <v>264</v>
      </c>
      <c r="L180" t="s">
        <v>26</v>
      </c>
      <c r="M180" t="s">
        <v>20</v>
      </c>
    </row>
    <row r="181" spans="1:13" x14ac:dyDescent="0.35">
      <c r="A181" t="s">
        <v>319</v>
      </c>
      <c r="B181" t="s">
        <v>246</v>
      </c>
      <c r="C181" s="1">
        <v>45233</v>
      </c>
      <c r="D181" t="s">
        <v>42</v>
      </c>
      <c r="E181" t="s">
        <v>17</v>
      </c>
      <c r="F181" t="s">
        <v>78</v>
      </c>
      <c r="G181">
        <v>2</v>
      </c>
      <c r="H181">
        <v>381</v>
      </c>
      <c r="I181">
        <v>0</v>
      </c>
      <c r="J181">
        <v>762</v>
      </c>
      <c r="K181">
        <v>190.5</v>
      </c>
      <c r="L181" t="s">
        <v>19</v>
      </c>
      <c r="M181" t="s">
        <v>27</v>
      </c>
    </row>
    <row r="182" spans="1:13" x14ac:dyDescent="0.35">
      <c r="A182" t="s">
        <v>320</v>
      </c>
      <c r="B182" t="s">
        <v>183</v>
      </c>
      <c r="C182" s="1">
        <v>45079</v>
      </c>
      <c r="D182" t="s">
        <v>63</v>
      </c>
      <c r="E182" t="s">
        <v>33</v>
      </c>
      <c r="F182" t="s">
        <v>71</v>
      </c>
      <c r="G182">
        <v>3</v>
      </c>
      <c r="H182">
        <v>100</v>
      </c>
      <c r="I182">
        <v>0.15</v>
      </c>
      <c r="J182">
        <v>255</v>
      </c>
      <c r="K182">
        <v>63.75</v>
      </c>
      <c r="L182" t="s">
        <v>39</v>
      </c>
      <c r="M182" t="s">
        <v>27</v>
      </c>
    </row>
    <row r="183" spans="1:13" x14ac:dyDescent="0.35">
      <c r="A183" t="s">
        <v>321</v>
      </c>
      <c r="B183" t="s">
        <v>322</v>
      </c>
      <c r="C183" s="1">
        <v>44965</v>
      </c>
      <c r="D183" t="s">
        <v>37</v>
      </c>
      <c r="E183" t="s">
        <v>17</v>
      </c>
      <c r="F183" t="s">
        <v>46</v>
      </c>
      <c r="G183">
        <v>4</v>
      </c>
      <c r="H183">
        <v>80</v>
      </c>
      <c r="I183">
        <v>0.15</v>
      </c>
      <c r="J183">
        <v>272</v>
      </c>
      <c r="K183">
        <v>68</v>
      </c>
      <c r="L183" t="s">
        <v>19</v>
      </c>
      <c r="M183" t="s">
        <v>20</v>
      </c>
    </row>
    <row r="184" spans="1:13" x14ac:dyDescent="0.35">
      <c r="A184" t="s">
        <v>323</v>
      </c>
      <c r="B184" t="s">
        <v>185</v>
      </c>
      <c r="C184" s="1">
        <v>45781</v>
      </c>
      <c r="D184" t="s">
        <v>42</v>
      </c>
      <c r="E184" t="s">
        <v>33</v>
      </c>
      <c r="F184" t="s">
        <v>43</v>
      </c>
      <c r="G184">
        <v>1</v>
      </c>
      <c r="H184">
        <v>108</v>
      </c>
      <c r="I184">
        <v>0</v>
      </c>
      <c r="J184">
        <v>108</v>
      </c>
      <c r="K184">
        <v>21.6</v>
      </c>
      <c r="L184" t="s">
        <v>19</v>
      </c>
      <c r="M184" t="s">
        <v>27</v>
      </c>
    </row>
    <row r="185" spans="1:13" x14ac:dyDescent="0.35">
      <c r="A185" t="s">
        <v>324</v>
      </c>
      <c r="B185" t="s">
        <v>80</v>
      </c>
      <c r="C185" s="1">
        <v>46009</v>
      </c>
      <c r="D185" t="s">
        <v>16</v>
      </c>
      <c r="E185" t="s">
        <v>33</v>
      </c>
      <c r="F185" t="s">
        <v>38</v>
      </c>
      <c r="G185">
        <v>4</v>
      </c>
      <c r="H185">
        <v>448</v>
      </c>
      <c r="I185">
        <v>0.1</v>
      </c>
      <c r="J185">
        <v>1612.8</v>
      </c>
      <c r="K185">
        <v>483.84</v>
      </c>
      <c r="L185" t="s">
        <v>19</v>
      </c>
      <c r="M185" t="s">
        <v>20</v>
      </c>
    </row>
    <row r="186" spans="1:13" x14ac:dyDescent="0.35">
      <c r="A186" t="s">
        <v>325</v>
      </c>
      <c r="B186" t="s">
        <v>326</v>
      </c>
      <c r="C186" s="1">
        <v>45218</v>
      </c>
      <c r="D186" t="s">
        <v>37</v>
      </c>
      <c r="E186" t="s">
        <v>33</v>
      </c>
      <c r="F186" t="s">
        <v>66</v>
      </c>
      <c r="G186">
        <v>2</v>
      </c>
      <c r="H186">
        <v>448</v>
      </c>
      <c r="I186">
        <v>0.1</v>
      </c>
      <c r="J186">
        <v>806.4</v>
      </c>
      <c r="K186">
        <v>161.28</v>
      </c>
      <c r="L186" t="s">
        <v>39</v>
      </c>
      <c r="M186" t="s">
        <v>20</v>
      </c>
    </row>
    <row r="187" spans="1:13" x14ac:dyDescent="0.35">
      <c r="A187" t="s">
        <v>327</v>
      </c>
      <c r="B187" t="s">
        <v>110</v>
      </c>
      <c r="C187" s="1">
        <v>45368</v>
      </c>
      <c r="D187" t="s">
        <v>42</v>
      </c>
      <c r="E187" t="s">
        <v>33</v>
      </c>
      <c r="F187" t="s">
        <v>34</v>
      </c>
      <c r="G187">
        <v>3</v>
      </c>
      <c r="H187">
        <v>125</v>
      </c>
      <c r="I187">
        <v>0.05</v>
      </c>
      <c r="J187">
        <v>356.25</v>
      </c>
      <c r="K187">
        <v>106.88</v>
      </c>
      <c r="L187" t="s">
        <v>19</v>
      </c>
      <c r="M187" t="s">
        <v>27</v>
      </c>
    </row>
    <row r="188" spans="1:13" x14ac:dyDescent="0.35">
      <c r="A188" t="s">
        <v>328</v>
      </c>
      <c r="B188" t="s">
        <v>273</v>
      </c>
      <c r="C188" s="1">
        <v>45857</v>
      </c>
      <c r="D188" t="s">
        <v>42</v>
      </c>
      <c r="E188" t="s">
        <v>17</v>
      </c>
      <c r="F188" t="s">
        <v>18</v>
      </c>
      <c r="G188">
        <v>1</v>
      </c>
      <c r="H188">
        <v>109</v>
      </c>
      <c r="I188">
        <v>0.15</v>
      </c>
      <c r="J188">
        <v>92.65</v>
      </c>
      <c r="K188">
        <v>23.16</v>
      </c>
      <c r="L188" t="s">
        <v>39</v>
      </c>
      <c r="M188" t="s">
        <v>20</v>
      </c>
    </row>
    <row r="189" spans="1:13" x14ac:dyDescent="0.35">
      <c r="A189" t="s">
        <v>329</v>
      </c>
      <c r="B189" t="s">
        <v>176</v>
      </c>
      <c r="C189" s="1">
        <v>45095</v>
      </c>
      <c r="D189" t="s">
        <v>42</v>
      </c>
      <c r="E189" t="s">
        <v>17</v>
      </c>
      <c r="F189" t="s">
        <v>46</v>
      </c>
      <c r="G189">
        <v>3</v>
      </c>
      <c r="H189">
        <v>357</v>
      </c>
      <c r="I189">
        <v>0.05</v>
      </c>
      <c r="J189">
        <v>1017.45</v>
      </c>
      <c r="K189">
        <v>203.49</v>
      </c>
      <c r="L189" t="s">
        <v>19</v>
      </c>
      <c r="M189" t="s">
        <v>27</v>
      </c>
    </row>
    <row r="190" spans="1:13" x14ac:dyDescent="0.35">
      <c r="A190" t="s">
        <v>330</v>
      </c>
      <c r="B190" t="s">
        <v>86</v>
      </c>
      <c r="C190" s="1">
        <v>45584</v>
      </c>
      <c r="D190" t="s">
        <v>42</v>
      </c>
      <c r="E190" t="s">
        <v>33</v>
      </c>
      <c r="F190" t="s">
        <v>66</v>
      </c>
      <c r="G190">
        <v>1</v>
      </c>
      <c r="H190">
        <v>388</v>
      </c>
      <c r="I190">
        <v>0</v>
      </c>
      <c r="J190">
        <v>388</v>
      </c>
      <c r="K190">
        <v>116.4</v>
      </c>
      <c r="L190" t="s">
        <v>26</v>
      </c>
      <c r="M190" t="s">
        <v>27</v>
      </c>
    </row>
    <row r="191" spans="1:13" x14ac:dyDescent="0.35">
      <c r="A191" t="s">
        <v>331</v>
      </c>
      <c r="B191" t="s">
        <v>332</v>
      </c>
      <c r="C191" s="1">
        <v>45576</v>
      </c>
      <c r="D191" t="s">
        <v>42</v>
      </c>
      <c r="E191" t="s">
        <v>33</v>
      </c>
      <c r="F191" t="s">
        <v>66</v>
      </c>
      <c r="G191">
        <v>2</v>
      </c>
      <c r="H191">
        <v>201</v>
      </c>
      <c r="I191">
        <v>0.05</v>
      </c>
      <c r="J191">
        <v>381.9</v>
      </c>
      <c r="K191">
        <v>76.38</v>
      </c>
      <c r="L191" t="s">
        <v>39</v>
      </c>
      <c r="M191" t="s">
        <v>20</v>
      </c>
    </row>
    <row r="192" spans="1:13" x14ac:dyDescent="0.35">
      <c r="A192" t="s">
        <v>333</v>
      </c>
      <c r="B192" t="s">
        <v>232</v>
      </c>
      <c r="C192" s="1">
        <v>44947</v>
      </c>
      <c r="D192" t="s">
        <v>37</v>
      </c>
      <c r="E192" t="s">
        <v>17</v>
      </c>
      <c r="F192" t="s">
        <v>78</v>
      </c>
      <c r="G192">
        <v>3</v>
      </c>
      <c r="H192">
        <v>125</v>
      </c>
      <c r="I192">
        <v>0.1</v>
      </c>
      <c r="J192">
        <v>337.5</v>
      </c>
      <c r="K192">
        <v>84.38</v>
      </c>
      <c r="L192" t="s">
        <v>19</v>
      </c>
      <c r="M192" t="s">
        <v>27</v>
      </c>
    </row>
    <row r="193" spans="1:13" x14ac:dyDescent="0.35">
      <c r="A193" t="s">
        <v>334</v>
      </c>
      <c r="B193" t="s">
        <v>225</v>
      </c>
      <c r="C193" s="1">
        <v>45163</v>
      </c>
      <c r="D193" t="s">
        <v>37</v>
      </c>
      <c r="E193" t="s">
        <v>33</v>
      </c>
      <c r="F193" t="s">
        <v>43</v>
      </c>
      <c r="G193">
        <v>2</v>
      </c>
      <c r="H193">
        <v>153</v>
      </c>
      <c r="I193">
        <v>0.1</v>
      </c>
      <c r="J193">
        <v>275.39999999999998</v>
      </c>
      <c r="K193">
        <v>82.62</v>
      </c>
      <c r="L193" t="s">
        <v>19</v>
      </c>
      <c r="M193" t="s">
        <v>20</v>
      </c>
    </row>
    <row r="194" spans="1:13" x14ac:dyDescent="0.35">
      <c r="A194" t="s">
        <v>335</v>
      </c>
      <c r="B194" t="s">
        <v>285</v>
      </c>
      <c r="C194" s="1">
        <v>45611</v>
      </c>
      <c r="D194" t="s">
        <v>63</v>
      </c>
      <c r="E194" t="s">
        <v>17</v>
      </c>
      <c r="F194" t="s">
        <v>46</v>
      </c>
      <c r="G194">
        <v>3</v>
      </c>
      <c r="H194">
        <v>422</v>
      </c>
      <c r="I194">
        <v>0.15</v>
      </c>
      <c r="J194">
        <v>1076.0999999999999</v>
      </c>
      <c r="K194">
        <v>215.22</v>
      </c>
      <c r="L194" t="s">
        <v>26</v>
      </c>
      <c r="M194" t="s">
        <v>20</v>
      </c>
    </row>
    <row r="195" spans="1:13" x14ac:dyDescent="0.35">
      <c r="A195" t="s">
        <v>336</v>
      </c>
      <c r="B195" t="s">
        <v>146</v>
      </c>
      <c r="C195" s="1">
        <v>45311</v>
      </c>
      <c r="D195" t="s">
        <v>63</v>
      </c>
      <c r="E195" t="s">
        <v>33</v>
      </c>
      <c r="F195" t="s">
        <v>66</v>
      </c>
      <c r="G195">
        <v>3</v>
      </c>
      <c r="H195">
        <v>218</v>
      </c>
      <c r="I195">
        <v>0.1</v>
      </c>
      <c r="J195">
        <v>588.6</v>
      </c>
      <c r="K195">
        <v>117.72</v>
      </c>
      <c r="L195" t="s">
        <v>39</v>
      </c>
      <c r="M195" t="s">
        <v>20</v>
      </c>
    </row>
    <row r="196" spans="1:13" x14ac:dyDescent="0.35">
      <c r="A196" t="s">
        <v>337</v>
      </c>
      <c r="B196" t="s">
        <v>187</v>
      </c>
      <c r="C196" s="1">
        <v>45679</v>
      </c>
      <c r="D196" t="s">
        <v>16</v>
      </c>
      <c r="E196" t="s">
        <v>24</v>
      </c>
      <c r="F196" t="s">
        <v>30</v>
      </c>
      <c r="G196">
        <v>4</v>
      </c>
      <c r="H196">
        <v>297</v>
      </c>
      <c r="I196">
        <v>0.05</v>
      </c>
      <c r="J196">
        <v>1128.5999999999999</v>
      </c>
      <c r="K196">
        <v>225.72</v>
      </c>
      <c r="L196" t="s">
        <v>39</v>
      </c>
      <c r="M196" t="s">
        <v>27</v>
      </c>
    </row>
    <row r="197" spans="1:13" x14ac:dyDescent="0.35">
      <c r="A197" t="s">
        <v>338</v>
      </c>
      <c r="B197" t="s">
        <v>166</v>
      </c>
      <c r="C197" s="1">
        <v>45445</v>
      </c>
      <c r="D197" t="s">
        <v>16</v>
      </c>
      <c r="E197" t="s">
        <v>17</v>
      </c>
      <c r="F197" t="s">
        <v>58</v>
      </c>
      <c r="G197">
        <v>1</v>
      </c>
      <c r="H197">
        <v>398</v>
      </c>
      <c r="I197">
        <v>0</v>
      </c>
      <c r="J197">
        <v>398</v>
      </c>
      <c r="K197">
        <v>99.5</v>
      </c>
      <c r="L197" t="s">
        <v>39</v>
      </c>
      <c r="M197" t="s">
        <v>20</v>
      </c>
    </row>
    <row r="198" spans="1:13" x14ac:dyDescent="0.35">
      <c r="A198" t="s">
        <v>339</v>
      </c>
      <c r="B198" t="s">
        <v>204</v>
      </c>
      <c r="C198" s="1">
        <v>45620</v>
      </c>
      <c r="D198" t="s">
        <v>23</v>
      </c>
      <c r="E198" t="s">
        <v>24</v>
      </c>
      <c r="F198" t="s">
        <v>49</v>
      </c>
      <c r="G198">
        <v>4</v>
      </c>
      <c r="H198">
        <v>151</v>
      </c>
      <c r="I198">
        <v>0.1</v>
      </c>
      <c r="J198">
        <v>543.6</v>
      </c>
      <c r="K198">
        <v>163.08000000000001</v>
      </c>
      <c r="L198" t="s">
        <v>19</v>
      </c>
      <c r="M198" t="s">
        <v>20</v>
      </c>
    </row>
    <row r="199" spans="1:13" x14ac:dyDescent="0.35">
      <c r="A199" t="s">
        <v>340</v>
      </c>
      <c r="B199" t="s">
        <v>68</v>
      </c>
      <c r="C199" s="1">
        <v>45523</v>
      </c>
      <c r="D199" t="s">
        <v>16</v>
      </c>
      <c r="E199" t="s">
        <v>24</v>
      </c>
      <c r="F199" t="s">
        <v>49</v>
      </c>
      <c r="G199">
        <v>1</v>
      </c>
      <c r="H199">
        <v>128</v>
      </c>
      <c r="I199">
        <v>0</v>
      </c>
      <c r="J199">
        <v>128</v>
      </c>
      <c r="K199">
        <v>38.4</v>
      </c>
      <c r="L199" t="s">
        <v>39</v>
      </c>
      <c r="M199" t="s">
        <v>20</v>
      </c>
    </row>
    <row r="200" spans="1:13" x14ac:dyDescent="0.35">
      <c r="A200" t="s">
        <v>341</v>
      </c>
      <c r="B200" t="s">
        <v>250</v>
      </c>
      <c r="C200" s="1">
        <v>45254</v>
      </c>
      <c r="D200" t="s">
        <v>23</v>
      </c>
      <c r="E200" t="s">
        <v>24</v>
      </c>
      <c r="F200" t="s">
        <v>25</v>
      </c>
      <c r="G200">
        <v>2</v>
      </c>
      <c r="H200">
        <v>258</v>
      </c>
      <c r="I200">
        <v>0</v>
      </c>
      <c r="J200">
        <v>516</v>
      </c>
      <c r="K200">
        <v>129</v>
      </c>
      <c r="L200" t="s">
        <v>39</v>
      </c>
      <c r="M200" t="s">
        <v>20</v>
      </c>
    </row>
    <row r="201" spans="1:13" x14ac:dyDescent="0.35">
      <c r="A201" t="s">
        <v>342</v>
      </c>
      <c r="B201" t="s">
        <v>343</v>
      </c>
      <c r="C201" s="1">
        <v>45745</v>
      </c>
      <c r="D201" t="s">
        <v>63</v>
      </c>
      <c r="E201" t="s">
        <v>24</v>
      </c>
      <c r="F201" t="s">
        <v>30</v>
      </c>
      <c r="G201">
        <v>3</v>
      </c>
      <c r="H201">
        <v>234</v>
      </c>
      <c r="I201">
        <v>0.15</v>
      </c>
      <c r="J201">
        <v>596.70000000000005</v>
      </c>
      <c r="K201">
        <v>179.01</v>
      </c>
      <c r="L201" t="s">
        <v>19</v>
      </c>
      <c r="M201" t="s">
        <v>20</v>
      </c>
    </row>
    <row r="202" spans="1:13" x14ac:dyDescent="0.35">
      <c r="A202" t="s">
        <v>344</v>
      </c>
      <c r="B202" t="s">
        <v>82</v>
      </c>
      <c r="C202" s="1">
        <v>45669</v>
      </c>
      <c r="D202" t="s">
        <v>16</v>
      </c>
      <c r="E202" t="s">
        <v>24</v>
      </c>
      <c r="F202" t="s">
        <v>25</v>
      </c>
      <c r="G202">
        <v>4</v>
      </c>
      <c r="H202">
        <v>131</v>
      </c>
      <c r="I202">
        <v>0.1</v>
      </c>
      <c r="J202">
        <v>471.6</v>
      </c>
      <c r="K202">
        <v>141.47999999999999</v>
      </c>
      <c r="L202" t="s">
        <v>39</v>
      </c>
      <c r="M202" t="s">
        <v>27</v>
      </c>
    </row>
    <row r="203" spans="1:13" x14ac:dyDescent="0.35">
      <c r="A203" t="s">
        <v>345</v>
      </c>
      <c r="B203" t="s">
        <v>346</v>
      </c>
      <c r="C203" s="1">
        <v>45200</v>
      </c>
      <c r="D203" t="s">
        <v>23</v>
      </c>
      <c r="E203" t="s">
        <v>24</v>
      </c>
      <c r="F203" t="s">
        <v>49</v>
      </c>
      <c r="G203">
        <v>4</v>
      </c>
      <c r="H203">
        <v>280</v>
      </c>
      <c r="I203">
        <v>0.05</v>
      </c>
      <c r="J203">
        <v>1064</v>
      </c>
      <c r="K203">
        <v>212.8</v>
      </c>
      <c r="L203" t="s">
        <v>19</v>
      </c>
      <c r="M203" t="s">
        <v>20</v>
      </c>
    </row>
    <row r="204" spans="1:13" x14ac:dyDescent="0.35">
      <c r="A204" t="s">
        <v>347</v>
      </c>
      <c r="B204" t="s">
        <v>86</v>
      </c>
      <c r="C204" s="1">
        <v>45242</v>
      </c>
      <c r="D204" t="s">
        <v>16</v>
      </c>
      <c r="E204" t="s">
        <v>24</v>
      </c>
      <c r="F204" t="s">
        <v>49</v>
      </c>
      <c r="G204">
        <v>3</v>
      </c>
      <c r="H204">
        <v>240</v>
      </c>
      <c r="I204">
        <v>0.05</v>
      </c>
      <c r="J204">
        <v>684</v>
      </c>
      <c r="K204">
        <v>205.2</v>
      </c>
      <c r="L204" t="s">
        <v>39</v>
      </c>
      <c r="M204" t="s">
        <v>20</v>
      </c>
    </row>
    <row r="205" spans="1:13" x14ac:dyDescent="0.35">
      <c r="A205" t="s">
        <v>348</v>
      </c>
      <c r="B205" t="s">
        <v>198</v>
      </c>
      <c r="C205" s="1">
        <v>45492</v>
      </c>
      <c r="D205" t="s">
        <v>16</v>
      </c>
      <c r="E205" t="s">
        <v>24</v>
      </c>
      <c r="F205" t="s">
        <v>107</v>
      </c>
      <c r="G205">
        <v>4</v>
      </c>
      <c r="H205">
        <v>176</v>
      </c>
      <c r="I205">
        <v>0.15</v>
      </c>
      <c r="J205">
        <v>598.4</v>
      </c>
      <c r="K205">
        <v>119.68</v>
      </c>
      <c r="L205" t="s">
        <v>39</v>
      </c>
      <c r="M205" t="s">
        <v>20</v>
      </c>
    </row>
    <row r="206" spans="1:13" x14ac:dyDescent="0.35">
      <c r="A206" t="s">
        <v>349</v>
      </c>
      <c r="B206" t="s">
        <v>110</v>
      </c>
      <c r="C206" s="1">
        <v>45793</v>
      </c>
      <c r="D206" t="s">
        <v>63</v>
      </c>
      <c r="E206" t="s">
        <v>17</v>
      </c>
      <c r="F206" t="s">
        <v>18</v>
      </c>
      <c r="G206">
        <v>1</v>
      </c>
      <c r="H206">
        <v>292</v>
      </c>
      <c r="I206">
        <v>0.15</v>
      </c>
      <c r="J206">
        <v>248.2</v>
      </c>
      <c r="K206">
        <v>49.64</v>
      </c>
      <c r="L206" t="s">
        <v>19</v>
      </c>
      <c r="M206" t="s">
        <v>27</v>
      </c>
    </row>
    <row r="207" spans="1:13" x14ac:dyDescent="0.35">
      <c r="A207" t="s">
        <v>350</v>
      </c>
      <c r="B207" t="s">
        <v>57</v>
      </c>
      <c r="C207" s="1">
        <v>45160</v>
      </c>
      <c r="D207" t="s">
        <v>42</v>
      </c>
      <c r="E207" t="s">
        <v>33</v>
      </c>
      <c r="F207" t="s">
        <v>38</v>
      </c>
      <c r="G207">
        <v>4</v>
      </c>
      <c r="H207">
        <v>444</v>
      </c>
      <c r="I207">
        <v>0.15</v>
      </c>
      <c r="J207">
        <v>1509.6</v>
      </c>
      <c r="K207">
        <v>377.4</v>
      </c>
      <c r="L207" t="s">
        <v>39</v>
      </c>
      <c r="M207" t="s">
        <v>27</v>
      </c>
    </row>
    <row r="208" spans="1:13" x14ac:dyDescent="0.35">
      <c r="A208" t="s">
        <v>351</v>
      </c>
      <c r="B208" t="s">
        <v>210</v>
      </c>
      <c r="C208" s="1">
        <v>45771</v>
      </c>
      <c r="D208" t="s">
        <v>23</v>
      </c>
      <c r="E208" t="s">
        <v>17</v>
      </c>
      <c r="F208" t="s">
        <v>46</v>
      </c>
      <c r="G208">
        <v>3</v>
      </c>
      <c r="H208">
        <v>288</v>
      </c>
      <c r="I208">
        <v>0.05</v>
      </c>
      <c r="J208">
        <v>820.8</v>
      </c>
      <c r="K208">
        <v>205.2</v>
      </c>
      <c r="L208" t="s">
        <v>19</v>
      </c>
      <c r="M208" t="s">
        <v>20</v>
      </c>
    </row>
    <row r="209" spans="1:13" x14ac:dyDescent="0.35">
      <c r="A209" t="s">
        <v>352</v>
      </c>
      <c r="B209" t="s">
        <v>307</v>
      </c>
      <c r="C209" s="1">
        <v>44987</v>
      </c>
      <c r="D209" t="s">
        <v>16</v>
      </c>
      <c r="E209" t="s">
        <v>17</v>
      </c>
      <c r="F209" t="s">
        <v>18</v>
      </c>
      <c r="G209">
        <v>3</v>
      </c>
      <c r="H209">
        <v>134</v>
      </c>
      <c r="I209">
        <v>0.15</v>
      </c>
      <c r="J209">
        <v>341.7</v>
      </c>
      <c r="K209">
        <v>85.42</v>
      </c>
      <c r="L209" t="s">
        <v>26</v>
      </c>
      <c r="M209" t="s">
        <v>20</v>
      </c>
    </row>
    <row r="210" spans="1:13" x14ac:dyDescent="0.35">
      <c r="A210" t="s">
        <v>353</v>
      </c>
      <c r="B210" t="s">
        <v>32</v>
      </c>
      <c r="C210" s="1">
        <v>45315</v>
      </c>
      <c r="D210" t="s">
        <v>16</v>
      </c>
      <c r="E210" t="s">
        <v>17</v>
      </c>
      <c r="F210" t="s">
        <v>78</v>
      </c>
      <c r="G210">
        <v>1</v>
      </c>
      <c r="H210">
        <v>173</v>
      </c>
      <c r="I210">
        <v>0</v>
      </c>
      <c r="J210">
        <v>173</v>
      </c>
      <c r="K210">
        <v>51.9</v>
      </c>
      <c r="L210" t="s">
        <v>26</v>
      </c>
      <c r="M210" t="s">
        <v>27</v>
      </c>
    </row>
    <row r="211" spans="1:13" x14ac:dyDescent="0.35">
      <c r="A211" t="s">
        <v>354</v>
      </c>
      <c r="B211" t="s">
        <v>88</v>
      </c>
      <c r="C211" s="1">
        <v>45309</v>
      </c>
      <c r="D211" t="s">
        <v>63</v>
      </c>
      <c r="E211" t="s">
        <v>17</v>
      </c>
      <c r="F211" t="s">
        <v>58</v>
      </c>
      <c r="G211">
        <v>2</v>
      </c>
      <c r="H211">
        <v>239</v>
      </c>
      <c r="I211">
        <v>0.05</v>
      </c>
      <c r="J211">
        <v>454.1</v>
      </c>
      <c r="K211">
        <v>90.82</v>
      </c>
      <c r="L211" t="s">
        <v>26</v>
      </c>
      <c r="M211" t="s">
        <v>20</v>
      </c>
    </row>
    <row r="212" spans="1:13" x14ac:dyDescent="0.35">
      <c r="A212" t="s">
        <v>355</v>
      </c>
      <c r="B212" t="s">
        <v>260</v>
      </c>
      <c r="C212" s="1">
        <v>45993</v>
      </c>
      <c r="D212" t="s">
        <v>63</v>
      </c>
      <c r="E212" t="s">
        <v>24</v>
      </c>
      <c r="F212" t="s">
        <v>107</v>
      </c>
      <c r="G212">
        <v>4</v>
      </c>
      <c r="H212">
        <v>407</v>
      </c>
      <c r="I212">
        <v>0.05</v>
      </c>
      <c r="J212">
        <v>1546.6</v>
      </c>
      <c r="K212">
        <v>386.65</v>
      </c>
      <c r="L212" t="s">
        <v>19</v>
      </c>
      <c r="M212" t="s">
        <v>27</v>
      </c>
    </row>
    <row r="213" spans="1:13" x14ac:dyDescent="0.35">
      <c r="A213" t="s">
        <v>356</v>
      </c>
      <c r="B213" t="s">
        <v>210</v>
      </c>
      <c r="C213" s="1">
        <v>45178</v>
      </c>
      <c r="D213" t="s">
        <v>37</v>
      </c>
      <c r="E213" t="s">
        <v>24</v>
      </c>
      <c r="F213" t="s">
        <v>49</v>
      </c>
      <c r="G213">
        <v>4</v>
      </c>
      <c r="H213">
        <v>317</v>
      </c>
      <c r="I213">
        <v>0.1</v>
      </c>
      <c r="J213">
        <v>1141.2</v>
      </c>
      <c r="K213">
        <v>285.3</v>
      </c>
      <c r="L213" t="s">
        <v>19</v>
      </c>
      <c r="M213" t="s">
        <v>27</v>
      </c>
    </row>
    <row r="214" spans="1:13" x14ac:dyDescent="0.35">
      <c r="A214" t="s">
        <v>357</v>
      </c>
      <c r="B214" t="s">
        <v>223</v>
      </c>
      <c r="C214" s="1">
        <v>45578</v>
      </c>
      <c r="D214" t="s">
        <v>42</v>
      </c>
      <c r="E214" t="s">
        <v>24</v>
      </c>
      <c r="F214" t="s">
        <v>25</v>
      </c>
      <c r="G214">
        <v>4</v>
      </c>
      <c r="H214">
        <v>273</v>
      </c>
      <c r="I214">
        <v>0.1</v>
      </c>
      <c r="J214">
        <v>982.8</v>
      </c>
      <c r="K214">
        <v>196.56</v>
      </c>
      <c r="L214" t="s">
        <v>26</v>
      </c>
      <c r="M214" t="s">
        <v>20</v>
      </c>
    </row>
    <row r="215" spans="1:13" x14ac:dyDescent="0.35">
      <c r="A215" t="s">
        <v>358</v>
      </c>
      <c r="B215" t="s">
        <v>51</v>
      </c>
      <c r="C215" s="1">
        <v>45468</v>
      </c>
      <c r="D215" t="s">
        <v>23</v>
      </c>
      <c r="E215" t="s">
        <v>33</v>
      </c>
      <c r="F215" t="s">
        <v>38</v>
      </c>
      <c r="G215">
        <v>1</v>
      </c>
      <c r="H215">
        <v>100</v>
      </c>
      <c r="I215">
        <v>0.15</v>
      </c>
      <c r="J215">
        <v>85</v>
      </c>
      <c r="K215">
        <v>25.5</v>
      </c>
      <c r="L215" t="s">
        <v>19</v>
      </c>
      <c r="M215" t="s">
        <v>20</v>
      </c>
    </row>
    <row r="216" spans="1:13" x14ac:dyDescent="0.35">
      <c r="A216" t="s">
        <v>359</v>
      </c>
      <c r="B216" t="s">
        <v>360</v>
      </c>
      <c r="C216" s="1">
        <v>45990</v>
      </c>
      <c r="D216" t="s">
        <v>63</v>
      </c>
      <c r="E216" t="s">
        <v>17</v>
      </c>
      <c r="F216" t="s">
        <v>18</v>
      </c>
      <c r="G216">
        <v>2</v>
      </c>
      <c r="H216">
        <v>313</v>
      </c>
      <c r="I216">
        <v>0.05</v>
      </c>
      <c r="J216">
        <v>594.70000000000005</v>
      </c>
      <c r="K216">
        <v>178.41</v>
      </c>
      <c r="L216" t="s">
        <v>26</v>
      </c>
      <c r="M216" t="s">
        <v>27</v>
      </c>
    </row>
    <row r="217" spans="1:13" x14ac:dyDescent="0.35">
      <c r="A217" t="s">
        <v>361</v>
      </c>
      <c r="B217" t="s">
        <v>362</v>
      </c>
      <c r="C217" s="1">
        <v>45020</v>
      </c>
      <c r="D217" t="s">
        <v>16</v>
      </c>
      <c r="E217" t="s">
        <v>17</v>
      </c>
      <c r="F217" t="s">
        <v>46</v>
      </c>
      <c r="G217">
        <v>2</v>
      </c>
      <c r="H217">
        <v>322</v>
      </c>
      <c r="I217">
        <v>0</v>
      </c>
      <c r="J217">
        <v>644</v>
      </c>
      <c r="K217">
        <v>161</v>
      </c>
      <c r="L217" t="s">
        <v>26</v>
      </c>
      <c r="M217" t="s">
        <v>27</v>
      </c>
    </row>
    <row r="218" spans="1:13" x14ac:dyDescent="0.35">
      <c r="A218" t="s">
        <v>363</v>
      </c>
      <c r="B218" t="s">
        <v>146</v>
      </c>
      <c r="C218" s="1">
        <v>44942</v>
      </c>
      <c r="D218" t="s">
        <v>63</v>
      </c>
      <c r="E218" t="s">
        <v>17</v>
      </c>
      <c r="F218" t="s">
        <v>18</v>
      </c>
      <c r="G218">
        <v>2</v>
      </c>
      <c r="H218">
        <v>329</v>
      </c>
      <c r="I218">
        <v>0.1</v>
      </c>
      <c r="J218">
        <v>592.20000000000005</v>
      </c>
      <c r="K218">
        <v>177.66</v>
      </c>
      <c r="L218" t="s">
        <v>19</v>
      </c>
      <c r="M218" t="s">
        <v>27</v>
      </c>
    </row>
    <row r="219" spans="1:13" x14ac:dyDescent="0.35">
      <c r="A219" t="s">
        <v>364</v>
      </c>
      <c r="B219" t="s">
        <v>105</v>
      </c>
      <c r="C219" s="1">
        <v>45096</v>
      </c>
      <c r="D219" t="s">
        <v>42</v>
      </c>
      <c r="E219" t="s">
        <v>17</v>
      </c>
      <c r="F219" t="s">
        <v>46</v>
      </c>
      <c r="G219">
        <v>2</v>
      </c>
      <c r="H219">
        <v>134</v>
      </c>
      <c r="I219">
        <v>0.1</v>
      </c>
      <c r="J219">
        <v>241.2</v>
      </c>
      <c r="K219">
        <v>48.24</v>
      </c>
      <c r="L219" t="s">
        <v>26</v>
      </c>
      <c r="M219" t="s">
        <v>20</v>
      </c>
    </row>
    <row r="220" spans="1:13" x14ac:dyDescent="0.35">
      <c r="A220" t="s">
        <v>365</v>
      </c>
      <c r="B220" t="s">
        <v>162</v>
      </c>
      <c r="C220" s="1">
        <v>45032</v>
      </c>
      <c r="D220" t="s">
        <v>63</v>
      </c>
      <c r="E220" t="s">
        <v>17</v>
      </c>
      <c r="F220" t="s">
        <v>78</v>
      </c>
      <c r="G220">
        <v>2</v>
      </c>
      <c r="H220">
        <v>164</v>
      </c>
      <c r="I220">
        <v>0.15</v>
      </c>
      <c r="J220">
        <v>278.8</v>
      </c>
      <c r="K220">
        <v>83.64</v>
      </c>
      <c r="L220" t="s">
        <v>39</v>
      </c>
      <c r="M220" t="s">
        <v>27</v>
      </c>
    </row>
    <row r="221" spans="1:13" x14ac:dyDescent="0.35">
      <c r="A221" t="s">
        <v>366</v>
      </c>
      <c r="B221" t="s">
        <v>115</v>
      </c>
      <c r="C221" s="1">
        <v>45588</v>
      </c>
      <c r="D221" t="s">
        <v>23</v>
      </c>
      <c r="E221" t="s">
        <v>17</v>
      </c>
      <c r="F221" t="s">
        <v>18</v>
      </c>
      <c r="G221">
        <v>3</v>
      </c>
      <c r="H221">
        <v>170</v>
      </c>
      <c r="I221">
        <v>0</v>
      </c>
      <c r="J221">
        <v>510</v>
      </c>
      <c r="K221">
        <v>153</v>
      </c>
      <c r="L221" t="s">
        <v>26</v>
      </c>
      <c r="M221" t="s">
        <v>20</v>
      </c>
    </row>
    <row r="222" spans="1:13" x14ac:dyDescent="0.35">
      <c r="A222" t="s">
        <v>367</v>
      </c>
      <c r="B222" t="s">
        <v>223</v>
      </c>
      <c r="C222" s="1">
        <v>45844</v>
      </c>
      <c r="D222" t="s">
        <v>37</v>
      </c>
      <c r="E222" t="s">
        <v>17</v>
      </c>
      <c r="F222" t="s">
        <v>18</v>
      </c>
      <c r="G222">
        <v>1</v>
      </c>
      <c r="H222">
        <v>104</v>
      </c>
      <c r="I222">
        <v>0.1</v>
      </c>
      <c r="J222">
        <v>93.6</v>
      </c>
      <c r="K222">
        <v>28.08</v>
      </c>
      <c r="L222" t="s">
        <v>26</v>
      </c>
      <c r="M222" t="s">
        <v>27</v>
      </c>
    </row>
    <row r="223" spans="1:13" x14ac:dyDescent="0.35">
      <c r="A223" t="s">
        <v>368</v>
      </c>
      <c r="B223" t="s">
        <v>105</v>
      </c>
      <c r="C223" s="1">
        <v>45701</v>
      </c>
      <c r="D223" t="s">
        <v>42</v>
      </c>
      <c r="E223" t="s">
        <v>17</v>
      </c>
      <c r="F223" t="s">
        <v>18</v>
      </c>
      <c r="G223">
        <v>1</v>
      </c>
      <c r="H223">
        <v>334</v>
      </c>
      <c r="I223">
        <v>0</v>
      </c>
      <c r="J223">
        <v>334</v>
      </c>
      <c r="K223">
        <v>83.5</v>
      </c>
      <c r="L223" t="s">
        <v>26</v>
      </c>
      <c r="M223" t="s">
        <v>27</v>
      </c>
    </row>
    <row r="224" spans="1:13" x14ac:dyDescent="0.35">
      <c r="A224" t="s">
        <v>369</v>
      </c>
      <c r="B224" t="s">
        <v>73</v>
      </c>
      <c r="C224" s="1">
        <v>45050</v>
      </c>
      <c r="D224" t="s">
        <v>37</v>
      </c>
      <c r="E224" t="s">
        <v>33</v>
      </c>
      <c r="F224" t="s">
        <v>66</v>
      </c>
      <c r="G224">
        <v>4</v>
      </c>
      <c r="H224">
        <v>128</v>
      </c>
      <c r="I224">
        <v>0.05</v>
      </c>
      <c r="J224">
        <v>486.4</v>
      </c>
      <c r="K224">
        <v>97.28</v>
      </c>
      <c r="L224" t="s">
        <v>39</v>
      </c>
      <c r="M224" t="s">
        <v>20</v>
      </c>
    </row>
    <row r="225" spans="1:13" x14ac:dyDescent="0.35">
      <c r="A225" t="s">
        <v>370</v>
      </c>
      <c r="B225" t="s">
        <v>250</v>
      </c>
      <c r="C225" s="1">
        <v>45224</v>
      </c>
      <c r="D225" t="s">
        <v>42</v>
      </c>
      <c r="E225" t="s">
        <v>17</v>
      </c>
      <c r="F225" t="s">
        <v>78</v>
      </c>
      <c r="G225">
        <v>4</v>
      </c>
      <c r="H225">
        <v>319</v>
      </c>
      <c r="I225">
        <v>0.1</v>
      </c>
      <c r="J225">
        <v>1148.4000000000001</v>
      </c>
      <c r="K225">
        <v>229.68</v>
      </c>
      <c r="L225" t="s">
        <v>26</v>
      </c>
      <c r="M225" t="s">
        <v>27</v>
      </c>
    </row>
    <row r="226" spans="1:13" x14ac:dyDescent="0.35">
      <c r="A226" t="s">
        <v>371</v>
      </c>
      <c r="B226" t="s">
        <v>45</v>
      </c>
      <c r="C226" s="1">
        <v>45040</v>
      </c>
      <c r="D226" t="s">
        <v>23</v>
      </c>
      <c r="E226" t="s">
        <v>33</v>
      </c>
      <c r="F226" t="s">
        <v>43</v>
      </c>
      <c r="G226">
        <v>4</v>
      </c>
      <c r="H226">
        <v>220</v>
      </c>
      <c r="I226">
        <v>0.1</v>
      </c>
      <c r="J226">
        <v>792</v>
      </c>
      <c r="K226">
        <v>237.6</v>
      </c>
      <c r="L226" t="s">
        <v>26</v>
      </c>
      <c r="M226" t="s">
        <v>20</v>
      </c>
    </row>
    <row r="227" spans="1:13" x14ac:dyDescent="0.35">
      <c r="A227" t="s">
        <v>372</v>
      </c>
      <c r="B227" t="s">
        <v>159</v>
      </c>
      <c r="C227" s="1">
        <v>45227</v>
      </c>
      <c r="D227" t="s">
        <v>63</v>
      </c>
      <c r="E227" t="s">
        <v>17</v>
      </c>
      <c r="F227" t="s">
        <v>18</v>
      </c>
      <c r="G227">
        <v>3</v>
      </c>
      <c r="H227">
        <v>244</v>
      </c>
      <c r="I227">
        <v>0.1</v>
      </c>
      <c r="J227">
        <v>658.8</v>
      </c>
      <c r="K227">
        <v>164.7</v>
      </c>
      <c r="L227" t="s">
        <v>19</v>
      </c>
      <c r="M227" t="s">
        <v>20</v>
      </c>
    </row>
    <row r="228" spans="1:13" x14ac:dyDescent="0.35">
      <c r="A228" t="s">
        <v>373</v>
      </c>
      <c r="B228" t="s">
        <v>374</v>
      </c>
      <c r="C228" s="1">
        <v>45317</v>
      </c>
      <c r="D228" t="s">
        <v>63</v>
      </c>
      <c r="E228" t="s">
        <v>17</v>
      </c>
      <c r="F228" t="s">
        <v>46</v>
      </c>
      <c r="G228">
        <v>4</v>
      </c>
      <c r="H228">
        <v>330</v>
      </c>
      <c r="I228">
        <v>0.05</v>
      </c>
      <c r="J228">
        <v>1254</v>
      </c>
      <c r="K228">
        <v>250.8</v>
      </c>
      <c r="L228" t="s">
        <v>26</v>
      </c>
      <c r="M228" t="s">
        <v>20</v>
      </c>
    </row>
    <row r="229" spans="1:13" x14ac:dyDescent="0.35">
      <c r="A229" t="s">
        <v>375</v>
      </c>
      <c r="B229" t="s">
        <v>94</v>
      </c>
      <c r="C229" s="1">
        <v>45479</v>
      </c>
      <c r="D229" t="s">
        <v>37</v>
      </c>
      <c r="E229" t="s">
        <v>33</v>
      </c>
      <c r="F229" t="s">
        <v>43</v>
      </c>
      <c r="G229">
        <v>1</v>
      </c>
      <c r="H229">
        <v>351</v>
      </c>
      <c r="I229">
        <v>0.15</v>
      </c>
      <c r="J229">
        <v>298.35000000000002</v>
      </c>
      <c r="K229">
        <v>74.59</v>
      </c>
      <c r="L229" t="s">
        <v>39</v>
      </c>
      <c r="M229" t="s">
        <v>20</v>
      </c>
    </row>
    <row r="230" spans="1:13" x14ac:dyDescent="0.35">
      <c r="A230" t="s">
        <v>376</v>
      </c>
      <c r="B230" t="s">
        <v>159</v>
      </c>
      <c r="C230" s="1">
        <v>45839</v>
      </c>
      <c r="D230" t="s">
        <v>23</v>
      </c>
      <c r="E230" t="s">
        <v>33</v>
      </c>
      <c r="F230" t="s">
        <v>66</v>
      </c>
      <c r="G230">
        <v>1</v>
      </c>
      <c r="H230">
        <v>123</v>
      </c>
      <c r="I230">
        <v>0.15</v>
      </c>
      <c r="J230">
        <v>104.55</v>
      </c>
      <c r="K230">
        <v>31.36</v>
      </c>
      <c r="L230" t="s">
        <v>26</v>
      </c>
      <c r="M230" t="s">
        <v>20</v>
      </c>
    </row>
    <row r="231" spans="1:13" x14ac:dyDescent="0.35">
      <c r="A231" t="s">
        <v>377</v>
      </c>
      <c r="B231" t="s">
        <v>195</v>
      </c>
      <c r="C231" s="1">
        <v>45752</v>
      </c>
      <c r="D231" t="s">
        <v>42</v>
      </c>
      <c r="E231" t="s">
        <v>33</v>
      </c>
      <c r="F231" t="s">
        <v>43</v>
      </c>
      <c r="G231">
        <v>1</v>
      </c>
      <c r="H231">
        <v>446</v>
      </c>
      <c r="I231">
        <v>0.05</v>
      </c>
      <c r="J231">
        <v>423.7</v>
      </c>
      <c r="K231">
        <v>105.92</v>
      </c>
      <c r="L231" t="s">
        <v>19</v>
      </c>
      <c r="M231" t="s">
        <v>20</v>
      </c>
    </row>
    <row r="232" spans="1:13" x14ac:dyDescent="0.35">
      <c r="A232" t="s">
        <v>378</v>
      </c>
      <c r="B232" t="s">
        <v>379</v>
      </c>
      <c r="C232" s="1">
        <v>45165</v>
      </c>
      <c r="D232" t="s">
        <v>37</v>
      </c>
      <c r="E232" t="s">
        <v>33</v>
      </c>
      <c r="F232" t="s">
        <v>71</v>
      </c>
      <c r="G232">
        <v>3</v>
      </c>
      <c r="H232">
        <v>206</v>
      </c>
      <c r="I232">
        <v>0</v>
      </c>
      <c r="J232">
        <v>618</v>
      </c>
      <c r="K232">
        <v>123.6</v>
      </c>
      <c r="L232" t="s">
        <v>26</v>
      </c>
      <c r="M232" t="s">
        <v>27</v>
      </c>
    </row>
    <row r="233" spans="1:13" x14ac:dyDescent="0.35">
      <c r="A233" t="s">
        <v>380</v>
      </c>
      <c r="B233" t="s">
        <v>381</v>
      </c>
      <c r="C233" s="1">
        <v>45835</v>
      </c>
      <c r="D233" t="s">
        <v>42</v>
      </c>
      <c r="E233" t="s">
        <v>24</v>
      </c>
      <c r="F233" t="s">
        <v>49</v>
      </c>
      <c r="G233">
        <v>3</v>
      </c>
      <c r="H233">
        <v>352</v>
      </c>
      <c r="I233">
        <v>0.1</v>
      </c>
      <c r="J233">
        <v>950.4</v>
      </c>
      <c r="K233">
        <v>237.6</v>
      </c>
      <c r="L233" t="s">
        <v>26</v>
      </c>
      <c r="M233" t="s">
        <v>20</v>
      </c>
    </row>
    <row r="234" spans="1:13" x14ac:dyDescent="0.35">
      <c r="A234" t="s">
        <v>382</v>
      </c>
      <c r="B234" t="s">
        <v>187</v>
      </c>
      <c r="C234" s="1">
        <v>45118</v>
      </c>
      <c r="D234" t="s">
        <v>37</v>
      </c>
      <c r="E234" t="s">
        <v>24</v>
      </c>
      <c r="F234" t="s">
        <v>25</v>
      </c>
      <c r="G234">
        <v>1</v>
      </c>
      <c r="H234">
        <v>144</v>
      </c>
      <c r="I234">
        <v>0</v>
      </c>
      <c r="J234">
        <v>144</v>
      </c>
      <c r="K234">
        <v>36</v>
      </c>
      <c r="L234" t="s">
        <v>19</v>
      </c>
      <c r="M234" t="s">
        <v>20</v>
      </c>
    </row>
    <row r="235" spans="1:13" x14ac:dyDescent="0.35">
      <c r="A235" t="s">
        <v>383</v>
      </c>
      <c r="B235" t="s">
        <v>86</v>
      </c>
      <c r="C235" s="1">
        <v>45431</v>
      </c>
      <c r="D235" t="s">
        <v>42</v>
      </c>
      <c r="E235" t="s">
        <v>24</v>
      </c>
      <c r="F235" t="s">
        <v>25</v>
      </c>
      <c r="G235">
        <v>1</v>
      </c>
      <c r="H235">
        <v>131</v>
      </c>
      <c r="I235">
        <v>0</v>
      </c>
      <c r="J235">
        <v>131</v>
      </c>
      <c r="K235">
        <v>32.75</v>
      </c>
      <c r="L235" t="s">
        <v>39</v>
      </c>
      <c r="M235" t="s">
        <v>27</v>
      </c>
    </row>
    <row r="236" spans="1:13" x14ac:dyDescent="0.35">
      <c r="A236" t="s">
        <v>384</v>
      </c>
      <c r="B236" t="s">
        <v>304</v>
      </c>
      <c r="C236" s="1">
        <v>45024</v>
      </c>
      <c r="D236" t="s">
        <v>42</v>
      </c>
      <c r="E236" t="s">
        <v>24</v>
      </c>
      <c r="F236" t="s">
        <v>25</v>
      </c>
      <c r="G236">
        <v>1</v>
      </c>
      <c r="H236">
        <v>406</v>
      </c>
      <c r="I236">
        <v>0</v>
      </c>
      <c r="J236">
        <v>406</v>
      </c>
      <c r="K236">
        <v>101.5</v>
      </c>
      <c r="L236" t="s">
        <v>19</v>
      </c>
      <c r="M236" t="s">
        <v>27</v>
      </c>
    </row>
    <row r="237" spans="1:13" x14ac:dyDescent="0.35">
      <c r="A237" t="s">
        <v>385</v>
      </c>
      <c r="B237" t="s">
        <v>73</v>
      </c>
      <c r="C237" s="1">
        <v>45163</v>
      </c>
      <c r="D237" t="s">
        <v>42</v>
      </c>
      <c r="E237" t="s">
        <v>17</v>
      </c>
      <c r="F237" t="s">
        <v>18</v>
      </c>
      <c r="G237">
        <v>1</v>
      </c>
      <c r="H237">
        <v>168</v>
      </c>
      <c r="I237">
        <v>0.15</v>
      </c>
      <c r="J237">
        <v>142.80000000000001</v>
      </c>
      <c r="K237">
        <v>35.700000000000003</v>
      </c>
      <c r="L237" t="s">
        <v>19</v>
      </c>
      <c r="M237" t="s">
        <v>20</v>
      </c>
    </row>
    <row r="238" spans="1:13" x14ac:dyDescent="0.35">
      <c r="A238" t="s">
        <v>386</v>
      </c>
      <c r="B238" t="s">
        <v>387</v>
      </c>
      <c r="C238" s="1">
        <v>45090</v>
      </c>
      <c r="D238" t="s">
        <v>16</v>
      </c>
      <c r="E238" t="s">
        <v>17</v>
      </c>
      <c r="F238" t="s">
        <v>18</v>
      </c>
      <c r="G238">
        <v>3</v>
      </c>
      <c r="H238">
        <v>253</v>
      </c>
      <c r="I238">
        <v>0</v>
      </c>
      <c r="J238">
        <v>759</v>
      </c>
      <c r="K238">
        <v>189.75</v>
      </c>
      <c r="L238" t="s">
        <v>39</v>
      </c>
      <c r="M238" t="s">
        <v>27</v>
      </c>
    </row>
    <row r="239" spans="1:13" x14ac:dyDescent="0.35">
      <c r="A239" t="s">
        <v>388</v>
      </c>
      <c r="B239" t="s">
        <v>389</v>
      </c>
      <c r="C239" s="1">
        <v>45026</v>
      </c>
      <c r="D239" t="s">
        <v>37</v>
      </c>
      <c r="E239" t="s">
        <v>33</v>
      </c>
      <c r="F239" t="s">
        <v>71</v>
      </c>
      <c r="G239">
        <v>4</v>
      </c>
      <c r="H239">
        <v>448</v>
      </c>
      <c r="I239">
        <v>0</v>
      </c>
      <c r="J239">
        <v>1792</v>
      </c>
      <c r="K239">
        <v>537.6</v>
      </c>
      <c r="L239" t="s">
        <v>26</v>
      </c>
      <c r="M239" t="s">
        <v>20</v>
      </c>
    </row>
    <row r="240" spans="1:13" x14ac:dyDescent="0.35">
      <c r="A240" t="s">
        <v>390</v>
      </c>
      <c r="B240" t="s">
        <v>391</v>
      </c>
      <c r="C240" s="1">
        <v>45229</v>
      </c>
      <c r="D240" t="s">
        <v>37</v>
      </c>
      <c r="E240" t="s">
        <v>33</v>
      </c>
      <c r="F240" t="s">
        <v>38</v>
      </c>
      <c r="G240">
        <v>4</v>
      </c>
      <c r="H240">
        <v>336</v>
      </c>
      <c r="I240">
        <v>0.15</v>
      </c>
      <c r="J240">
        <v>1142.4000000000001</v>
      </c>
      <c r="K240">
        <v>342.72</v>
      </c>
      <c r="L240" t="s">
        <v>19</v>
      </c>
      <c r="M240" t="s">
        <v>20</v>
      </c>
    </row>
    <row r="241" spans="1:13" x14ac:dyDescent="0.35">
      <c r="A241" t="s">
        <v>392</v>
      </c>
      <c r="B241" t="s">
        <v>387</v>
      </c>
      <c r="C241" s="1">
        <v>45516</v>
      </c>
      <c r="D241" t="s">
        <v>42</v>
      </c>
      <c r="E241" t="s">
        <v>33</v>
      </c>
      <c r="F241" t="s">
        <v>66</v>
      </c>
      <c r="G241">
        <v>1</v>
      </c>
      <c r="H241">
        <v>166</v>
      </c>
      <c r="I241">
        <v>0.15</v>
      </c>
      <c r="J241">
        <v>141.1</v>
      </c>
      <c r="K241">
        <v>42.33</v>
      </c>
      <c r="L241" t="s">
        <v>19</v>
      </c>
      <c r="M241" t="s">
        <v>27</v>
      </c>
    </row>
    <row r="242" spans="1:13" x14ac:dyDescent="0.35">
      <c r="A242" t="s">
        <v>393</v>
      </c>
      <c r="B242" t="s">
        <v>387</v>
      </c>
      <c r="C242" s="1">
        <v>45488</v>
      </c>
      <c r="D242" t="s">
        <v>42</v>
      </c>
      <c r="E242" t="s">
        <v>33</v>
      </c>
      <c r="F242" t="s">
        <v>66</v>
      </c>
      <c r="G242">
        <v>2</v>
      </c>
      <c r="H242">
        <v>407</v>
      </c>
      <c r="I242">
        <v>0.1</v>
      </c>
      <c r="J242">
        <v>732.6</v>
      </c>
      <c r="K242">
        <v>183.15</v>
      </c>
      <c r="L242" t="s">
        <v>26</v>
      </c>
      <c r="M242" t="s">
        <v>27</v>
      </c>
    </row>
    <row r="243" spans="1:13" x14ac:dyDescent="0.35">
      <c r="A243" t="s">
        <v>394</v>
      </c>
      <c r="B243" t="s">
        <v>283</v>
      </c>
      <c r="C243" s="1">
        <v>46018</v>
      </c>
      <c r="D243" t="s">
        <v>37</v>
      </c>
      <c r="E243" t="s">
        <v>24</v>
      </c>
      <c r="F243" t="s">
        <v>49</v>
      </c>
      <c r="G243">
        <v>1</v>
      </c>
      <c r="H243">
        <v>414</v>
      </c>
      <c r="I243">
        <v>0.05</v>
      </c>
      <c r="J243">
        <v>393.3</v>
      </c>
      <c r="K243">
        <v>78.66</v>
      </c>
      <c r="L243" t="s">
        <v>19</v>
      </c>
      <c r="M243" t="s">
        <v>20</v>
      </c>
    </row>
    <row r="244" spans="1:13" x14ac:dyDescent="0.35">
      <c r="A244" t="s">
        <v>395</v>
      </c>
      <c r="B244" t="s">
        <v>53</v>
      </c>
      <c r="C244" s="1">
        <v>45985</v>
      </c>
      <c r="D244" t="s">
        <v>23</v>
      </c>
      <c r="E244" t="s">
        <v>24</v>
      </c>
      <c r="F244" t="s">
        <v>107</v>
      </c>
      <c r="G244">
        <v>3</v>
      </c>
      <c r="H244">
        <v>231</v>
      </c>
      <c r="I244">
        <v>0.1</v>
      </c>
      <c r="J244">
        <v>623.70000000000005</v>
      </c>
      <c r="K244">
        <v>155.93</v>
      </c>
      <c r="L244" t="s">
        <v>19</v>
      </c>
      <c r="M244" t="s">
        <v>20</v>
      </c>
    </row>
    <row r="245" spans="1:13" x14ac:dyDescent="0.35">
      <c r="A245" t="s">
        <v>396</v>
      </c>
      <c r="B245" t="s">
        <v>379</v>
      </c>
      <c r="C245" s="1">
        <v>45425</v>
      </c>
      <c r="D245" t="s">
        <v>42</v>
      </c>
      <c r="E245" t="s">
        <v>33</v>
      </c>
      <c r="F245" t="s">
        <v>38</v>
      </c>
      <c r="G245">
        <v>1</v>
      </c>
      <c r="H245">
        <v>240</v>
      </c>
      <c r="I245">
        <v>0.05</v>
      </c>
      <c r="J245">
        <v>228</v>
      </c>
      <c r="K245">
        <v>57</v>
      </c>
      <c r="L245" t="s">
        <v>39</v>
      </c>
      <c r="M245" t="s">
        <v>27</v>
      </c>
    </row>
    <row r="246" spans="1:13" x14ac:dyDescent="0.35">
      <c r="A246" t="s">
        <v>397</v>
      </c>
      <c r="B246" t="s">
        <v>119</v>
      </c>
      <c r="C246" s="1">
        <v>45744</v>
      </c>
      <c r="D246" t="s">
        <v>23</v>
      </c>
      <c r="E246" t="s">
        <v>17</v>
      </c>
      <c r="F246" t="s">
        <v>58</v>
      </c>
      <c r="G246">
        <v>4</v>
      </c>
      <c r="H246">
        <v>295</v>
      </c>
      <c r="I246">
        <v>0.05</v>
      </c>
      <c r="J246">
        <v>1121</v>
      </c>
      <c r="K246">
        <v>280.25</v>
      </c>
      <c r="L246" t="s">
        <v>26</v>
      </c>
      <c r="M246" t="s">
        <v>27</v>
      </c>
    </row>
    <row r="247" spans="1:13" x14ac:dyDescent="0.35">
      <c r="A247" t="s">
        <v>398</v>
      </c>
      <c r="B247" t="s">
        <v>156</v>
      </c>
      <c r="C247" s="1">
        <v>44952</v>
      </c>
      <c r="D247" t="s">
        <v>63</v>
      </c>
      <c r="E247" t="s">
        <v>24</v>
      </c>
      <c r="F247" t="s">
        <v>49</v>
      </c>
      <c r="G247">
        <v>2</v>
      </c>
      <c r="H247">
        <v>281</v>
      </c>
      <c r="I247">
        <v>0.05</v>
      </c>
      <c r="J247">
        <v>533.9</v>
      </c>
      <c r="K247">
        <v>106.78</v>
      </c>
      <c r="L247" t="s">
        <v>19</v>
      </c>
      <c r="M247" t="s">
        <v>27</v>
      </c>
    </row>
    <row r="248" spans="1:13" x14ac:dyDescent="0.35">
      <c r="A248" t="s">
        <v>399</v>
      </c>
      <c r="B248" t="s">
        <v>202</v>
      </c>
      <c r="C248" s="1">
        <v>45699</v>
      </c>
      <c r="D248" t="s">
        <v>23</v>
      </c>
      <c r="E248" t="s">
        <v>17</v>
      </c>
      <c r="F248" t="s">
        <v>58</v>
      </c>
      <c r="G248">
        <v>1</v>
      </c>
      <c r="H248">
        <v>343</v>
      </c>
      <c r="I248">
        <v>0.15</v>
      </c>
      <c r="J248">
        <v>291.55</v>
      </c>
      <c r="K248">
        <v>87.47</v>
      </c>
      <c r="L248" t="s">
        <v>19</v>
      </c>
      <c r="M248" t="s">
        <v>27</v>
      </c>
    </row>
    <row r="249" spans="1:13" x14ac:dyDescent="0.35">
      <c r="A249" t="s">
        <v>400</v>
      </c>
      <c r="B249" t="s">
        <v>401</v>
      </c>
      <c r="C249" s="1">
        <v>45648</v>
      </c>
      <c r="D249" t="s">
        <v>42</v>
      </c>
      <c r="E249" t="s">
        <v>17</v>
      </c>
      <c r="F249" t="s">
        <v>78</v>
      </c>
      <c r="G249">
        <v>2</v>
      </c>
      <c r="H249">
        <v>162</v>
      </c>
      <c r="I249">
        <v>0</v>
      </c>
      <c r="J249">
        <v>324</v>
      </c>
      <c r="K249">
        <v>97.2</v>
      </c>
      <c r="L249" t="s">
        <v>19</v>
      </c>
      <c r="M249" t="s">
        <v>20</v>
      </c>
    </row>
    <row r="250" spans="1:13" x14ac:dyDescent="0.35">
      <c r="A250" t="s">
        <v>402</v>
      </c>
      <c r="B250" t="s">
        <v>45</v>
      </c>
      <c r="C250" s="1">
        <v>45357</v>
      </c>
      <c r="D250" t="s">
        <v>16</v>
      </c>
      <c r="E250" t="s">
        <v>24</v>
      </c>
      <c r="F250" t="s">
        <v>25</v>
      </c>
      <c r="G250">
        <v>1</v>
      </c>
      <c r="H250">
        <v>153</v>
      </c>
      <c r="I250">
        <v>0</v>
      </c>
      <c r="J250">
        <v>153</v>
      </c>
      <c r="K250">
        <v>38.25</v>
      </c>
      <c r="L250" t="s">
        <v>19</v>
      </c>
      <c r="M250" t="s">
        <v>20</v>
      </c>
    </row>
    <row r="251" spans="1:13" x14ac:dyDescent="0.35">
      <c r="A251" t="s">
        <v>403</v>
      </c>
      <c r="B251" t="s">
        <v>404</v>
      </c>
      <c r="C251" s="1">
        <v>45470</v>
      </c>
      <c r="D251" t="s">
        <v>37</v>
      </c>
      <c r="E251" t="s">
        <v>17</v>
      </c>
      <c r="F251" t="s">
        <v>18</v>
      </c>
      <c r="G251">
        <v>2</v>
      </c>
      <c r="H251">
        <v>276</v>
      </c>
      <c r="I251">
        <v>0.1</v>
      </c>
      <c r="J251">
        <v>496.8</v>
      </c>
      <c r="K251">
        <v>124.2</v>
      </c>
      <c r="L251" t="s">
        <v>39</v>
      </c>
      <c r="M251" t="s">
        <v>20</v>
      </c>
    </row>
    <row r="252" spans="1:13" x14ac:dyDescent="0.35">
      <c r="A252" t="s">
        <v>405</v>
      </c>
      <c r="B252" t="s">
        <v>406</v>
      </c>
      <c r="C252" s="1">
        <v>45402</v>
      </c>
      <c r="D252" t="s">
        <v>23</v>
      </c>
      <c r="E252" t="s">
        <v>17</v>
      </c>
      <c r="F252" t="s">
        <v>46</v>
      </c>
      <c r="G252">
        <v>4</v>
      </c>
      <c r="H252">
        <v>96</v>
      </c>
      <c r="I252">
        <v>0.1</v>
      </c>
      <c r="J252">
        <v>345.6</v>
      </c>
      <c r="K252">
        <v>103.68</v>
      </c>
      <c r="L252" t="s">
        <v>26</v>
      </c>
      <c r="M252" t="s">
        <v>20</v>
      </c>
    </row>
    <row r="253" spans="1:13" x14ac:dyDescent="0.35">
      <c r="A253" t="s">
        <v>407</v>
      </c>
      <c r="B253" t="s">
        <v>250</v>
      </c>
      <c r="C253" s="1">
        <v>45316</v>
      </c>
      <c r="D253" t="s">
        <v>23</v>
      </c>
      <c r="E253" t="s">
        <v>33</v>
      </c>
      <c r="F253" t="s">
        <v>71</v>
      </c>
      <c r="G253">
        <v>1</v>
      </c>
      <c r="H253">
        <v>365</v>
      </c>
      <c r="I253">
        <v>0.15</v>
      </c>
      <c r="J253">
        <v>310.25</v>
      </c>
      <c r="K253">
        <v>93.08</v>
      </c>
      <c r="L253" t="s">
        <v>39</v>
      </c>
      <c r="M253" t="s">
        <v>27</v>
      </c>
    </row>
    <row r="254" spans="1:13" x14ac:dyDescent="0.35">
      <c r="A254" t="s">
        <v>408</v>
      </c>
      <c r="B254" t="s">
        <v>202</v>
      </c>
      <c r="C254" s="1">
        <v>45920</v>
      </c>
      <c r="D254" t="s">
        <v>23</v>
      </c>
      <c r="E254" t="s">
        <v>33</v>
      </c>
      <c r="F254" t="s">
        <v>38</v>
      </c>
      <c r="G254">
        <v>2</v>
      </c>
      <c r="H254">
        <v>247</v>
      </c>
      <c r="I254">
        <v>0.05</v>
      </c>
      <c r="J254">
        <v>469.3</v>
      </c>
      <c r="K254">
        <v>117.32</v>
      </c>
      <c r="L254" t="s">
        <v>19</v>
      </c>
      <c r="M254" t="s">
        <v>20</v>
      </c>
    </row>
    <row r="255" spans="1:13" x14ac:dyDescent="0.35">
      <c r="A255" t="s">
        <v>409</v>
      </c>
      <c r="B255" t="s">
        <v>410</v>
      </c>
      <c r="C255" s="1">
        <v>45185</v>
      </c>
      <c r="D255" t="s">
        <v>42</v>
      </c>
      <c r="E255" t="s">
        <v>17</v>
      </c>
      <c r="F255" t="s">
        <v>78</v>
      </c>
      <c r="G255">
        <v>2</v>
      </c>
      <c r="H255">
        <v>177</v>
      </c>
      <c r="I255">
        <v>0.15</v>
      </c>
      <c r="J255">
        <v>300.89999999999998</v>
      </c>
      <c r="K255">
        <v>75.22</v>
      </c>
      <c r="L255" t="s">
        <v>26</v>
      </c>
      <c r="M255" t="s">
        <v>20</v>
      </c>
    </row>
    <row r="256" spans="1:13" x14ac:dyDescent="0.35">
      <c r="A256" t="s">
        <v>411</v>
      </c>
      <c r="B256" t="s">
        <v>412</v>
      </c>
      <c r="C256" s="1">
        <v>45489</v>
      </c>
      <c r="D256" t="s">
        <v>37</v>
      </c>
      <c r="E256" t="s">
        <v>24</v>
      </c>
      <c r="F256" t="s">
        <v>25</v>
      </c>
      <c r="G256">
        <v>4</v>
      </c>
      <c r="H256">
        <v>171</v>
      </c>
      <c r="I256">
        <v>0.1</v>
      </c>
      <c r="J256">
        <v>615.6</v>
      </c>
      <c r="K256">
        <v>123.12</v>
      </c>
      <c r="L256" t="s">
        <v>19</v>
      </c>
      <c r="M256" t="s">
        <v>20</v>
      </c>
    </row>
    <row r="257" spans="1:13" x14ac:dyDescent="0.35">
      <c r="A257" t="s">
        <v>413</v>
      </c>
      <c r="B257" t="s">
        <v>240</v>
      </c>
      <c r="C257" s="1">
        <v>45750</v>
      </c>
      <c r="D257" t="s">
        <v>42</v>
      </c>
      <c r="E257" t="s">
        <v>33</v>
      </c>
      <c r="F257" t="s">
        <v>43</v>
      </c>
      <c r="G257">
        <v>2</v>
      </c>
      <c r="H257">
        <v>114</v>
      </c>
      <c r="I257">
        <v>0.05</v>
      </c>
      <c r="J257">
        <v>216.6</v>
      </c>
      <c r="K257">
        <v>64.98</v>
      </c>
      <c r="L257" t="s">
        <v>39</v>
      </c>
      <c r="M257" t="s">
        <v>27</v>
      </c>
    </row>
    <row r="258" spans="1:13" x14ac:dyDescent="0.35">
      <c r="A258" t="s">
        <v>414</v>
      </c>
      <c r="B258" t="s">
        <v>48</v>
      </c>
      <c r="C258" s="1">
        <v>45927</v>
      </c>
      <c r="D258" t="s">
        <v>16</v>
      </c>
      <c r="E258" t="s">
        <v>17</v>
      </c>
      <c r="F258" t="s">
        <v>78</v>
      </c>
      <c r="G258">
        <v>4</v>
      </c>
      <c r="H258">
        <v>208</v>
      </c>
      <c r="I258">
        <v>0.1</v>
      </c>
      <c r="J258">
        <v>748.8</v>
      </c>
      <c r="K258">
        <v>187.2</v>
      </c>
      <c r="L258" t="s">
        <v>19</v>
      </c>
      <c r="M258" t="s">
        <v>20</v>
      </c>
    </row>
    <row r="259" spans="1:13" x14ac:dyDescent="0.35">
      <c r="A259" t="s">
        <v>415</v>
      </c>
      <c r="B259" t="s">
        <v>138</v>
      </c>
      <c r="C259" s="1">
        <v>45915</v>
      </c>
      <c r="D259" t="s">
        <v>42</v>
      </c>
      <c r="E259" t="s">
        <v>33</v>
      </c>
      <c r="F259" t="s">
        <v>43</v>
      </c>
      <c r="G259">
        <v>3</v>
      </c>
      <c r="H259">
        <v>255</v>
      </c>
      <c r="I259">
        <v>0</v>
      </c>
      <c r="J259">
        <v>765</v>
      </c>
      <c r="K259">
        <v>153</v>
      </c>
      <c r="L259" t="s">
        <v>39</v>
      </c>
      <c r="M259" t="s">
        <v>27</v>
      </c>
    </row>
    <row r="260" spans="1:13" x14ac:dyDescent="0.35">
      <c r="A260" t="s">
        <v>416</v>
      </c>
      <c r="B260" t="s">
        <v>32</v>
      </c>
      <c r="C260" s="1">
        <v>44997</v>
      </c>
      <c r="D260" t="s">
        <v>63</v>
      </c>
      <c r="E260" t="s">
        <v>17</v>
      </c>
      <c r="F260" t="s">
        <v>18</v>
      </c>
      <c r="G260">
        <v>3</v>
      </c>
      <c r="H260">
        <v>404</v>
      </c>
      <c r="I260">
        <v>0.15</v>
      </c>
      <c r="J260">
        <v>1030.2</v>
      </c>
      <c r="K260">
        <v>309.06</v>
      </c>
      <c r="L260" t="s">
        <v>26</v>
      </c>
      <c r="M260" t="s">
        <v>27</v>
      </c>
    </row>
    <row r="261" spans="1:13" x14ac:dyDescent="0.35">
      <c r="A261" t="s">
        <v>417</v>
      </c>
      <c r="B261" t="s">
        <v>418</v>
      </c>
      <c r="C261" s="1">
        <v>44955</v>
      </c>
      <c r="D261" t="s">
        <v>37</v>
      </c>
      <c r="E261" t="s">
        <v>33</v>
      </c>
      <c r="F261" t="s">
        <v>38</v>
      </c>
      <c r="G261">
        <v>4</v>
      </c>
      <c r="H261">
        <v>176</v>
      </c>
      <c r="I261">
        <v>0.05</v>
      </c>
      <c r="J261">
        <v>668.8</v>
      </c>
      <c r="K261">
        <v>200.64</v>
      </c>
      <c r="L261" t="s">
        <v>39</v>
      </c>
      <c r="M261" t="s">
        <v>27</v>
      </c>
    </row>
    <row r="262" spans="1:13" x14ac:dyDescent="0.35">
      <c r="A262" t="s">
        <v>419</v>
      </c>
      <c r="B262" t="s">
        <v>105</v>
      </c>
      <c r="C262" s="1">
        <v>45598</v>
      </c>
      <c r="D262" t="s">
        <v>16</v>
      </c>
      <c r="E262" t="s">
        <v>24</v>
      </c>
      <c r="F262" t="s">
        <v>25</v>
      </c>
      <c r="G262">
        <v>2</v>
      </c>
      <c r="H262">
        <v>409</v>
      </c>
      <c r="I262">
        <v>0.15</v>
      </c>
      <c r="J262">
        <v>695.3</v>
      </c>
      <c r="K262">
        <v>173.82</v>
      </c>
      <c r="L262" t="s">
        <v>26</v>
      </c>
      <c r="M262" t="s">
        <v>27</v>
      </c>
    </row>
    <row r="263" spans="1:13" x14ac:dyDescent="0.35">
      <c r="A263" t="s">
        <v>420</v>
      </c>
      <c r="B263" t="s">
        <v>144</v>
      </c>
      <c r="C263" s="1">
        <v>45400</v>
      </c>
      <c r="D263" t="s">
        <v>42</v>
      </c>
      <c r="E263" t="s">
        <v>24</v>
      </c>
      <c r="F263" t="s">
        <v>49</v>
      </c>
      <c r="G263">
        <v>4</v>
      </c>
      <c r="H263">
        <v>188</v>
      </c>
      <c r="I263">
        <v>0.05</v>
      </c>
      <c r="J263">
        <v>714.4</v>
      </c>
      <c r="K263">
        <v>178.6</v>
      </c>
      <c r="L263" t="s">
        <v>39</v>
      </c>
      <c r="M263" t="s">
        <v>20</v>
      </c>
    </row>
    <row r="264" spans="1:13" x14ac:dyDescent="0.35">
      <c r="A264" t="s">
        <v>421</v>
      </c>
      <c r="B264" t="s">
        <v>187</v>
      </c>
      <c r="C264" s="1">
        <v>45243</v>
      </c>
      <c r="D264" t="s">
        <v>42</v>
      </c>
      <c r="E264" t="s">
        <v>24</v>
      </c>
      <c r="F264" t="s">
        <v>49</v>
      </c>
      <c r="G264">
        <v>2</v>
      </c>
      <c r="H264">
        <v>392</v>
      </c>
      <c r="I264">
        <v>0.1</v>
      </c>
      <c r="J264">
        <v>705.6</v>
      </c>
      <c r="K264">
        <v>211.68</v>
      </c>
      <c r="L264" t="s">
        <v>19</v>
      </c>
      <c r="M264" t="s">
        <v>27</v>
      </c>
    </row>
    <row r="265" spans="1:13" x14ac:dyDescent="0.35">
      <c r="A265" t="s">
        <v>422</v>
      </c>
      <c r="B265" t="s">
        <v>55</v>
      </c>
      <c r="C265" s="1">
        <v>45874</v>
      </c>
      <c r="D265" t="s">
        <v>63</v>
      </c>
      <c r="E265" t="s">
        <v>33</v>
      </c>
      <c r="F265" t="s">
        <v>38</v>
      </c>
      <c r="G265">
        <v>4</v>
      </c>
      <c r="H265">
        <v>88</v>
      </c>
      <c r="I265">
        <v>0.05</v>
      </c>
      <c r="J265">
        <v>334.4</v>
      </c>
      <c r="K265">
        <v>66.88</v>
      </c>
      <c r="L265" t="s">
        <v>19</v>
      </c>
      <c r="M265" t="s">
        <v>27</v>
      </c>
    </row>
    <row r="266" spans="1:13" x14ac:dyDescent="0.35">
      <c r="A266" t="s">
        <v>423</v>
      </c>
      <c r="B266" t="s">
        <v>424</v>
      </c>
      <c r="C266" s="1">
        <v>45689</v>
      </c>
      <c r="D266" t="s">
        <v>37</v>
      </c>
      <c r="E266" t="s">
        <v>24</v>
      </c>
      <c r="F266" t="s">
        <v>107</v>
      </c>
      <c r="G266">
        <v>4</v>
      </c>
      <c r="H266">
        <v>101</v>
      </c>
      <c r="I266">
        <v>0.05</v>
      </c>
      <c r="J266">
        <v>383.8</v>
      </c>
      <c r="K266">
        <v>115.14</v>
      </c>
      <c r="L266" t="s">
        <v>39</v>
      </c>
      <c r="M266" t="s">
        <v>20</v>
      </c>
    </row>
    <row r="267" spans="1:13" x14ac:dyDescent="0.35">
      <c r="A267" t="s">
        <v>425</v>
      </c>
      <c r="B267" t="s">
        <v>45</v>
      </c>
      <c r="C267" s="1">
        <v>45623</v>
      </c>
      <c r="D267" t="s">
        <v>63</v>
      </c>
      <c r="E267" t="s">
        <v>33</v>
      </c>
      <c r="F267" t="s">
        <v>43</v>
      </c>
      <c r="G267">
        <v>3</v>
      </c>
      <c r="H267">
        <v>149</v>
      </c>
      <c r="I267">
        <v>0.15</v>
      </c>
      <c r="J267">
        <v>379.95</v>
      </c>
      <c r="K267">
        <v>75.989999999999995</v>
      </c>
      <c r="L267" t="s">
        <v>39</v>
      </c>
      <c r="M267" t="s">
        <v>27</v>
      </c>
    </row>
    <row r="268" spans="1:13" x14ac:dyDescent="0.35">
      <c r="A268" t="s">
        <v>426</v>
      </c>
      <c r="B268" t="s">
        <v>427</v>
      </c>
      <c r="C268" s="1">
        <v>45217</v>
      </c>
      <c r="D268" t="s">
        <v>23</v>
      </c>
      <c r="E268" t="s">
        <v>24</v>
      </c>
      <c r="F268" t="s">
        <v>49</v>
      </c>
      <c r="G268">
        <v>2</v>
      </c>
      <c r="H268">
        <v>407</v>
      </c>
      <c r="I268">
        <v>0.1</v>
      </c>
      <c r="J268">
        <v>732.6</v>
      </c>
      <c r="K268">
        <v>146.52000000000001</v>
      </c>
      <c r="L268" t="s">
        <v>19</v>
      </c>
      <c r="M268" t="s">
        <v>27</v>
      </c>
    </row>
    <row r="269" spans="1:13" x14ac:dyDescent="0.35">
      <c r="A269" t="s">
        <v>428</v>
      </c>
      <c r="B269" t="s">
        <v>429</v>
      </c>
      <c r="C269" s="1">
        <v>45916</v>
      </c>
      <c r="D269" t="s">
        <v>63</v>
      </c>
      <c r="E269" t="s">
        <v>24</v>
      </c>
      <c r="F269" t="s">
        <v>49</v>
      </c>
      <c r="G269">
        <v>2</v>
      </c>
      <c r="H269">
        <v>431</v>
      </c>
      <c r="I269">
        <v>0.05</v>
      </c>
      <c r="J269">
        <v>818.9</v>
      </c>
      <c r="K269">
        <v>163.78</v>
      </c>
      <c r="L269" t="s">
        <v>26</v>
      </c>
      <c r="M269" t="s">
        <v>27</v>
      </c>
    </row>
    <row r="270" spans="1:13" x14ac:dyDescent="0.35">
      <c r="A270" t="s">
        <v>430</v>
      </c>
      <c r="B270" t="s">
        <v>387</v>
      </c>
      <c r="C270" s="1">
        <v>45275</v>
      </c>
      <c r="D270" t="s">
        <v>23</v>
      </c>
      <c r="E270" t="s">
        <v>17</v>
      </c>
      <c r="F270" t="s">
        <v>78</v>
      </c>
      <c r="G270">
        <v>1</v>
      </c>
      <c r="H270">
        <v>448</v>
      </c>
      <c r="I270">
        <v>0.15</v>
      </c>
      <c r="J270">
        <v>380.8</v>
      </c>
      <c r="K270">
        <v>114.24</v>
      </c>
      <c r="L270" t="s">
        <v>19</v>
      </c>
      <c r="M270" t="s">
        <v>27</v>
      </c>
    </row>
    <row r="271" spans="1:13" x14ac:dyDescent="0.35">
      <c r="A271" t="s">
        <v>431</v>
      </c>
      <c r="B271" t="s">
        <v>410</v>
      </c>
      <c r="C271" s="1">
        <v>45079</v>
      </c>
      <c r="D271" t="s">
        <v>42</v>
      </c>
      <c r="E271" t="s">
        <v>17</v>
      </c>
      <c r="F271" t="s">
        <v>46</v>
      </c>
      <c r="G271">
        <v>1</v>
      </c>
      <c r="H271">
        <v>314</v>
      </c>
      <c r="I271">
        <v>0.15</v>
      </c>
      <c r="J271">
        <v>266.89999999999998</v>
      </c>
      <c r="K271">
        <v>80.069999999999993</v>
      </c>
      <c r="L271" t="s">
        <v>19</v>
      </c>
      <c r="M271" t="s">
        <v>20</v>
      </c>
    </row>
    <row r="272" spans="1:13" x14ac:dyDescent="0.35">
      <c r="A272" t="s">
        <v>432</v>
      </c>
      <c r="B272" t="s">
        <v>418</v>
      </c>
      <c r="C272" s="1">
        <v>44951</v>
      </c>
      <c r="D272" t="s">
        <v>37</v>
      </c>
      <c r="E272" t="s">
        <v>33</v>
      </c>
      <c r="F272" t="s">
        <v>38</v>
      </c>
      <c r="G272">
        <v>4</v>
      </c>
      <c r="H272">
        <v>431</v>
      </c>
      <c r="I272">
        <v>0</v>
      </c>
      <c r="J272">
        <v>1724</v>
      </c>
      <c r="K272">
        <v>431</v>
      </c>
      <c r="L272" t="s">
        <v>26</v>
      </c>
      <c r="M272" t="s">
        <v>27</v>
      </c>
    </row>
    <row r="273" spans="1:13" x14ac:dyDescent="0.35">
      <c r="A273" t="s">
        <v>433</v>
      </c>
      <c r="B273" t="s">
        <v>295</v>
      </c>
      <c r="C273" s="1">
        <v>45066</v>
      </c>
      <c r="D273" t="s">
        <v>16</v>
      </c>
      <c r="E273" t="s">
        <v>24</v>
      </c>
      <c r="F273" t="s">
        <v>49</v>
      </c>
      <c r="G273">
        <v>3</v>
      </c>
      <c r="H273">
        <v>134</v>
      </c>
      <c r="I273">
        <v>0</v>
      </c>
      <c r="J273">
        <v>402</v>
      </c>
      <c r="K273">
        <v>100.5</v>
      </c>
      <c r="L273" t="s">
        <v>26</v>
      </c>
      <c r="M273" t="s">
        <v>27</v>
      </c>
    </row>
    <row r="274" spans="1:13" x14ac:dyDescent="0.35">
      <c r="A274" t="s">
        <v>434</v>
      </c>
      <c r="B274" t="s">
        <v>90</v>
      </c>
      <c r="C274" s="1">
        <v>45300</v>
      </c>
      <c r="D274" t="s">
        <v>63</v>
      </c>
      <c r="E274" t="s">
        <v>33</v>
      </c>
      <c r="F274" t="s">
        <v>43</v>
      </c>
      <c r="G274">
        <v>3</v>
      </c>
      <c r="H274">
        <v>245</v>
      </c>
      <c r="I274">
        <v>0</v>
      </c>
      <c r="J274">
        <v>735</v>
      </c>
      <c r="K274">
        <v>220.5</v>
      </c>
      <c r="L274" t="s">
        <v>26</v>
      </c>
      <c r="M274" t="s">
        <v>20</v>
      </c>
    </row>
    <row r="275" spans="1:13" x14ac:dyDescent="0.35">
      <c r="A275" t="s">
        <v>435</v>
      </c>
      <c r="B275" t="s">
        <v>36</v>
      </c>
      <c r="C275" s="1">
        <v>45649</v>
      </c>
      <c r="D275" t="s">
        <v>23</v>
      </c>
      <c r="E275" t="s">
        <v>33</v>
      </c>
      <c r="F275" t="s">
        <v>34</v>
      </c>
      <c r="G275">
        <v>4</v>
      </c>
      <c r="H275">
        <v>111</v>
      </c>
      <c r="I275">
        <v>0</v>
      </c>
      <c r="J275">
        <v>444</v>
      </c>
      <c r="K275">
        <v>133.19999999999999</v>
      </c>
      <c r="L275" t="s">
        <v>39</v>
      </c>
      <c r="M275" t="s">
        <v>27</v>
      </c>
    </row>
    <row r="276" spans="1:13" x14ac:dyDescent="0.35">
      <c r="A276" t="s">
        <v>436</v>
      </c>
      <c r="B276" t="s">
        <v>429</v>
      </c>
      <c r="C276" s="1">
        <v>44989</v>
      </c>
      <c r="D276" t="s">
        <v>16</v>
      </c>
      <c r="E276" t="s">
        <v>24</v>
      </c>
      <c r="F276" t="s">
        <v>30</v>
      </c>
      <c r="G276">
        <v>2</v>
      </c>
      <c r="H276">
        <v>316</v>
      </c>
      <c r="I276">
        <v>0.15</v>
      </c>
      <c r="J276">
        <v>537.20000000000005</v>
      </c>
      <c r="K276">
        <v>134.30000000000001</v>
      </c>
      <c r="L276" t="s">
        <v>26</v>
      </c>
      <c r="M276" t="s">
        <v>20</v>
      </c>
    </row>
    <row r="277" spans="1:13" x14ac:dyDescent="0.35">
      <c r="A277" t="s">
        <v>437</v>
      </c>
      <c r="B277" t="s">
        <v>86</v>
      </c>
      <c r="C277" s="1">
        <v>45854</v>
      </c>
      <c r="D277" t="s">
        <v>23</v>
      </c>
      <c r="E277" t="s">
        <v>33</v>
      </c>
      <c r="F277" t="s">
        <v>43</v>
      </c>
      <c r="G277">
        <v>1</v>
      </c>
      <c r="H277">
        <v>233</v>
      </c>
      <c r="I277">
        <v>0.15</v>
      </c>
      <c r="J277">
        <v>198.05</v>
      </c>
      <c r="K277">
        <v>49.51</v>
      </c>
      <c r="L277" t="s">
        <v>39</v>
      </c>
      <c r="M277" t="s">
        <v>27</v>
      </c>
    </row>
    <row r="278" spans="1:13" x14ac:dyDescent="0.35">
      <c r="A278" t="s">
        <v>438</v>
      </c>
      <c r="B278" t="s">
        <v>287</v>
      </c>
      <c r="C278" s="1">
        <v>44958</v>
      </c>
      <c r="D278" t="s">
        <v>16</v>
      </c>
      <c r="E278" t="s">
        <v>17</v>
      </c>
      <c r="F278" t="s">
        <v>78</v>
      </c>
      <c r="G278">
        <v>1</v>
      </c>
      <c r="H278">
        <v>313</v>
      </c>
      <c r="I278">
        <v>0.1</v>
      </c>
      <c r="J278">
        <v>281.7</v>
      </c>
      <c r="K278">
        <v>84.51</v>
      </c>
      <c r="L278" t="s">
        <v>19</v>
      </c>
      <c r="M278" t="s">
        <v>27</v>
      </c>
    </row>
    <row r="279" spans="1:13" x14ac:dyDescent="0.35">
      <c r="A279" t="s">
        <v>439</v>
      </c>
      <c r="B279" t="s">
        <v>80</v>
      </c>
      <c r="C279" s="1">
        <v>45863</v>
      </c>
      <c r="D279" t="s">
        <v>23</v>
      </c>
      <c r="E279" t="s">
        <v>17</v>
      </c>
      <c r="F279" t="s">
        <v>46</v>
      </c>
      <c r="G279">
        <v>4</v>
      </c>
      <c r="H279">
        <v>159</v>
      </c>
      <c r="I279">
        <v>0.05</v>
      </c>
      <c r="J279">
        <v>604.20000000000005</v>
      </c>
      <c r="K279">
        <v>151.05000000000001</v>
      </c>
      <c r="L279" t="s">
        <v>19</v>
      </c>
      <c r="M279" t="s">
        <v>27</v>
      </c>
    </row>
    <row r="280" spans="1:13" x14ac:dyDescent="0.35">
      <c r="A280" t="s">
        <v>440</v>
      </c>
      <c r="B280" t="s">
        <v>96</v>
      </c>
      <c r="C280" s="1">
        <v>45450</v>
      </c>
      <c r="D280" t="s">
        <v>42</v>
      </c>
      <c r="E280" t="s">
        <v>33</v>
      </c>
      <c r="F280" t="s">
        <v>34</v>
      </c>
      <c r="G280">
        <v>2</v>
      </c>
      <c r="H280">
        <v>276</v>
      </c>
      <c r="I280">
        <v>0.1</v>
      </c>
      <c r="J280">
        <v>496.8</v>
      </c>
      <c r="K280">
        <v>124.2</v>
      </c>
      <c r="L280" t="s">
        <v>39</v>
      </c>
      <c r="M280" t="s">
        <v>27</v>
      </c>
    </row>
    <row r="281" spans="1:13" x14ac:dyDescent="0.35">
      <c r="A281" t="s">
        <v>441</v>
      </c>
      <c r="B281" t="s">
        <v>174</v>
      </c>
      <c r="C281" s="1">
        <v>45211</v>
      </c>
      <c r="D281" t="s">
        <v>63</v>
      </c>
      <c r="E281" t="s">
        <v>33</v>
      </c>
      <c r="F281" t="s">
        <v>34</v>
      </c>
      <c r="G281">
        <v>3</v>
      </c>
      <c r="H281">
        <v>444</v>
      </c>
      <c r="I281">
        <v>0</v>
      </c>
      <c r="J281">
        <v>1332</v>
      </c>
      <c r="K281">
        <v>266.39999999999998</v>
      </c>
      <c r="L281" t="s">
        <v>19</v>
      </c>
      <c r="M281" t="s">
        <v>27</v>
      </c>
    </row>
    <row r="282" spans="1:13" x14ac:dyDescent="0.35">
      <c r="A282" t="s">
        <v>442</v>
      </c>
      <c r="B282" t="s">
        <v>283</v>
      </c>
      <c r="C282" s="1">
        <v>45107</v>
      </c>
      <c r="D282" t="s">
        <v>42</v>
      </c>
      <c r="E282" t="s">
        <v>17</v>
      </c>
      <c r="F282" t="s">
        <v>58</v>
      </c>
      <c r="G282">
        <v>1</v>
      </c>
      <c r="H282">
        <v>138</v>
      </c>
      <c r="I282">
        <v>0.15</v>
      </c>
      <c r="J282">
        <v>117.3</v>
      </c>
      <c r="K282">
        <v>29.32</v>
      </c>
      <c r="L282" t="s">
        <v>26</v>
      </c>
      <c r="M282" t="s">
        <v>27</v>
      </c>
    </row>
    <row r="283" spans="1:13" x14ac:dyDescent="0.35">
      <c r="A283" t="s">
        <v>443</v>
      </c>
      <c r="B283" t="s">
        <v>176</v>
      </c>
      <c r="C283" s="1">
        <v>45055</v>
      </c>
      <c r="D283" t="s">
        <v>16</v>
      </c>
      <c r="E283" t="s">
        <v>24</v>
      </c>
      <c r="F283" t="s">
        <v>107</v>
      </c>
      <c r="G283">
        <v>1</v>
      </c>
      <c r="H283">
        <v>370</v>
      </c>
      <c r="I283">
        <v>0.15</v>
      </c>
      <c r="J283">
        <v>314.5</v>
      </c>
      <c r="K283">
        <v>94.35</v>
      </c>
      <c r="L283" t="s">
        <v>26</v>
      </c>
      <c r="M283" t="s">
        <v>20</v>
      </c>
    </row>
    <row r="284" spans="1:13" x14ac:dyDescent="0.35">
      <c r="A284" t="s">
        <v>444</v>
      </c>
      <c r="B284" t="s">
        <v>105</v>
      </c>
      <c r="C284" s="1">
        <v>45190</v>
      </c>
      <c r="D284" t="s">
        <v>23</v>
      </c>
      <c r="E284" t="s">
        <v>24</v>
      </c>
      <c r="F284" t="s">
        <v>107</v>
      </c>
      <c r="G284">
        <v>3</v>
      </c>
      <c r="H284">
        <v>279</v>
      </c>
      <c r="I284">
        <v>0</v>
      </c>
      <c r="J284">
        <v>837</v>
      </c>
      <c r="K284">
        <v>209.25</v>
      </c>
      <c r="L284" t="s">
        <v>26</v>
      </c>
      <c r="M284" t="s">
        <v>20</v>
      </c>
    </row>
    <row r="285" spans="1:13" x14ac:dyDescent="0.35">
      <c r="A285" t="s">
        <v>445</v>
      </c>
      <c r="B285" t="s">
        <v>131</v>
      </c>
      <c r="C285" s="1">
        <v>45650</v>
      </c>
      <c r="D285" t="s">
        <v>37</v>
      </c>
      <c r="E285" t="s">
        <v>33</v>
      </c>
      <c r="F285" t="s">
        <v>66</v>
      </c>
      <c r="G285">
        <v>1</v>
      </c>
      <c r="H285">
        <v>447</v>
      </c>
      <c r="I285">
        <v>0.05</v>
      </c>
      <c r="J285">
        <v>424.65</v>
      </c>
      <c r="K285">
        <v>84.93</v>
      </c>
      <c r="L285" t="s">
        <v>26</v>
      </c>
      <c r="M285" t="s">
        <v>20</v>
      </c>
    </row>
    <row r="286" spans="1:13" x14ac:dyDescent="0.35">
      <c r="A286" t="s">
        <v>446</v>
      </c>
      <c r="B286" t="s">
        <v>265</v>
      </c>
      <c r="C286" s="1">
        <v>45707</v>
      </c>
      <c r="D286" t="s">
        <v>23</v>
      </c>
      <c r="E286" t="s">
        <v>17</v>
      </c>
      <c r="F286" t="s">
        <v>58</v>
      </c>
      <c r="G286">
        <v>3</v>
      </c>
      <c r="H286">
        <v>339</v>
      </c>
      <c r="I286">
        <v>0</v>
      </c>
      <c r="J286">
        <v>1017</v>
      </c>
      <c r="K286">
        <v>254.25</v>
      </c>
      <c r="L286" t="s">
        <v>39</v>
      </c>
      <c r="M286" t="s">
        <v>20</v>
      </c>
    </row>
    <row r="287" spans="1:13" x14ac:dyDescent="0.35">
      <c r="A287" t="s">
        <v>447</v>
      </c>
      <c r="B287" t="s">
        <v>133</v>
      </c>
      <c r="C287" s="1">
        <v>45172</v>
      </c>
      <c r="D287" t="s">
        <v>37</v>
      </c>
      <c r="E287" t="s">
        <v>24</v>
      </c>
      <c r="F287" t="s">
        <v>30</v>
      </c>
      <c r="G287">
        <v>1</v>
      </c>
      <c r="H287">
        <v>112</v>
      </c>
      <c r="I287">
        <v>0.1</v>
      </c>
      <c r="J287">
        <v>100.8</v>
      </c>
      <c r="K287">
        <v>25.2</v>
      </c>
      <c r="L287" t="s">
        <v>19</v>
      </c>
      <c r="M287" t="s">
        <v>20</v>
      </c>
    </row>
    <row r="288" spans="1:13" x14ac:dyDescent="0.35">
      <c r="A288" t="s">
        <v>448</v>
      </c>
      <c r="B288" t="s">
        <v>90</v>
      </c>
      <c r="C288" s="1">
        <v>45612</v>
      </c>
      <c r="D288" t="s">
        <v>16</v>
      </c>
      <c r="E288" t="s">
        <v>24</v>
      </c>
      <c r="F288" t="s">
        <v>107</v>
      </c>
      <c r="G288">
        <v>3</v>
      </c>
      <c r="H288">
        <v>102</v>
      </c>
      <c r="I288">
        <v>0.1</v>
      </c>
      <c r="J288">
        <v>275.39999999999998</v>
      </c>
      <c r="K288">
        <v>55.08</v>
      </c>
      <c r="L288" t="s">
        <v>19</v>
      </c>
      <c r="M288" t="s">
        <v>27</v>
      </c>
    </row>
    <row r="289" spans="1:13" x14ac:dyDescent="0.35">
      <c r="A289" t="s">
        <v>449</v>
      </c>
      <c r="B289" t="s">
        <v>45</v>
      </c>
      <c r="C289" s="1">
        <v>45599</v>
      </c>
      <c r="D289" t="s">
        <v>37</v>
      </c>
      <c r="E289" t="s">
        <v>17</v>
      </c>
      <c r="F289" t="s">
        <v>58</v>
      </c>
      <c r="G289">
        <v>3</v>
      </c>
      <c r="H289">
        <v>300</v>
      </c>
      <c r="I289">
        <v>0.1</v>
      </c>
      <c r="J289">
        <v>810</v>
      </c>
      <c r="K289">
        <v>162</v>
      </c>
      <c r="L289" t="s">
        <v>39</v>
      </c>
      <c r="M289" t="s">
        <v>20</v>
      </c>
    </row>
    <row r="290" spans="1:13" x14ac:dyDescent="0.35">
      <c r="A290" t="s">
        <v>450</v>
      </c>
      <c r="B290" t="s">
        <v>267</v>
      </c>
      <c r="C290" s="1">
        <v>44947</v>
      </c>
      <c r="D290" t="s">
        <v>23</v>
      </c>
      <c r="E290" t="s">
        <v>17</v>
      </c>
      <c r="F290" t="s">
        <v>46</v>
      </c>
      <c r="G290">
        <v>2</v>
      </c>
      <c r="H290">
        <v>435</v>
      </c>
      <c r="I290">
        <v>0.1</v>
      </c>
      <c r="J290">
        <v>783</v>
      </c>
      <c r="K290">
        <v>156.6</v>
      </c>
      <c r="L290" t="s">
        <v>19</v>
      </c>
      <c r="M290" t="s">
        <v>27</v>
      </c>
    </row>
    <row r="291" spans="1:13" x14ac:dyDescent="0.35">
      <c r="A291" t="s">
        <v>451</v>
      </c>
      <c r="B291" t="s">
        <v>162</v>
      </c>
      <c r="C291" s="1">
        <v>45569</v>
      </c>
      <c r="D291" t="s">
        <v>23</v>
      </c>
      <c r="E291" t="s">
        <v>24</v>
      </c>
      <c r="F291" t="s">
        <v>49</v>
      </c>
      <c r="G291">
        <v>3</v>
      </c>
      <c r="H291">
        <v>230</v>
      </c>
      <c r="I291">
        <v>0.15</v>
      </c>
      <c r="J291">
        <v>586.5</v>
      </c>
      <c r="K291">
        <v>146.62</v>
      </c>
      <c r="L291" t="s">
        <v>26</v>
      </c>
      <c r="M291" t="s">
        <v>20</v>
      </c>
    </row>
    <row r="292" spans="1:13" x14ac:dyDescent="0.35">
      <c r="A292" t="s">
        <v>452</v>
      </c>
      <c r="B292" t="s">
        <v>453</v>
      </c>
      <c r="C292" s="1">
        <v>45097</v>
      </c>
      <c r="D292" t="s">
        <v>16</v>
      </c>
      <c r="E292" t="s">
        <v>33</v>
      </c>
      <c r="F292" t="s">
        <v>71</v>
      </c>
      <c r="G292">
        <v>2</v>
      </c>
      <c r="H292">
        <v>130</v>
      </c>
      <c r="I292">
        <v>0</v>
      </c>
      <c r="J292">
        <v>260</v>
      </c>
      <c r="K292">
        <v>78</v>
      </c>
      <c r="L292" t="s">
        <v>39</v>
      </c>
      <c r="M292" t="s">
        <v>27</v>
      </c>
    </row>
    <row r="293" spans="1:13" x14ac:dyDescent="0.35">
      <c r="A293" t="s">
        <v>454</v>
      </c>
      <c r="B293" t="s">
        <v>453</v>
      </c>
      <c r="C293" s="1">
        <v>45568</v>
      </c>
      <c r="D293" t="s">
        <v>23</v>
      </c>
      <c r="E293" t="s">
        <v>17</v>
      </c>
      <c r="F293" t="s">
        <v>58</v>
      </c>
      <c r="G293">
        <v>3</v>
      </c>
      <c r="H293">
        <v>167</v>
      </c>
      <c r="I293">
        <v>0.15</v>
      </c>
      <c r="J293">
        <v>425.85</v>
      </c>
      <c r="K293">
        <v>85.17</v>
      </c>
      <c r="L293" t="s">
        <v>39</v>
      </c>
      <c r="M293" t="s">
        <v>27</v>
      </c>
    </row>
    <row r="294" spans="1:13" x14ac:dyDescent="0.35">
      <c r="A294" t="s">
        <v>455</v>
      </c>
      <c r="B294" t="s">
        <v>68</v>
      </c>
      <c r="C294" s="1">
        <v>45525</v>
      </c>
      <c r="D294" t="s">
        <v>42</v>
      </c>
      <c r="E294" t="s">
        <v>17</v>
      </c>
      <c r="F294" t="s">
        <v>46</v>
      </c>
      <c r="G294">
        <v>3</v>
      </c>
      <c r="H294">
        <v>162</v>
      </c>
      <c r="I294">
        <v>0.05</v>
      </c>
      <c r="J294">
        <v>461.7</v>
      </c>
      <c r="K294">
        <v>92.34</v>
      </c>
      <c r="L294" t="s">
        <v>39</v>
      </c>
      <c r="M294" t="s">
        <v>27</v>
      </c>
    </row>
    <row r="295" spans="1:13" x14ac:dyDescent="0.35">
      <c r="A295" t="s">
        <v>456</v>
      </c>
      <c r="B295" t="s">
        <v>457</v>
      </c>
      <c r="C295" s="1">
        <v>45985</v>
      </c>
      <c r="D295" t="s">
        <v>63</v>
      </c>
      <c r="E295" t="s">
        <v>33</v>
      </c>
      <c r="F295" t="s">
        <v>71</v>
      </c>
      <c r="G295">
        <v>2</v>
      </c>
      <c r="H295">
        <v>374</v>
      </c>
      <c r="I295">
        <v>0.05</v>
      </c>
      <c r="J295">
        <v>710.6</v>
      </c>
      <c r="K295">
        <v>177.65</v>
      </c>
      <c r="L295" t="s">
        <v>26</v>
      </c>
      <c r="M295" t="s">
        <v>27</v>
      </c>
    </row>
    <row r="296" spans="1:13" x14ac:dyDescent="0.35">
      <c r="A296" t="s">
        <v>458</v>
      </c>
      <c r="B296" t="s">
        <v>60</v>
      </c>
      <c r="C296" s="1">
        <v>45530</v>
      </c>
      <c r="D296" t="s">
        <v>16</v>
      </c>
      <c r="E296" t="s">
        <v>33</v>
      </c>
      <c r="F296" t="s">
        <v>66</v>
      </c>
      <c r="G296">
        <v>2</v>
      </c>
      <c r="H296">
        <v>123</v>
      </c>
      <c r="I296">
        <v>0</v>
      </c>
      <c r="J296">
        <v>246</v>
      </c>
      <c r="K296">
        <v>49.2</v>
      </c>
      <c r="L296" t="s">
        <v>19</v>
      </c>
      <c r="M296" t="s">
        <v>20</v>
      </c>
    </row>
    <row r="297" spans="1:13" x14ac:dyDescent="0.35">
      <c r="A297" t="s">
        <v>459</v>
      </c>
      <c r="B297" t="s">
        <v>254</v>
      </c>
      <c r="C297" s="1">
        <v>45534</v>
      </c>
      <c r="D297" t="s">
        <v>63</v>
      </c>
      <c r="E297" t="s">
        <v>24</v>
      </c>
      <c r="F297" t="s">
        <v>49</v>
      </c>
      <c r="G297">
        <v>3</v>
      </c>
      <c r="H297">
        <v>386</v>
      </c>
      <c r="I297">
        <v>0.15</v>
      </c>
      <c r="J297">
        <v>984.3</v>
      </c>
      <c r="K297">
        <v>246.07</v>
      </c>
      <c r="L297" t="s">
        <v>19</v>
      </c>
      <c r="M297" t="s">
        <v>20</v>
      </c>
    </row>
    <row r="298" spans="1:13" x14ac:dyDescent="0.35">
      <c r="A298" t="s">
        <v>460</v>
      </c>
      <c r="B298" t="s">
        <v>144</v>
      </c>
      <c r="C298" s="1">
        <v>45228</v>
      </c>
      <c r="D298" t="s">
        <v>42</v>
      </c>
      <c r="E298" t="s">
        <v>24</v>
      </c>
      <c r="F298" t="s">
        <v>107</v>
      </c>
      <c r="G298">
        <v>3</v>
      </c>
      <c r="H298">
        <v>328</v>
      </c>
      <c r="I298">
        <v>0</v>
      </c>
      <c r="J298">
        <v>984</v>
      </c>
      <c r="K298">
        <v>196.8</v>
      </c>
      <c r="L298" t="s">
        <v>26</v>
      </c>
      <c r="M298" t="s">
        <v>20</v>
      </c>
    </row>
    <row r="299" spans="1:13" x14ac:dyDescent="0.35">
      <c r="A299" t="s">
        <v>461</v>
      </c>
      <c r="B299" t="s">
        <v>462</v>
      </c>
      <c r="C299" s="1">
        <v>45788</v>
      </c>
      <c r="D299" t="s">
        <v>37</v>
      </c>
      <c r="E299" t="s">
        <v>24</v>
      </c>
      <c r="F299" t="s">
        <v>25</v>
      </c>
      <c r="G299">
        <v>2</v>
      </c>
      <c r="H299">
        <v>212</v>
      </c>
      <c r="I299">
        <v>0.1</v>
      </c>
      <c r="J299">
        <v>381.6</v>
      </c>
      <c r="K299">
        <v>114.48</v>
      </c>
      <c r="L299" t="s">
        <v>39</v>
      </c>
      <c r="M299" t="s">
        <v>20</v>
      </c>
    </row>
    <row r="300" spans="1:13" x14ac:dyDescent="0.35">
      <c r="A300" t="s">
        <v>463</v>
      </c>
      <c r="B300" t="s">
        <v>105</v>
      </c>
      <c r="C300" s="1">
        <v>44941</v>
      </c>
      <c r="D300" t="s">
        <v>23</v>
      </c>
      <c r="E300" t="s">
        <v>17</v>
      </c>
      <c r="F300" t="s">
        <v>46</v>
      </c>
      <c r="G300">
        <v>2</v>
      </c>
      <c r="H300">
        <v>383</v>
      </c>
      <c r="I300">
        <v>0</v>
      </c>
      <c r="J300">
        <v>766</v>
      </c>
      <c r="K300">
        <v>229.8</v>
      </c>
      <c r="L300" t="s">
        <v>39</v>
      </c>
      <c r="M300" t="s">
        <v>20</v>
      </c>
    </row>
    <row r="301" spans="1:13" x14ac:dyDescent="0.35">
      <c r="A301" t="s">
        <v>464</v>
      </c>
      <c r="B301" t="s">
        <v>127</v>
      </c>
      <c r="C301" s="1">
        <v>45909</v>
      </c>
      <c r="D301" t="s">
        <v>42</v>
      </c>
      <c r="E301" t="s">
        <v>33</v>
      </c>
      <c r="F301" t="s">
        <v>38</v>
      </c>
      <c r="G301">
        <v>4</v>
      </c>
      <c r="H301">
        <v>134</v>
      </c>
      <c r="I301">
        <v>0.05</v>
      </c>
      <c r="J301">
        <v>509.2</v>
      </c>
      <c r="K301">
        <v>127.3</v>
      </c>
      <c r="L301" t="s">
        <v>26</v>
      </c>
      <c r="M301" t="s">
        <v>27</v>
      </c>
    </row>
    <row r="302" spans="1:13" x14ac:dyDescent="0.35">
      <c r="A302" t="s">
        <v>465</v>
      </c>
      <c r="B302" t="s">
        <v>283</v>
      </c>
      <c r="C302" s="1">
        <v>45858</v>
      </c>
      <c r="D302" t="s">
        <v>37</v>
      </c>
      <c r="E302" t="s">
        <v>24</v>
      </c>
      <c r="F302" t="s">
        <v>25</v>
      </c>
      <c r="G302">
        <v>1</v>
      </c>
      <c r="H302">
        <v>205</v>
      </c>
      <c r="I302">
        <v>0.05</v>
      </c>
      <c r="J302">
        <v>194.75</v>
      </c>
      <c r="K302">
        <v>58.42</v>
      </c>
      <c r="L302" t="s">
        <v>26</v>
      </c>
      <c r="M302" t="s">
        <v>20</v>
      </c>
    </row>
    <row r="303" spans="1:13" x14ac:dyDescent="0.35">
      <c r="A303" t="s">
        <v>466</v>
      </c>
      <c r="B303" t="s">
        <v>68</v>
      </c>
      <c r="C303" s="1">
        <v>45654</v>
      </c>
      <c r="D303" t="s">
        <v>63</v>
      </c>
      <c r="E303" t="s">
        <v>33</v>
      </c>
      <c r="F303" t="s">
        <v>43</v>
      </c>
      <c r="G303">
        <v>1</v>
      </c>
      <c r="H303">
        <v>295</v>
      </c>
      <c r="I303">
        <v>0.15</v>
      </c>
      <c r="J303">
        <v>250.75</v>
      </c>
      <c r="K303">
        <v>50.15</v>
      </c>
      <c r="L303" t="s">
        <v>39</v>
      </c>
      <c r="M303" t="s">
        <v>27</v>
      </c>
    </row>
    <row r="304" spans="1:13" x14ac:dyDescent="0.35">
      <c r="A304" t="s">
        <v>467</v>
      </c>
      <c r="B304" t="s">
        <v>133</v>
      </c>
      <c r="C304" s="1">
        <v>45380</v>
      </c>
      <c r="D304" t="s">
        <v>37</v>
      </c>
      <c r="E304" t="s">
        <v>17</v>
      </c>
      <c r="F304" t="s">
        <v>58</v>
      </c>
      <c r="G304">
        <v>1</v>
      </c>
      <c r="H304">
        <v>240</v>
      </c>
      <c r="I304">
        <v>0.05</v>
      </c>
      <c r="J304">
        <v>228</v>
      </c>
      <c r="K304">
        <v>45.6</v>
      </c>
      <c r="L304" t="s">
        <v>26</v>
      </c>
      <c r="M304" t="s">
        <v>27</v>
      </c>
    </row>
    <row r="305" spans="1:13" x14ac:dyDescent="0.35">
      <c r="A305" t="s">
        <v>468</v>
      </c>
      <c r="B305" t="s">
        <v>469</v>
      </c>
      <c r="C305" s="1">
        <v>45476</v>
      </c>
      <c r="D305" t="s">
        <v>37</v>
      </c>
      <c r="E305" t="s">
        <v>24</v>
      </c>
      <c r="F305" t="s">
        <v>30</v>
      </c>
      <c r="G305">
        <v>4</v>
      </c>
      <c r="H305">
        <v>412</v>
      </c>
      <c r="I305">
        <v>0.1</v>
      </c>
      <c r="J305">
        <v>1483.2</v>
      </c>
      <c r="K305">
        <v>444.96</v>
      </c>
      <c r="L305" t="s">
        <v>19</v>
      </c>
      <c r="M305" t="s">
        <v>27</v>
      </c>
    </row>
    <row r="306" spans="1:13" x14ac:dyDescent="0.35">
      <c r="A306" t="s">
        <v>470</v>
      </c>
      <c r="B306" t="s">
        <v>187</v>
      </c>
      <c r="C306" s="1">
        <v>45989</v>
      </c>
      <c r="D306" t="s">
        <v>37</v>
      </c>
      <c r="E306" t="s">
        <v>24</v>
      </c>
      <c r="F306" t="s">
        <v>30</v>
      </c>
      <c r="G306">
        <v>3</v>
      </c>
      <c r="H306">
        <v>91</v>
      </c>
      <c r="I306">
        <v>0.1</v>
      </c>
      <c r="J306">
        <v>245.7</v>
      </c>
      <c r="K306">
        <v>61.43</v>
      </c>
      <c r="L306" t="s">
        <v>19</v>
      </c>
      <c r="M306" t="s">
        <v>20</v>
      </c>
    </row>
    <row r="307" spans="1:13" x14ac:dyDescent="0.35">
      <c r="A307" t="s">
        <v>471</v>
      </c>
      <c r="B307" t="s">
        <v>256</v>
      </c>
      <c r="C307" s="1">
        <v>45707</v>
      </c>
      <c r="D307" t="s">
        <v>37</v>
      </c>
      <c r="E307" t="s">
        <v>17</v>
      </c>
      <c r="F307" t="s">
        <v>58</v>
      </c>
      <c r="G307">
        <v>4</v>
      </c>
      <c r="H307">
        <v>99</v>
      </c>
      <c r="I307">
        <v>0.05</v>
      </c>
      <c r="J307">
        <v>376.2</v>
      </c>
      <c r="K307">
        <v>94.05</v>
      </c>
      <c r="L307" t="s">
        <v>19</v>
      </c>
      <c r="M307" t="s">
        <v>20</v>
      </c>
    </row>
    <row r="308" spans="1:13" x14ac:dyDescent="0.35">
      <c r="A308" t="s">
        <v>472</v>
      </c>
      <c r="B308" t="s">
        <v>246</v>
      </c>
      <c r="C308" s="1">
        <v>45859</v>
      </c>
      <c r="D308" t="s">
        <v>63</v>
      </c>
      <c r="E308" t="s">
        <v>17</v>
      </c>
      <c r="F308" t="s">
        <v>18</v>
      </c>
      <c r="G308">
        <v>3</v>
      </c>
      <c r="H308">
        <v>93</v>
      </c>
      <c r="I308">
        <v>0</v>
      </c>
      <c r="J308">
        <v>279</v>
      </c>
      <c r="K308">
        <v>83.7</v>
      </c>
      <c r="L308" t="s">
        <v>39</v>
      </c>
      <c r="M308" t="s">
        <v>20</v>
      </c>
    </row>
    <row r="309" spans="1:13" x14ac:dyDescent="0.35">
      <c r="A309" t="s">
        <v>473</v>
      </c>
      <c r="B309" t="s">
        <v>105</v>
      </c>
      <c r="C309" s="1">
        <v>45732</v>
      </c>
      <c r="D309" t="s">
        <v>16</v>
      </c>
      <c r="E309" t="s">
        <v>17</v>
      </c>
      <c r="F309" t="s">
        <v>18</v>
      </c>
      <c r="G309">
        <v>2</v>
      </c>
      <c r="H309">
        <v>231</v>
      </c>
      <c r="I309">
        <v>0.05</v>
      </c>
      <c r="J309">
        <v>438.9</v>
      </c>
      <c r="K309">
        <v>87.78</v>
      </c>
      <c r="L309" t="s">
        <v>19</v>
      </c>
      <c r="M309" t="s">
        <v>20</v>
      </c>
    </row>
    <row r="310" spans="1:13" x14ac:dyDescent="0.35">
      <c r="A310" t="s">
        <v>474</v>
      </c>
      <c r="B310" t="s">
        <v>146</v>
      </c>
      <c r="C310" s="1">
        <v>45971</v>
      </c>
      <c r="D310" t="s">
        <v>23</v>
      </c>
      <c r="E310" t="s">
        <v>33</v>
      </c>
      <c r="F310" t="s">
        <v>66</v>
      </c>
      <c r="G310">
        <v>3</v>
      </c>
      <c r="H310">
        <v>417</v>
      </c>
      <c r="I310">
        <v>0.05</v>
      </c>
      <c r="J310">
        <v>1188.45</v>
      </c>
      <c r="K310">
        <v>356.54</v>
      </c>
      <c r="L310" t="s">
        <v>39</v>
      </c>
      <c r="M310" t="s">
        <v>27</v>
      </c>
    </row>
    <row r="311" spans="1:13" x14ac:dyDescent="0.35">
      <c r="A311" t="s">
        <v>475</v>
      </c>
      <c r="B311" t="s">
        <v>159</v>
      </c>
      <c r="C311" s="1">
        <v>45490</v>
      </c>
      <c r="D311" t="s">
        <v>63</v>
      </c>
      <c r="E311" t="s">
        <v>33</v>
      </c>
      <c r="F311" t="s">
        <v>38</v>
      </c>
      <c r="G311">
        <v>2</v>
      </c>
      <c r="H311">
        <v>189</v>
      </c>
      <c r="I311">
        <v>0.15</v>
      </c>
      <c r="J311">
        <v>321.3</v>
      </c>
      <c r="K311">
        <v>96.39</v>
      </c>
      <c r="L311" t="s">
        <v>39</v>
      </c>
      <c r="M311" t="s">
        <v>27</v>
      </c>
    </row>
    <row r="312" spans="1:13" x14ac:dyDescent="0.35">
      <c r="A312" t="s">
        <v>476</v>
      </c>
      <c r="B312" t="s">
        <v>227</v>
      </c>
      <c r="C312" s="1">
        <v>45832</v>
      </c>
      <c r="D312" t="s">
        <v>16</v>
      </c>
      <c r="E312" t="s">
        <v>17</v>
      </c>
      <c r="F312" t="s">
        <v>58</v>
      </c>
      <c r="G312">
        <v>4</v>
      </c>
      <c r="H312">
        <v>386</v>
      </c>
      <c r="I312">
        <v>0.15</v>
      </c>
      <c r="J312">
        <v>1312.4</v>
      </c>
      <c r="K312">
        <v>262.48</v>
      </c>
      <c r="L312" t="s">
        <v>19</v>
      </c>
      <c r="M312" t="s">
        <v>27</v>
      </c>
    </row>
    <row r="313" spans="1:13" x14ac:dyDescent="0.35">
      <c r="A313" t="s">
        <v>477</v>
      </c>
      <c r="B313" t="s">
        <v>202</v>
      </c>
      <c r="C313" s="1">
        <v>46020</v>
      </c>
      <c r="D313" t="s">
        <v>23</v>
      </c>
      <c r="E313" t="s">
        <v>24</v>
      </c>
      <c r="F313" t="s">
        <v>49</v>
      </c>
      <c r="G313">
        <v>1</v>
      </c>
      <c r="H313">
        <v>148</v>
      </c>
      <c r="I313">
        <v>0</v>
      </c>
      <c r="J313">
        <v>148</v>
      </c>
      <c r="K313">
        <v>29.6</v>
      </c>
      <c r="L313" t="s">
        <v>19</v>
      </c>
      <c r="M313" t="s">
        <v>20</v>
      </c>
    </row>
    <row r="314" spans="1:13" x14ac:dyDescent="0.35">
      <c r="A314" t="s">
        <v>478</v>
      </c>
      <c r="B314" t="s">
        <v>174</v>
      </c>
      <c r="C314" s="1">
        <v>45292</v>
      </c>
      <c r="D314" t="s">
        <v>37</v>
      </c>
      <c r="E314" t="s">
        <v>33</v>
      </c>
      <c r="F314" t="s">
        <v>38</v>
      </c>
      <c r="G314">
        <v>1</v>
      </c>
      <c r="H314">
        <v>133</v>
      </c>
      <c r="I314">
        <v>0.05</v>
      </c>
      <c r="J314">
        <v>126.35</v>
      </c>
      <c r="K314">
        <v>31.59</v>
      </c>
      <c r="L314" t="s">
        <v>39</v>
      </c>
      <c r="M314" t="s">
        <v>20</v>
      </c>
    </row>
    <row r="315" spans="1:13" x14ac:dyDescent="0.35">
      <c r="A315" t="s">
        <v>479</v>
      </c>
      <c r="B315" t="s">
        <v>122</v>
      </c>
      <c r="C315" s="1">
        <v>44996</v>
      </c>
      <c r="D315" t="s">
        <v>63</v>
      </c>
      <c r="E315" t="s">
        <v>33</v>
      </c>
      <c r="F315" t="s">
        <v>34</v>
      </c>
      <c r="G315">
        <v>1</v>
      </c>
      <c r="H315">
        <v>324</v>
      </c>
      <c r="I315">
        <v>0</v>
      </c>
      <c r="J315">
        <v>324</v>
      </c>
      <c r="K315">
        <v>64.8</v>
      </c>
      <c r="L315" t="s">
        <v>19</v>
      </c>
      <c r="M315" t="s">
        <v>20</v>
      </c>
    </row>
    <row r="316" spans="1:13" x14ac:dyDescent="0.35">
      <c r="A316" t="s">
        <v>480</v>
      </c>
      <c r="B316" t="s">
        <v>313</v>
      </c>
      <c r="C316" s="1">
        <v>45611</v>
      </c>
      <c r="D316" t="s">
        <v>23</v>
      </c>
      <c r="E316" t="s">
        <v>33</v>
      </c>
      <c r="F316" t="s">
        <v>38</v>
      </c>
      <c r="G316">
        <v>3</v>
      </c>
      <c r="H316">
        <v>435</v>
      </c>
      <c r="I316">
        <v>0.15</v>
      </c>
      <c r="J316">
        <v>1109.25</v>
      </c>
      <c r="K316">
        <v>277.31</v>
      </c>
      <c r="L316" t="s">
        <v>26</v>
      </c>
      <c r="M316" t="s">
        <v>27</v>
      </c>
    </row>
    <row r="317" spans="1:13" x14ac:dyDescent="0.35">
      <c r="A317" t="s">
        <v>481</v>
      </c>
      <c r="B317" t="s">
        <v>180</v>
      </c>
      <c r="C317" s="1">
        <v>45518</v>
      </c>
      <c r="D317" t="s">
        <v>63</v>
      </c>
      <c r="E317" t="s">
        <v>33</v>
      </c>
      <c r="F317" t="s">
        <v>66</v>
      </c>
      <c r="G317">
        <v>4</v>
      </c>
      <c r="H317">
        <v>305</v>
      </c>
      <c r="I317">
        <v>0.15</v>
      </c>
      <c r="J317">
        <v>1037</v>
      </c>
      <c r="K317">
        <v>207.4</v>
      </c>
      <c r="L317" t="s">
        <v>26</v>
      </c>
      <c r="M317" t="s">
        <v>27</v>
      </c>
    </row>
    <row r="318" spans="1:13" x14ac:dyDescent="0.35">
      <c r="A318" t="s">
        <v>482</v>
      </c>
      <c r="B318" t="s">
        <v>273</v>
      </c>
      <c r="C318" s="1">
        <v>45031</v>
      </c>
      <c r="D318" t="s">
        <v>16</v>
      </c>
      <c r="E318" t="s">
        <v>17</v>
      </c>
      <c r="F318" t="s">
        <v>58</v>
      </c>
      <c r="G318">
        <v>4</v>
      </c>
      <c r="H318">
        <v>132</v>
      </c>
      <c r="I318">
        <v>0.15</v>
      </c>
      <c r="J318">
        <v>448.8</v>
      </c>
      <c r="K318">
        <v>134.63999999999999</v>
      </c>
      <c r="L318" t="s">
        <v>26</v>
      </c>
      <c r="M318" t="s">
        <v>20</v>
      </c>
    </row>
    <row r="319" spans="1:13" x14ac:dyDescent="0.35">
      <c r="A319" t="s">
        <v>483</v>
      </c>
      <c r="B319" t="s">
        <v>401</v>
      </c>
      <c r="C319" s="1">
        <v>45784</v>
      </c>
      <c r="D319" t="s">
        <v>37</v>
      </c>
      <c r="E319" t="s">
        <v>24</v>
      </c>
      <c r="F319" t="s">
        <v>49</v>
      </c>
      <c r="G319">
        <v>3</v>
      </c>
      <c r="H319">
        <v>89</v>
      </c>
      <c r="I319">
        <v>0.1</v>
      </c>
      <c r="J319">
        <v>240.3</v>
      </c>
      <c r="K319">
        <v>60.08</v>
      </c>
      <c r="L319" t="s">
        <v>39</v>
      </c>
      <c r="M319" t="s">
        <v>27</v>
      </c>
    </row>
    <row r="320" spans="1:13" x14ac:dyDescent="0.35">
      <c r="A320" t="s">
        <v>484</v>
      </c>
      <c r="B320" t="s">
        <v>166</v>
      </c>
      <c r="C320" s="1">
        <v>45711</v>
      </c>
      <c r="D320" t="s">
        <v>63</v>
      </c>
      <c r="E320" t="s">
        <v>24</v>
      </c>
      <c r="F320" t="s">
        <v>30</v>
      </c>
      <c r="G320">
        <v>3</v>
      </c>
      <c r="H320">
        <v>337</v>
      </c>
      <c r="I320">
        <v>0</v>
      </c>
      <c r="J320">
        <v>1011</v>
      </c>
      <c r="K320">
        <v>202.2</v>
      </c>
      <c r="L320" t="s">
        <v>39</v>
      </c>
      <c r="M320" t="s">
        <v>27</v>
      </c>
    </row>
    <row r="321" spans="1:13" x14ac:dyDescent="0.35">
      <c r="A321" t="s">
        <v>485</v>
      </c>
      <c r="B321" t="s">
        <v>457</v>
      </c>
      <c r="C321" s="1">
        <v>45902</v>
      </c>
      <c r="D321" t="s">
        <v>63</v>
      </c>
      <c r="E321" t="s">
        <v>24</v>
      </c>
      <c r="F321" t="s">
        <v>49</v>
      </c>
      <c r="G321">
        <v>2</v>
      </c>
      <c r="H321">
        <v>277</v>
      </c>
      <c r="I321">
        <v>0.1</v>
      </c>
      <c r="J321">
        <v>498.6</v>
      </c>
      <c r="K321">
        <v>124.65</v>
      </c>
      <c r="L321" t="s">
        <v>19</v>
      </c>
      <c r="M321" t="s">
        <v>27</v>
      </c>
    </row>
    <row r="322" spans="1:13" x14ac:dyDescent="0.35">
      <c r="A322" t="s">
        <v>486</v>
      </c>
      <c r="B322" t="s">
        <v>150</v>
      </c>
      <c r="C322" s="1">
        <v>45092</v>
      </c>
      <c r="D322" t="s">
        <v>23</v>
      </c>
      <c r="E322" t="s">
        <v>24</v>
      </c>
      <c r="F322" t="s">
        <v>49</v>
      </c>
      <c r="G322">
        <v>3</v>
      </c>
      <c r="H322">
        <v>117</v>
      </c>
      <c r="I322">
        <v>0.15</v>
      </c>
      <c r="J322">
        <v>298.35000000000002</v>
      </c>
      <c r="K322">
        <v>89.5</v>
      </c>
      <c r="L322" t="s">
        <v>26</v>
      </c>
      <c r="M322" t="s">
        <v>20</v>
      </c>
    </row>
    <row r="323" spans="1:13" x14ac:dyDescent="0.35">
      <c r="A323" t="s">
        <v>487</v>
      </c>
      <c r="B323" t="s">
        <v>207</v>
      </c>
      <c r="C323" s="1">
        <v>45197</v>
      </c>
      <c r="D323" t="s">
        <v>23</v>
      </c>
      <c r="E323" t="s">
        <v>24</v>
      </c>
      <c r="F323" t="s">
        <v>107</v>
      </c>
      <c r="G323">
        <v>4</v>
      </c>
      <c r="H323">
        <v>128</v>
      </c>
      <c r="I323">
        <v>0</v>
      </c>
      <c r="J323">
        <v>512</v>
      </c>
      <c r="K323">
        <v>128</v>
      </c>
      <c r="L323" t="s">
        <v>19</v>
      </c>
      <c r="M323" t="s">
        <v>27</v>
      </c>
    </row>
    <row r="324" spans="1:13" x14ac:dyDescent="0.35">
      <c r="A324" t="s">
        <v>488</v>
      </c>
      <c r="B324" t="s">
        <v>122</v>
      </c>
      <c r="C324" s="1">
        <v>45528</v>
      </c>
      <c r="D324" t="s">
        <v>23</v>
      </c>
      <c r="E324" t="s">
        <v>33</v>
      </c>
      <c r="F324" t="s">
        <v>38</v>
      </c>
      <c r="G324">
        <v>4</v>
      </c>
      <c r="H324">
        <v>198</v>
      </c>
      <c r="I324">
        <v>0</v>
      </c>
      <c r="J324">
        <v>792</v>
      </c>
      <c r="K324">
        <v>198</v>
      </c>
      <c r="L324" t="s">
        <v>26</v>
      </c>
      <c r="M324" t="s">
        <v>20</v>
      </c>
    </row>
    <row r="325" spans="1:13" x14ac:dyDescent="0.35">
      <c r="A325" t="s">
        <v>489</v>
      </c>
      <c r="B325" t="s">
        <v>379</v>
      </c>
      <c r="C325" s="1">
        <v>44929</v>
      </c>
      <c r="D325" t="s">
        <v>16</v>
      </c>
      <c r="E325" t="s">
        <v>24</v>
      </c>
      <c r="F325" t="s">
        <v>30</v>
      </c>
      <c r="G325">
        <v>3</v>
      </c>
      <c r="H325">
        <v>242</v>
      </c>
      <c r="I325">
        <v>0.15</v>
      </c>
      <c r="J325">
        <v>617.1</v>
      </c>
      <c r="K325">
        <v>185.13</v>
      </c>
      <c r="L325" t="s">
        <v>39</v>
      </c>
      <c r="M325" t="s">
        <v>27</v>
      </c>
    </row>
    <row r="326" spans="1:13" x14ac:dyDescent="0.35">
      <c r="A326" t="s">
        <v>490</v>
      </c>
      <c r="B326" t="s">
        <v>491</v>
      </c>
      <c r="C326" s="1">
        <v>45898</v>
      </c>
      <c r="D326" t="s">
        <v>37</v>
      </c>
      <c r="E326" t="s">
        <v>17</v>
      </c>
      <c r="F326" t="s">
        <v>58</v>
      </c>
      <c r="G326">
        <v>2</v>
      </c>
      <c r="H326">
        <v>205</v>
      </c>
      <c r="I326">
        <v>0.15</v>
      </c>
      <c r="J326">
        <v>348.5</v>
      </c>
      <c r="K326">
        <v>87.12</v>
      </c>
      <c r="L326" t="s">
        <v>39</v>
      </c>
      <c r="M326" t="s">
        <v>20</v>
      </c>
    </row>
    <row r="327" spans="1:13" x14ac:dyDescent="0.35">
      <c r="A327" t="s">
        <v>492</v>
      </c>
      <c r="B327" t="s">
        <v>229</v>
      </c>
      <c r="C327" s="1">
        <v>44944</v>
      </c>
      <c r="D327" t="s">
        <v>37</v>
      </c>
      <c r="E327" t="s">
        <v>24</v>
      </c>
      <c r="F327" t="s">
        <v>30</v>
      </c>
      <c r="G327">
        <v>2</v>
      </c>
      <c r="H327">
        <v>133</v>
      </c>
      <c r="I327">
        <v>0.1</v>
      </c>
      <c r="J327">
        <v>239.4</v>
      </c>
      <c r="K327">
        <v>59.85</v>
      </c>
      <c r="L327" t="s">
        <v>19</v>
      </c>
      <c r="M327" t="s">
        <v>20</v>
      </c>
    </row>
    <row r="328" spans="1:13" x14ac:dyDescent="0.35">
      <c r="A328" t="s">
        <v>493</v>
      </c>
      <c r="B328" t="s">
        <v>45</v>
      </c>
      <c r="C328" s="1">
        <v>45331</v>
      </c>
      <c r="D328" t="s">
        <v>42</v>
      </c>
      <c r="E328" t="s">
        <v>17</v>
      </c>
      <c r="F328" t="s">
        <v>46</v>
      </c>
      <c r="G328">
        <v>3</v>
      </c>
      <c r="H328">
        <v>284</v>
      </c>
      <c r="I328">
        <v>0.15</v>
      </c>
      <c r="J328">
        <v>724.2</v>
      </c>
      <c r="K328">
        <v>181.05</v>
      </c>
      <c r="L328" t="s">
        <v>19</v>
      </c>
      <c r="M328" t="s">
        <v>20</v>
      </c>
    </row>
    <row r="329" spans="1:13" x14ac:dyDescent="0.35">
      <c r="A329" t="s">
        <v>494</v>
      </c>
      <c r="B329" t="s">
        <v>202</v>
      </c>
      <c r="C329" s="1">
        <v>45242</v>
      </c>
      <c r="D329" t="s">
        <v>42</v>
      </c>
      <c r="E329" t="s">
        <v>17</v>
      </c>
      <c r="F329" t="s">
        <v>78</v>
      </c>
      <c r="G329">
        <v>1</v>
      </c>
      <c r="H329">
        <v>356</v>
      </c>
      <c r="I329">
        <v>0.05</v>
      </c>
      <c r="J329">
        <v>338.2</v>
      </c>
      <c r="K329">
        <v>101.46</v>
      </c>
      <c r="L329" t="s">
        <v>19</v>
      </c>
      <c r="M329" t="s">
        <v>20</v>
      </c>
    </row>
    <row r="330" spans="1:13" x14ac:dyDescent="0.35">
      <c r="A330" t="s">
        <v>495</v>
      </c>
      <c r="B330" t="s">
        <v>57</v>
      </c>
      <c r="C330" s="1">
        <v>45334</v>
      </c>
      <c r="D330" t="s">
        <v>23</v>
      </c>
      <c r="E330" t="s">
        <v>33</v>
      </c>
      <c r="F330" t="s">
        <v>71</v>
      </c>
      <c r="G330">
        <v>1</v>
      </c>
      <c r="H330">
        <v>205</v>
      </c>
      <c r="I330">
        <v>0.1</v>
      </c>
      <c r="J330">
        <v>184.5</v>
      </c>
      <c r="K330">
        <v>46.12</v>
      </c>
      <c r="L330" t="s">
        <v>19</v>
      </c>
      <c r="M330" t="s">
        <v>20</v>
      </c>
    </row>
    <row r="331" spans="1:13" x14ac:dyDescent="0.35">
      <c r="A331" t="s">
        <v>496</v>
      </c>
      <c r="B331" t="s">
        <v>176</v>
      </c>
      <c r="C331" s="1">
        <v>45593</v>
      </c>
      <c r="D331" t="s">
        <v>37</v>
      </c>
      <c r="E331" t="s">
        <v>33</v>
      </c>
      <c r="F331" t="s">
        <v>43</v>
      </c>
      <c r="G331">
        <v>4</v>
      </c>
      <c r="H331">
        <v>424</v>
      </c>
      <c r="I331">
        <v>0.05</v>
      </c>
      <c r="J331">
        <v>1611.2</v>
      </c>
      <c r="K331">
        <v>402.8</v>
      </c>
      <c r="L331" t="s">
        <v>19</v>
      </c>
      <c r="M331" t="s">
        <v>20</v>
      </c>
    </row>
    <row r="332" spans="1:13" x14ac:dyDescent="0.35">
      <c r="A332" t="s">
        <v>497</v>
      </c>
      <c r="B332" t="s">
        <v>254</v>
      </c>
      <c r="C332" s="1">
        <v>45731</v>
      </c>
      <c r="D332" t="s">
        <v>23</v>
      </c>
      <c r="E332" t="s">
        <v>24</v>
      </c>
      <c r="F332" t="s">
        <v>30</v>
      </c>
      <c r="G332">
        <v>1</v>
      </c>
      <c r="H332">
        <v>197</v>
      </c>
      <c r="I332">
        <v>0.15</v>
      </c>
      <c r="J332">
        <v>167.45</v>
      </c>
      <c r="K332">
        <v>41.86</v>
      </c>
      <c r="L332" t="s">
        <v>39</v>
      </c>
      <c r="M332" t="s">
        <v>27</v>
      </c>
    </row>
    <row r="333" spans="1:13" x14ac:dyDescent="0.35">
      <c r="A333" t="s">
        <v>498</v>
      </c>
      <c r="B333" t="s">
        <v>174</v>
      </c>
      <c r="C333" s="1">
        <v>45354</v>
      </c>
      <c r="D333" t="s">
        <v>42</v>
      </c>
      <c r="E333" t="s">
        <v>17</v>
      </c>
      <c r="F333" t="s">
        <v>18</v>
      </c>
      <c r="G333">
        <v>2</v>
      </c>
      <c r="H333">
        <v>109</v>
      </c>
      <c r="I333">
        <v>0.05</v>
      </c>
      <c r="J333">
        <v>207.1</v>
      </c>
      <c r="K333">
        <v>51.77</v>
      </c>
      <c r="L333" t="s">
        <v>26</v>
      </c>
      <c r="M333" t="s">
        <v>20</v>
      </c>
    </row>
    <row r="334" spans="1:13" x14ac:dyDescent="0.35">
      <c r="A334" t="s">
        <v>499</v>
      </c>
      <c r="B334" t="s">
        <v>500</v>
      </c>
      <c r="C334" s="1">
        <v>45464</v>
      </c>
      <c r="D334" t="s">
        <v>16</v>
      </c>
      <c r="E334" t="s">
        <v>24</v>
      </c>
      <c r="F334" t="s">
        <v>25</v>
      </c>
      <c r="G334">
        <v>4</v>
      </c>
      <c r="H334">
        <v>212</v>
      </c>
      <c r="I334">
        <v>0</v>
      </c>
      <c r="J334">
        <v>848</v>
      </c>
      <c r="K334">
        <v>254.4</v>
      </c>
      <c r="L334" t="s">
        <v>19</v>
      </c>
      <c r="M334" t="s">
        <v>20</v>
      </c>
    </row>
    <row r="335" spans="1:13" x14ac:dyDescent="0.35">
      <c r="A335" t="s">
        <v>501</v>
      </c>
      <c r="B335" t="s">
        <v>374</v>
      </c>
      <c r="C335" s="1">
        <v>45270</v>
      </c>
      <c r="D335" t="s">
        <v>37</v>
      </c>
      <c r="E335" t="s">
        <v>24</v>
      </c>
      <c r="F335" t="s">
        <v>107</v>
      </c>
      <c r="G335">
        <v>1</v>
      </c>
      <c r="H335">
        <v>355</v>
      </c>
      <c r="I335">
        <v>0.1</v>
      </c>
      <c r="J335">
        <v>319.5</v>
      </c>
      <c r="K335">
        <v>79.88</v>
      </c>
      <c r="L335" t="s">
        <v>39</v>
      </c>
      <c r="M335" t="s">
        <v>20</v>
      </c>
    </row>
    <row r="336" spans="1:13" x14ac:dyDescent="0.35">
      <c r="A336" t="s">
        <v>502</v>
      </c>
      <c r="B336" t="s">
        <v>232</v>
      </c>
      <c r="C336" s="1">
        <v>45375</v>
      </c>
      <c r="D336" t="s">
        <v>37</v>
      </c>
      <c r="E336" t="s">
        <v>33</v>
      </c>
      <c r="F336" t="s">
        <v>43</v>
      </c>
      <c r="G336">
        <v>2</v>
      </c>
      <c r="H336">
        <v>153</v>
      </c>
      <c r="I336">
        <v>0</v>
      </c>
      <c r="J336">
        <v>306</v>
      </c>
      <c r="K336">
        <v>76.5</v>
      </c>
      <c r="L336" t="s">
        <v>19</v>
      </c>
      <c r="M336" t="s">
        <v>20</v>
      </c>
    </row>
    <row r="337" spans="1:13" x14ac:dyDescent="0.35">
      <c r="A337" t="s">
        <v>503</v>
      </c>
      <c r="B337" t="s">
        <v>250</v>
      </c>
      <c r="C337" s="1">
        <v>45470</v>
      </c>
      <c r="D337" t="s">
        <v>42</v>
      </c>
      <c r="E337" t="s">
        <v>17</v>
      </c>
      <c r="F337" t="s">
        <v>58</v>
      </c>
      <c r="G337">
        <v>2</v>
      </c>
      <c r="H337">
        <v>126</v>
      </c>
      <c r="I337">
        <v>0.05</v>
      </c>
      <c r="J337">
        <v>239.4</v>
      </c>
      <c r="K337">
        <v>71.819999999999993</v>
      </c>
      <c r="L337" t="s">
        <v>26</v>
      </c>
      <c r="M337" t="s">
        <v>20</v>
      </c>
    </row>
    <row r="338" spans="1:13" x14ac:dyDescent="0.35">
      <c r="A338" t="s">
        <v>504</v>
      </c>
      <c r="B338" t="s">
        <v>180</v>
      </c>
      <c r="C338" s="1">
        <v>45711</v>
      </c>
      <c r="D338" t="s">
        <v>63</v>
      </c>
      <c r="E338" t="s">
        <v>24</v>
      </c>
      <c r="F338" t="s">
        <v>107</v>
      </c>
      <c r="G338">
        <v>2</v>
      </c>
      <c r="H338">
        <v>171</v>
      </c>
      <c r="I338">
        <v>0.1</v>
      </c>
      <c r="J338">
        <v>307.8</v>
      </c>
      <c r="K338">
        <v>92.34</v>
      </c>
      <c r="L338" t="s">
        <v>39</v>
      </c>
      <c r="M338" t="s">
        <v>20</v>
      </c>
    </row>
    <row r="339" spans="1:13" x14ac:dyDescent="0.35">
      <c r="A339" t="s">
        <v>505</v>
      </c>
      <c r="B339" t="s">
        <v>75</v>
      </c>
      <c r="C339" s="1">
        <v>45856</v>
      </c>
      <c r="D339" t="s">
        <v>63</v>
      </c>
      <c r="E339" t="s">
        <v>33</v>
      </c>
      <c r="F339" t="s">
        <v>71</v>
      </c>
      <c r="G339">
        <v>3</v>
      </c>
      <c r="H339">
        <v>90</v>
      </c>
      <c r="I339">
        <v>0.1</v>
      </c>
      <c r="J339">
        <v>243</v>
      </c>
      <c r="K339">
        <v>72.900000000000006</v>
      </c>
      <c r="L339" t="s">
        <v>19</v>
      </c>
      <c r="M339" t="s">
        <v>20</v>
      </c>
    </row>
    <row r="340" spans="1:13" x14ac:dyDescent="0.35">
      <c r="A340" t="s">
        <v>506</v>
      </c>
      <c r="B340" t="s">
        <v>65</v>
      </c>
      <c r="C340" s="1">
        <v>44978</v>
      </c>
      <c r="D340" t="s">
        <v>23</v>
      </c>
      <c r="E340" t="s">
        <v>24</v>
      </c>
      <c r="F340" t="s">
        <v>25</v>
      </c>
      <c r="G340">
        <v>3</v>
      </c>
      <c r="H340">
        <v>286</v>
      </c>
      <c r="I340">
        <v>0.05</v>
      </c>
      <c r="J340">
        <v>815.1</v>
      </c>
      <c r="K340">
        <v>203.77</v>
      </c>
      <c r="L340" t="s">
        <v>19</v>
      </c>
      <c r="M340" t="s">
        <v>20</v>
      </c>
    </row>
    <row r="341" spans="1:13" x14ac:dyDescent="0.35">
      <c r="A341" t="s">
        <v>507</v>
      </c>
      <c r="B341" t="s">
        <v>144</v>
      </c>
      <c r="C341" s="1">
        <v>45574</v>
      </c>
      <c r="D341" t="s">
        <v>16</v>
      </c>
      <c r="E341" t="s">
        <v>33</v>
      </c>
      <c r="F341" t="s">
        <v>66</v>
      </c>
      <c r="G341">
        <v>1</v>
      </c>
      <c r="H341">
        <v>337</v>
      </c>
      <c r="I341">
        <v>0.15</v>
      </c>
      <c r="J341">
        <v>286.45</v>
      </c>
      <c r="K341">
        <v>71.61</v>
      </c>
      <c r="L341" t="s">
        <v>19</v>
      </c>
      <c r="M341" t="s">
        <v>20</v>
      </c>
    </row>
    <row r="342" spans="1:13" x14ac:dyDescent="0.35">
      <c r="A342" t="s">
        <v>508</v>
      </c>
      <c r="B342" t="s">
        <v>229</v>
      </c>
      <c r="C342" s="1">
        <v>45252</v>
      </c>
      <c r="D342" t="s">
        <v>23</v>
      </c>
      <c r="E342" t="s">
        <v>17</v>
      </c>
      <c r="F342" t="s">
        <v>58</v>
      </c>
      <c r="G342">
        <v>4</v>
      </c>
      <c r="H342">
        <v>231</v>
      </c>
      <c r="I342">
        <v>0.1</v>
      </c>
      <c r="J342">
        <v>831.6</v>
      </c>
      <c r="K342">
        <v>166.32</v>
      </c>
      <c r="L342" t="s">
        <v>19</v>
      </c>
      <c r="M342" t="s">
        <v>20</v>
      </c>
    </row>
    <row r="343" spans="1:13" x14ac:dyDescent="0.35">
      <c r="A343" t="s">
        <v>509</v>
      </c>
      <c r="B343" t="s">
        <v>86</v>
      </c>
      <c r="C343" s="1">
        <v>45436</v>
      </c>
      <c r="D343" t="s">
        <v>42</v>
      </c>
      <c r="E343" t="s">
        <v>17</v>
      </c>
      <c r="F343" t="s">
        <v>46</v>
      </c>
      <c r="G343">
        <v>3</v>
      </c>
      <c r="H343">
        <v>134</v>
      </c>
      <c r="I343">
        <v>0</v>
      </c>
      <c r="J343">
        <v>402</v>
      </c>
      <c r="K343">
        <v>120.6</v>
      </c>
      <c r="L343" t="s">
        <v>39</v>
      </c>
      <c r="M343" t="s">
        <v>20</v>
      </c>
    </row>
    <row r="344" spans="1:13" x14ac:dyDescent="0.35">
      <c r="A344" t="s">
        <v>510</v>
      </c>
      <c r="B344" t="s">
        <v>70</v>
      </c>
      <c r="C344" s="1">
        <v>45519</v>
      </c>
      <c r="D344" t="s">
        <v>37</v>
      </c>
      <c r="E344" t="s">
        <v>33</v>
      </c>
      <c r="F344" t="s">
        <v>66</v>
      </c>
      <c r="G344">
        <v>2</v>
      </c>
      <c r="H344">
        <v>161</v>
      </c>
      <c r="I344">
        <v>0.15</v>
      </c>
      <c r="J344">
        <v>273.7</v>
      </c>
      <c r="K344">
        <v>68.42</v>
      </c>
      <c r="L344" t="s">
        <v>39</v>
      </c>
      <c r="M344" t="s">
        <v>27</v>
      </c>
    </row>
    <row r="345" spans="1:13" x14ac:dyDescent="0.35">
      <c r="A345" t="s">
        <v>511</v>
      </c>
      <c r="B345" t="s">
        <v>389</v>
      </c>
      <c r="C345" s="1">
        <v>45459</v>
      </c>
      <c r="D345" t="s">
        <v>63</v>
      </c>
      <c r="E345" t="s">
        <v>33</v>
      </c>
      <c r="F345" t="s">
        <v>34</v>
      </c>
      <c r="G345">
        <v>1</v>
      </c>
      <c r="H345">
        <v>444</v>
      </c>
      <c r="I345">
        <v>0.1</v>
      </c>
      <c r="J345">
        <v>399.6</v>
      </c>
      <c r="K345">
        <v>119.88</v>
      </c>
      <c r="L345" t="s">
        <v>39</v>
      </c>
      <c r="M345" t="s">
        <v>27</v>
      </c>
    </row>
    <row r="346" spans="1:13" x14ac:dyDescent="0.35">
      <c r="A346" t="s">
        <v>512</v>
      </c>
      <c r="B346" t="s">
        <v>183</v>
      </c>
      <c r="C346" s="1">
        <v>44971</v>
      </c>
      <c r="D346" t="s">
        <v>23</v>
      </c>
      <c r="E346" t="s">
        <v>33</v>
      </c>
      <c r="F346" t="s">
        <v>34</v>
      </c>
      <c r="G346">
        <v>3</v>
      </c>
      <c r="H346">
        <v>257</v>
      </c>
      <c r="I346">
        <v>0.15</v>
      </c>
      <c r="J346">
        <v>655.35</v>
      </c>
      <c r="K346">
        <v>196.6</v>
      </c>
      <c r="L346" t="s">
        <v>39</v>
      </c>
      <c r="M346" t="s">
        <v>20</v>
      </c>
    </row>
    <row r="347" spans="1:13" x14ac:dyDescent="0.35">
      <c r="A347" t="s">
        <v>513</v>
      </c>
      <c r="B347" t="s">
        <v>238</v>
      </c>
      <c r="C347" s="1">
        <v>45555</v>
      </c>
      <c r="D347" t="s">
        <v>16</v>
      </c>
      <c r="E347" t="s">
        <v>24</v>
      </c>
      <c r="F347" t="s">
        <v>107</v>
      </c>
      <c r="G347">
        <v>1</v>
      </c>
      <c r="H347">
        <v>287</v>
      </c>
      <c r="I347">
        <v>0.1</v>
      </c>
      <c r="J347">
        <v>258.3</v>
      </c>
      <c r="K347">
        <v>51.66</v>
      </c>
      <c r="L347" t="s">
        <v>26</v>
      </c>
      <c r="M347" t="s">
        <v>27</v>
      </c>
    </row>
    <row r="348" spans="1:13" x14ac:dyDescent="0.35">
      <c r="A348" t="s">
        <v>514</v>
      </c>
      <c r="B348" t="s">
        <v>260</v>
      </c>
      <c r="C348" s="1">
        <v>45983</v>
      </c>
      <c r="D348" t="s">
        <v>42</v>
      </c>
      <c r="E348" t="s">
        <v>33</v>
      </c>
      <c r="F348" t="s">
        <v>34</v>
      </c>
      <c r="G348">
        <v>2</v>
      </c>
      <c r="H348">
        <v>333</v>
      </c>
      <c r="I348">
        <v>0</v>
      </c>
      <c r="J348">
        <v>666</v>
      </c>
      <c r="K348">
        <v>166.5</v>
      </c>
      <c r="L348" t="s">
        <v>19</v>
      </c>
      <c r="M348" t="s">
        <v>20</v>
      </c>
    </row>
    <row r="349" spans="1:13" x14ac:dyDescent="0.35">
      <c r="A349" t="s">
        <v>515</v>
      </c>
      <c r="B349" t="s">
        <v>189</v>
      </c>
      <c r="C349" s="1">
        <v>45295</v>
      </c>
      <c r="D349" t="s">
        <v>16</v>
      </c>
      <c r="E349" t="s">
        <v>24</v>
      </c>
      <c r="F349" t="s">
        <v>49</v>
      </c>
      <c r="G349">
        <v>2</v>
      </c>
      <c r="H349">
        <v>284</v>
      </c>
      <c r="I349">
        <v>0</v>
      </c>
      <c r="J349">
        <v>568</v>
      </c>
      <c r="K349">
        <v>142</v>
      </c>
      <c r="L349" t="s">
        <v>26</v>
      </c>
      <c r="M349" t="s">
        <v>27</v>
      </c>
    </row>
    <row r="350" spans="1:13" x14ac:dyDescent="0.35">
      <c r="A350" t="s">
        <v>516</v>
      </c>
      <c r="B350" t="s">
        <v>29</v>
      </c>
      <c r="C350" s="1">
        <v>45891</v>
      </c>
      <c r="D350" t="s">
        <v>23</v>
      </c>
      <c r="E350" t="s">
        <v>24</v>
      </c>
      <c r="F350" t="s">
        <v>30</v>
      </c>
      <c r="G350">
        <v>3</v>
      </c>
      <c r="H350">
        <v>334</v>
      </c>
      <c r="I350">
        <v>0</v>
      </c>
      <c r="J350">
        <v>1002</v>
      </c>
      <c r="K350">
        <v>300.60000000000002</v>
      </c>
      <c r="L350" t="s">
        <v>39</v>
      </c>
      <c r="M350" t="s">
        <v>20</v>
      </c>
    </row>
    <row r="351" spans="1:13" x14ac:dyDescent="0.35">
      <c r="A351" t="s">
        <v>517</v>
      </c>
      <c r="B351" t="s">
        <v>360</v>
      </c>
      <c r="C351" s="1">
        <v>45761</v>
      </c>
      <c r="D351" t="s">
        <v>63</v>
      </c>
      <c r="E351" t="s">
        <v>33</v>
      </c>
      <c r="F351" t="s">
        <v>66</v>
      </c>
      <c r="G351">
        <v>2</v>
      </c>
      <c r="H351">
        <v>149</v>
      </c>
      <c r="I351">
        <v>0.05</v>
      </c>
      <c r="J351">
        <v>283.10000000000002</v>
      </c>
      <c r="K351">
        <v>56.62</v>
      </c>
      <c r="L351" t="s">
        <v>39</v>
      </c>
      <c r="M351" t="s">
        <v>27</v>
      </c>
    </row>
  </sheetData>
  <mergeCells count="8">
    <mergeCell ref="T147:V149"/>
    <mergeCell ref="V1:X1"/>
    <mergeCell ref="V2:X4"/>
    <mergeCell ref="S5:T5"/>
    <mergeCell ref="V6:X6"/>
    <mergeCell ref="V7:X9"/>
    <mergeCell ref="O146:R146"/>
    <mergeCell ref="T146:V1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F510-10B1-4BA7-8767-60EFCE33C8DC}">
  <dimension ref="A1:T70"/>
  <sheetViews>
    <sheetView topLeftCell="E3" workbookViewId="0">
      <selection activeCell="R6" sqref="R6"/>
    </sheetView>
  </sheetViews>
  <sheetFormatPr defaultRowHeight="14.5" x14ac:dyDescent="0.35"/>
  <cols>
    <col min="1" max="1" width="22.7265625" bestFit="1" customWidth="1"/>
    <col min="2" max="2" width="15.26953125" bestFit="1" customWidth="1"/>
    <col min="3" max="3" width="7.81640625" bestFit="1" customWidth="1"/>
    <col min="4" max="4" width="6" bestFit="1" customWidth="1"/>
    <col min="5" max="5" width="5.1796875" bestFit="1" customWidth="1"/>
    <col min="6" max="6" width="8.90625" bestFit="1" customWidth="1"/>
    <col min="7" max="7" width="10.6328125" bestFit="1" customWidth="1"/>
    <col min="8" max="8" width="11" bestFit="1" customWidth="1"/>
    <col min="9" max="9" width="7.81640625" bestFit="1" customWidth="1"/>
    <col min="10" max="11" width="8.81640625" bestFit="1" customWidth="1"/>
    <col min="12" max="12" width="8.90625" bestFit="1" customWidth="1"/>
    <col min="13" max="13" width="13.81640625" bestFit="1" customWidth="1"/>
    <col min="14" max="14" width="10.6328125" bestFit="1" customWidth="1"/>
  </cols>
  <sheetData>
    <row r="1" spans="1:20" x14ac:dyDescent="0.35">
      <c r="A1" s="2" t="s">
        <v>533</v>
      </c>
      <c r="B1" s="2" t="s">
        <v>538</v>
      </c>
    </row>
    <row r="2" spans="1:20" x14ac:dyDescent="0.35">
      <c r="A2" s="2" t="s">
        <v>534</v>
      </c>
      <c r="B2" t="s">
        <v>16</v>
      </c>
      <c r="C2" t="s">
        <v>23</v>
      </c>
      <c r="D2" t="s">
        <v>37</v>
      </c>
      <c r="E2" t="s">
        <v>42</v>
      </c>
      <c r="F2" t="s">
        <v>63</v>
      </c>
      <c r="G2" t="s">
        <v>535</v>
      </c>
      <c r="R2" s="15" t="s">
        <v>553</v>
      </c>
      <c r="S2" s="15"/>
      <c r="T2" s="15"/>
    </row>
    <row r="3" spans="1:20" x14ac:dyDescent="0.35">
      <c r="A3" s="3" t="s">
        <v>536</v>
      </c>
      <c r="B3" s="26">
        <v>6</v>
      </c>
      <c r="C3" s="26">
        <v>13</v>
      </c>
      <c r="D3" s="26">
        <v>16</v>
      </c>
      <c r="E3" s="26">
        <v>10</v>
      </c>
      <c r="F3" s="26">
        <v>7</v>
      </c>
      <c r="G3" s="26">
        <v>52</v>
      </c>
      <c r="R3" s="16" t="s">
        <v>566</v>
      </c>
      <c r="S3" s="16"/>
      <c r="T3" s="16"/>
    </row>
    <row r="4" spans="1:20" x14ac:dyDescent="0.35">
      <c r="A4" s="3" t="s">
        <v>537</v>
      </c>
      <c r="B4" s="26">
        <v>52</v>
      </c>
      <c r="C4" s="26">
        <v>60</v>
      </c>
      <c r="D4" s="26">
        <v>58</v>
      </c>
      <c r="E4" s="26">
        <v>63</v>
      </c>
      <c r="F4" s="26">
        <v>65</v>
      </c>
      <c r="G4" s="26">
        <v>298</v>
      </c>
      <c r="R4" s="16"/>
      <c r="S4" s="16"/>
      <c r="T4" s="16"/>
    </row>
    <row r="5" spans="1:20" x14ac:dyDescent="0.35">
      <c r="A5" s="3" t="s">
        <v>535</v>
      </c>
      <c r="B5" s="26">
        <v>58</v>
      </c>
      <c r="C5" s="26">
        <v>73</v>
      </c>
      <c r="D5" s="26">
        <v>74</v>
      </c>
      <c r="E5" s="26">
        <v>73</v>
      </c>
      <c r="F5" s="26">
        <v>72</v>
      </c>
      <c r="G5" s="26">
        <v>350</v>
      </c>
      <c r="R5" s="16"/>
      <c r="S5" s="16"/>
      <c r="T5" s="16"/>
    </row>
    <row r="19" spans="1:2" x14ac:dyDescent="0.35">
      <c r="A19" s="2" t="s">
        <v>534</v>
      </c>
      <c r="B19" t="s">
        <v>539</v>
      </c>
    </row>
    <row r="20" spans="1:2" x14ac:dyDescent="0.35">
      <c r="A20" s="3" t="s">
        <v>16</v>
      </c>
      <c r="B20">
        <v>32322.55</v>
      </c>
    </row>
    <row r="21" spans="1:2" x14ac:dyDescent="0.35">
      <c r="A21" s="3" t="s">
        <v>23</v>
      </c>
      <c r="B21">
        <v>47074.249999999985</v>
      </c>
    </row>
    <row r="22" spans="1:2" x14ac:dyDescent="0.35">
      <c r="A22" s="3" t="s">
        <v>37</v>
      </c>
      <c r="B22">
        <v>41665.149999999994</v>
      </c>
    </row>
    <row r="23" spans="1:2" x14ac:dyDescent="0.35">
      <c r="A23" s="3" t="s">
        <v>42</v>
      </c>
      <c r="B23">
        <v>41277.1</v>
      </c>
    </row>
    <row r="24" spans="1:2" x14ac:dyDescent="0.35">
      <c r="A24" s="3" t="s">
        <v>63</v>
      </c>
      <c r="B24">
        <v>45263.099999999991</v>
      </c>
    </row>
    <row r="25" spans="1:2" x14ac:dyDescent="0.35">
      <c r="A25" s="3" t="s">
        <v>535</v>
      </c>
      <c r="B25">
        <v>207602.14999999997</v>
      </c>
    </row>
    <row r="34" spans="1:5" x14ac:dyDescent="0.35">
      <c r="A34" s="2" t="s">
        <v>544</v>
      </c>
      <c r="B34" s="2" t="s">
        <v>538</v>
      </c>
    </row>
    <row r="35" spans="1:5" x14ac:dyDescent="0.35">
      <c r="A35" s="2" t="s">
        <v>534</v>
      </c>
      <c r="B35" t="s">
        <v>33</v>
      </c>
      <c r="C35" t="s">
        <v>17</v>
      </c>
      <c r="D35" t="s">
        <v>24</v>
      </c>
      <c r="E35" t="s">
        <v>535</v>
      </c>
    </row>
    <row r="36" spans="1:5" x14ac:dyDescent="0.35">
      <c r="A36" s="3" t="s">
        <v>16</v>
      </c>
      <c r="B36" s="26">
        <v>12</v>
      </c>
      <c r="C36" s="26">
        <v>21</v>
      </c>
      <c r="D36" s="26">
        <v>25</v>
      </c>
      <c r="E36" s="26">
        <v>58</v>
      </c>
    </row>
    <row r="37" spans="1:5" x14ac:dyDescent="0.35">
      <c r="A37" s="3" t="s">
        <v>23</v>
      </c>
      <c r="B37" s="26">
        <v>30</v>
      </c>
      <c r="C37" s="26">
        <v>21</v>
      </c>
      <c r="D37" s="26">
        <v>22</v>
      </c>
      <c r="E37" s="26">
        <v>73</v>
      </c>
    </row>
    <row r="38" spans="1:5" x14ac:dyDescent="0.35">
      <c r="A38" s="3" t="s">
        <v>37</v>
      </c>
      <c r="B38" s="26">
        <v>25</v>
      </c>
      <c r="C38" s="26">
        <v>19</v>
      </c>
      <c r="D38" s="26">
        <v>30</v>
      </c>
      <c r="E38" s="26">
        <v>74</v>
      </c>
    </row>
    <row r="39" spans="1:5" x14ac:dyDescent="0.35">
      <c r="A39" s="3" t="s">
        <v>42</v>
      </c>
      <c r="B39" s="26">
        <v>24</v>
      </c>
      <c r="C39" s="26">
        <v>30</v>
      </c>
      <c r="D39" s="26">
        <v>19</v>
      </c>
      <c r="E39" s="26">
        <v>73</v>
      </c>
    </row>
    <row r="40" spans="1:5" x14ac:dyDescent="0.35">
      <c r="A40" s="3" t="s">
        <v>63</v>
      </c>
      <c r="B40" s="26">
        <v>33</v>
      </c>
      <c r="C40" s="26">
        <v>19</v>
      </c>
      <c r="D40" s="26">
        <v>20</v>
      </c>
      <c r="E40" s="26">
        <v>72</v>
      </c>
    </row>
    <row r="41" spans="1:5" x14ac:dyDescent="0.35">
      <c r="A41" s="3" t="s">
        <v>535</v>
      </c>
      <c r="B41" s="26">
        <v>124</v>
      </c>
      <c r="C41" s="26">
        <v>110</v>
      </c>
      <c r="D41" s="26">
        <v>116</v>
      </c>
      <c r="E41" s="26">
        <v>350</v>
      </c>
    </row>
    <row r="50" spans="1:2" x14ac:dyDescent="0.35">
      <c r="A50" s="2" t="s">
        <v>534</v>
      </c>
      <c r="B50" t="s">
        <v>539</v>
      </c>
    </row>
    <row r="51" spans="1:2" x14ac:dyDescent="0.35">
      <c r="A51" s="3" t="s">
        <v>540</v>
      </c>
      <c r="B51">
        <v>79365.900000000038</v>
      </c>
    </row>
    <row r="52" spans="1:2" x14ac:dyDescent="0.35">
      <c r="A52" s="3" t="s">
        <v>541</v>
      </c>
      <c r="B52">
        <v>64252.649999999994</v>
      </c>
    </row>
    <row r="53" spans="1:2" x14ac:dyDescent="0.35">
      <c r="A53" s="3" t="s">
        <v>542</v>
      </c>
      <c r="B53">
        <v>63983.6</v>
      </c>
    </row>
    <row r="54" spans="1:2" x14ac:dyDescent="0.35">
      <c r="A54" s="3" t="s">
        <v>535</v>
      </c>
      <c r="B54">
        <v>207602.15000000005</v>
      </c>
    </row>
    <row r="66" spans="1:2" x14ac:dyDescent="0.35">
      <c r="A66" s="2" t="s">
        <v>534</v>
      </c>
      <c r="B66" t="s">
        <v>549</v>
      </c>
    </row>
    <row r="67" spans="1:2" x14ac:dyDescent="0.35">
      <c r="A67" s="3" t="s">
        <v>33</v>
      </c>
      <c r="B67">
        <v>19294.03</v>
      </c>
    </row>
    <row r="68" spans="1:2" x14ac:dyDescent="0.35">
      <c r="A68" s="3" t="s">
        <v>17</v>
      </c>
      <c r="B68">
        <v>15382.069999999996</v>
      </c>
    </row>
    <row r="69" spans="1:2" x14ac:dyDescent="0.35">
      <c r="A69" s="3" t="s">
        <v>24</v>
      </c>
      <c r="B69">
        <v>16923.289999999997</v>
      </c>
    </row>
    <row r="70" spans="1:2" x14ac:dyDescent="0.35">
      <c r="A70" s="3" t="s">
        <v>535</v>
      </c>
      <c r="B70">
        <v>51599.389999999985</v>
      </c>
    </row>
  </sheetData>
  <mergeCells count="2">
    <mergeCell ref="R2:T2"/>
    <mergeCell ref="R3:T5"/>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56BC-6723-4B05-8BB4-A47830D1EC0E}">
  <dimension ref="A1:T55"/>
  <sheetViews>
    <sheetView showGridLines="0" tabSelected="1" workbookViewId="0">
      <selection activeCell="O6" sqref="O6"/>
    </sheetView>
  </sheetViews>
  <sheetFormatPr defaultRowHeight="14.5" x14ac:dyDescent="0.35"/>
  <cols>
    <col min="7" max="7" width="6.81640625" customWidth="1"/>
    <col min="12" max="12" width="11.453125" customWidth="1"/>
  </cols>
  <sheetData>
    <row r="1" spans="1:20" ht="15.5" customHeight="1" x14ac:dyDescent="1.5">
      <c r="A1" s="11" t="s">
        <v>545</v>
      </c>
      <c r="B1" s="11"/>
      <c r="C1" s="11"/>
      <c r="D1" s="4"/>
      <c r="E1" s="12" t="s">
        <v>546</v>
      </c>
      <c r="F1" s="12"/>
      <c r="G1" s="6"/>
      <c r="H1" s="13" t="s">
        <v>543</v>
      </c>
      <c r="I1" s="13"/>
      <c r="J1" s="13"/>
      <c r="K1" s="13"/>
      <c r="L1" s="13"/>
      <c r="M1" s="6"/>
      <c r="N1" s="7" t="s">
        <v>550</v>
      </c>
      <c r="O1" s="8"/>
      <c r="P1" s="8"/>
      <c r="Q1" s="8"/>
      <c r="R1" s="8"/>
      <c r="S1" s="4"/>
      <c r="T1" s="4"/>
    </row>
    <row r="2" spans="1:20" ht="15.5" customHeight="1" x14ac:dyDescent="1.5">
      <c r="A2" s="11"/>
      <c r="B2" s="11"/>
      <c r="C2" s="11"/>
      <c r="D2" s="4"/>
      <c r="E2" s="12"/>
      <c r="F2" s="12"/>
      <c r="G2" s="6"/>
      <c r="H2" s="13"/>
      <c r="I2" s="13"/>
      <c r="J2" s="13"/>
      <c r="K2" s="13"/>
      <c r="L2" s="13"/>
      <c r="M2" s="6"/>
      <c r="N2" s="9" t="s">
        <v>33</v>
      </c>
      <c r="O2" s="10"/>
      <c r="P2" s="10">
        <f>GETPIVOTDATA("Profit",Pivot!$A$66,"Item_Category","Beverages")</f>
        <v>19294.03</v>
      </c>
      <c r="Q2" s="10"/>
      <c r="R2" s="10"/>
      <c r="S2" s="4"/>
      <c r="T2" s="4"/>
    </row>
    <row r="3" spans="1:20" ht="14.5" customHeight="1" x14ac:dyDescent="1.5">
      <c r="A3" s="11">
        <f>Cafe_Sales_Data!R2</f>
        <v>593.14900000000011</v>
      </c>
      <c r="B3" s="11"/>
      <c r="C3" s="11"/>
      <c r="D3" s="4"/>
      <c r="E3" s="12">
        <f>Cafe_Sales_Data!R9</f>
        <v>85.142857142857139</v>
      </c>
      <c r="F3" s="12"/>
      <c r="G3" s="6"/>
      <c r="H3" s="13"/>
      <c r="I3" s="13"/>
      <c r="J3" s="13"/>
      <c r="K3" s="13"/>
      <c r="L3" s="13"/>
      <c r="M3" s="6"/>
      <c r="N3" s="9" t="s">
        <v>17</v>
      </c>
      <c r="O3" s="10"/>
      <c r="P3" s="10">
        <f>GETPIVOTDATA("Profit",Pivot!$A$66,"Item_Category","Desserts")</f>
        <v>15382.069999999996</v>
      </c>
      <c r="Q3" s="10"/>
      <c r="R3" s="10"/>
      <c r="S3" s="4"/>
      <c r="T3" s="4"/>
    </row>
    <row r="4" spans="1:20" ht="14.5" customHeight="1" x14ac:dyDescent="1.5">
      <c r="A4" s="11"/>
      <c r="B4" s="11"/>
      <c r="C4" s="11"/>
      <c r="D4" s="4"/>
      <c r="E4" s="12"/>
      <c r="F4" s="12"/>
      <c r="G4" s="6"/>
      <c r="H4" s="13"/>
      <c r="I4" s="13"/>
      <c r="J4" s="13"/>
      <c r="K4" s="13"/>
      <c r="L4" s="13"/>
      <c r="M4" s="6"/>
      <c r="N4" s="9" t="s">
        <v>24</v>
      </c>
      <c r="O4" s="10"/>
      <c r="P4" s="10">
        <f>GETPIVOTDATA("Profit",Pivot!$A$66,"Item_Category","Snacks")</f>
        <v>16923.289999999997</v>
      </c>
      <c r="Q4" s="10"/>
      <c r="R4" s="10"/>
      <c r="S4" s="4"/>
      <c r="T4" s="4"/>
    </row>
    <row r="5" spans="1:20" x14ac:dyDescent="0.35">
      <c r="A5" s="4"/>
      <c r="B5" s="4"/>
      <c r="C5" s="4"/>
      <c r="D5" s="4"/>
      <c r="E5" s="4"/>
      <c r="F5" s="4"/>
      <c r="G5" s="4"/>
      <c r="H5" s="13"/>
      <c r="I5" s="13"/>
      <c r="J5" s="13"/>
      <c r="K5" s="13"/>
      <c r="L5" s="13"/>
      <c r="M5" s="4"/>
      <c r="N5" s="4"/>
      <c r="O5" s="4"/>
      <c r="P5" s="4"/>
      <c r="Q5" s="4"/>
      <c r="R5" s="4"/>
      <c r="S5" s="4"/>
      <c r="T5" s="4"/>
    </row>
    <row r="6" spans="1:20" x14ac:dyDescent="0.35">
      <c r="A6" s="4"/>
      <c r="B6" s="4"/>
      <c r="C6" s="4"/>
      <c r="D6" s="4"/>
      <c r="E6" s="4"/>
      <c r="F6" s="4"/>
      <c r="G6" s="4"/>
      <c r="H6" s="4"/>
      <c r="I6" s="4"/>
      <c r="J6" s="4"/>
      <c r="K6" s="4"/>
      <c r="L6" s="4"/>
      <c r="M6" s="4"/>
      <c r="N6" s="4"/>
      <c r="O6" s="4"/>
      <c r="P6" s="4"/>
      <c r="Q6" s="4"/>
      <c r="R6" s="4"/>
      <c r="S6" s="4"/>
      <c r="T6" s="4"/>
    </row>
    <row r="7" spans="1:20" x14ac:dyDescent="0.35">
      <c r="A7" s="4"/>
      <c r="B7" s="4"/>
      <c r="C7" s="4"/>
      <c r="D7" s="4"/>
      <c r="E7" s="4"/>
      <c r="F7" s="4"/>
      <c r="G7" s="4"/>
      <c r="H7" s="4"/>
      <c r="I7" s="4"/>
      <c r="J7" s="4"/>
      <c r="K7" s="4"/>
      <c r="L7" s="4"/>
      <c r="M7" s="4"/>
      <c r="N7" s="4"/>
      <c r="O7" s="4"/>
      <c r="P7" s="4"/>
      <c r="Q7" s="4"/>
      <c r="R7" s="4"/>
      <c r="S7" s="4"/>
      <c r="T7" s="4"/>
    </row>
    <row r="8" spans="1:20" x14ac:dyDescent="0.35">
      <c r="A8" s="4"/>
      <c r="B8" s="4"/>
      <c r="C8" s="4"/>
      <c r="D8" s="4"/>
      <c r="E8" s="4"/>
      <c r="F8" s="4"/>
      <c r="G8" s="4"/>
      <c r="H8" s="4"/>
      <c r="I8" s="4"/>
      <c r="J8" s="4"/>
      <c r="K8" s="4"/>
      <c r="L8" s="4"/>
      <c r="M8" s="4"/>
      <c r="N8" s="4"/>
      <c r="O8" s="4"/>
      <c r="P8" s="4"/>
      <c r="Q8" s="4"/>
      <c r="R8" s="4"/>
      <c r="S8" s="4"/>
      <c r="T8" s="4"/>
    </row>
    <row r="9" spans="1:20" x14ac:dyDescent="0.35">
      <c r="A9" s="4"/>
      <c r="B9" s="4"/>
      <c r="C9" s="4"/>
      <c r="D9" s="4"/>
      <c r="E9" s="4"/>
      <c r="F9" s="4"/>
      <c r="G9" s="4"/>
      <c r="H9" s="4"/>
      <c r="I9" s="4"/>
      <c r="J9" s="4"/>
      <c r="K9" s="4"/>
      <c r="L9" s="4"/>
      <c r="M9" s="4"/>
      <c r="N9" s="4"/>
      <c r="O9" s="4"/>
      <c r="P9" s="4"/>
      <c r="Q9" s="4"/>
      <c r="R9" s="4"/>
      <c r="S9" s="4"/>
      <c r="T9" s="4"/>
    </row>
    <row r="10" spans="1:20" x14ac:dyDescent="0.35">
      <c r="A10" s="4"/>
      <c r="B10" s="4"/>
      <c r="C10" s="4"/>
      <c r="D10" s="4"/>
      <c r="E10" s="4"/>
      <c r="F10" s="4"/>
      <c r="G10" s="4"/>
      <c r="H10" s="4"/>
      <c r="I10" s="4"/>
      <c r="J10" s="4"/>
      <c r="K10" s="4"/>
      <c r="L10" s="4"/>
      <c r="M10" s="4"/>
      <c r="N10" s="4"/>
      <c r="O10" s="4"/>
      <c r="P10" s="4"/>
      <c r="Q10" s="4"/>
      <c r="R10" s="4"/>
      <c r="S10" s="4"/>
      <c r="T10" s="4"/>
    </row>
    <row r="11" spans="1:20" x14ac:dyDescent="0.35">
      <c r="A11" s="4"/>
      <c r="B11" s="4"/>
      <c r="C11" s="4"/>
      <c r="D11" s="4"/>
      <c r="E11" s="4"/>
      <c r="F11" s="4"/>
      <c r="G11" s="4"/>
      <c r="H11" s="4"/>
      <c r="I11" s="4"/>
      <c r="J11" s="4"/>
      <c r="K11" s="4"/>
      <c r="L11" s="4"/>
      <c r="M11" s="4"/>
      <c r="N11" s="4"/>
      <c r="O11" s="4"/>
      <c r="P11" s="4"/>
      <c r="Q11" s="4"/>
      <c r="R11" s="4"/>
      <c r="S11" s="4"/>
      <c r="T11" s="4"/>
    </row>
    <row r="12" spans="1:20" x14ac:dyDescent="0.35">
      <c r="A12" s="4"/>
      <c r="B12" s="4"/>
      <c r="C12" s="4"/>
      <c r="D12" s="4"/>
      <c r="E12" s="4"/>
      <c r="F12" s="4"/>
      <c r="G12" s="4"/>
      <c r="H12" s="4"/>
      <c r="I12" s="4"/>
      <c r="J12" s="4"/>
      <c r="K12" s="4"/>
      <c r="L12" s="4"/>
      <c r="M12" s="4"/>
      <c r="N12" s="4"/>
      <c r="O12" s="4"/>
      <c r="P12" s="4"/>
      <c r="Q12" s="4"/>
      <c r="R12" s="4"/>
      <c r="S12" s="4"/>
      <c r="T12" s="4"/>
    </row>
    <row r="13" spans="1:20" x14ac:dyDescent="0.35">
      <c r="A13" s="4"/>
      <c r="B13" s="4"/>
      <c r="C13" s="4"/>
      <c r="D13" s="4"/>
      <c r="E13" s="4"/>
      <c r="F13" s="4"/>
      <c r="G13" s="4"/>
      <c r="H13" s="4"/>
      <c r="I13" s="4"/>
      <c r="J13" s="4"/>
      <c r="K13" s="4"/>
      <c r="L13" s="4"/>
      <c r="M13" s="4"/>
      <c r="N13" s="4"/>
      <c r="O13" s="4"/>
      <c r="P13" s="4"/>
      <c r="Q13" s="4"/>
      <c r="R13" s="4"/>
      <c r="S13" s="4"/>
      <c r="T13" s="4"/>
    </row>
    <row r="14" spans="1:20" x14ac:dyDescent="0.35">
      <c r="A14" s="4"/>
      <c r="B14" s="4"/>
      <c r="C14" s="4"/>
      <c r="D14" s="4"/>
      <c r="E14" s="4"/>
      <c r="F14" s="4"/>
      <c r="G14" s="4"/>
      <c r="H14" s="4"/>
      <c r="I14" s="4"/>
      <c r="J14" s="4"/>
      <c r="K14" s="4"/>
      <c r="L14" s="4"/>
      <c r="M14" s="4"/>
      <c r="N14" s="4"/>
      <c r="O14" s="4"/>
      <c r="P14" s="4"/>
      <c r="Q14" s="4"/>
      <c r="R14" s="4"/>
      <c r="S14" s="4"/>
      <c r="T14" s="4"/>
    </row>
    <row r="15" spans="1:20" x14ac:dyDescent="0.35">
      <c r="A15" s="4"/>
      <c r="B15" s="4"/>
      <c r="C15" s="4"/>
      <c r="D15" s="4"/>
      <c r="E15" s="4"/>
      <c r="F15" s="4"/>
      <c r="G15" s="4"/>
      <c r="H15" s="4"/>
      <c r="I15" s="4"/>
      <c r="J15" s="4"/>
      <c r="K15" s="4"/>
      <c r="L15" s="4"/>
      <c r="M15" s="4"/>
      <c r="N15" s="4"/>
      <c r="O15" s="4"/>
      <c r="P15" s="4"/>
      <c r="Q15" s="4"/>
      <c r="R15" s="4"/>
      <c r="S15" s="4"/>
      <c r="T15" s="4"/>
    </row>
    <row r="16" spans="1:20" x14ac:dyDescent="0.35">
      <c r="A16" s="4"/>
      <c r="B16" s="4"/>
      <c r="C16" s="4"/>
      <c r="D16" s="4"/>
      <c r="E16" s="4"/>
      <c r="F16" s="4"/>
      <c r="G16" s="4"/>
      <c r="H16" s="4"/>
      <c r="I16" s="4"/>
      <c r="J16" s="4"/>
      <c r="K16" s="4"/>
      <c r="L16" s="4"/>
      <c r="M16" s="4"/>
      <c r="N16" s="4"/>
      <c r="O16" s="4"/>
      <c r="P16" s="4"/>
      <c r="Q16" s="4"/>
      <c r="R16" s="4"/>
      <c r="S16" s="4"/>
      <c r="T16" s="4"/>
    </row>
    <row r="17" spans="1:20" x14ac:dyDescent="0.35">
      <c r="A17" s="4"/>
      <c r="B17" s="4"/>
      <c r="C17" s="4"/>
      <c r="D17" s="4"/>
      <c r="E17" s="4"/>
      <c r="F17" s="4"/>
      <c r="G17" s="4"/>
      <c r="H17" s="4"/>
      <c r="I17" s="4"/>
      <c r="J17" s="4"/>
      <c r="K17" s="4"/>
      <c r="L17" s="4"/>
      <c r="M17" s="4"/>
      <c r="N17" s="4"/>
      <c r="O17" s="4"/>
      <c r="P17" s="4"/>
      <c r="Q17" s="4"/>
      <c r="R17" s="4"/>
      <c r="S17" s="4"/>
      <c r="T17" s="4"/>
    </row>
    <row r="18" spans="1:20" x14ac:dyDescent="0.35">
      <c r="A18" s="4"/>
      <c r="B18" s="4"/>
      <c r="C18" s="4"/>
      <c r="D18" s="4"/>
      <c r="E18" s="4"/>
      <c r="F18" s="4"/>
      <c r="G18" s="4"/>
      <c r="H18" s="4"/>
      <c r="I18" s="4"/>
      <c r="J18" s="4"/>
      <c r="K18" s="4"/>
      <c r="L18" s="4"/>
      <c r="M18" s="4"/>
      <c r="N18" s="4"/>
      <c r="O18" s="4"/>
      <c r="P18" s="4"/>
      <c r="Q18" s="4"/>
      <c r="R18" s="4"/>
      <c r="S18" s="4"/>
      <c r="T18" s="4"/>
    </row>
    <row r="19" spans="1:20" x14ac:dyDescent="0.35">
      <c r="A19" s="4"/>
      <c r="B19" s="4"/>
      <c r="C19" s="4"/>
      <c r="D19" s="4"/>
      <c r="E19" s="4"/>
      <c r="F19" s="4"/>
      <c r="G19" s="4"/>
      <c r="H19" s="4"/>
      <c r="I19" s="4"/>
      <c r="J19" s="4"/>
      <c r="K19" s="4"/>
      <c r="L19" s="4"/>
      <c r="M19" s="4"/>
      <c r="N19" s="4"/>
      <c r="O19" s="4"/>
      <c r="P19" s="4"/>
      <c r="Q19" s="4"/>
      <c r="R19" s="4"/>
      <c r="S19" s="4"/>
      <c r="T19" s="4"/>
    </row>
    <row r="20" spans="1:20" x14ac:dyDescent="0.35">
      <c r="A20" s="4"/>
      <c r="B20" s="4"/>
      <c r="C20" s="4"/>
      <c r="D20" s="4"/>
      <c r="E20" s="4"/>
      <c r="F20" s="4"/>
      <c r="G20" s="4"/>
      <c r="H20" s="4"/>
      <c r="I20" s="4"/>
      <c r="J20" s="4"/>
      <c r="K20" s="4"/>
      <c r="L20" s="4"/>
      <c r="M20" s="4"/>
      <c r="N20" s="4"/>
      <c r="O20" s="4"/>
      <c r="P20" s="4"/>
      <c r="Q20" s="4"/>
      <c r="R20" s="4"/>
      <c r="S20" s="4"/>
      <c r="T20" s="4"/>
    </row>
    <row r="21" spans="1:20" x14ac:dyDescent="0.35">
      <c r="A21" s="4"/>
      <c r="B21" s="4"/>
      <c r="C21" s="4"/>
      <c r="D21" s="4"/>
      <c r="E21" s="4"/>
      <c r="F21" s="4"/>
      <c r="G21" s="4"/>
      <c r="H21" s="4"/>
      <c r="I21" s="4"/>
      <c r="J21" s="4"/>
      <c r="K21" s="4"/>
      <c r="L21" s="4"/>
      <c r="M21" s="4"/>
      <c r="N21" s="4"/>
      <c r="O21" s="4"/>
      <c r="P21" s="4"/>
      <c r="Q21" s="4"/>
      <c r="R21" s="4"/>
      <c r="S21" s="4"/>
      <c r="T21" s="4"/>
    </row>
    <row r="22" spans="1:20" x14ac:dyDescent="0.35">
      <c r="A22" s="4"/>
      <c r="B22" s="4"/>
      <c r="C22" s="4"/>
      <c r="D22" s="4"/>
      <c r="E22" s="4"/>
      <c r="F22" s="4"/>
      <c r="G22" s="4"/>
      <c r="H22" s="4"/>
      <c r="I22" s="4"/>
      <c r="J22" s="4"/>
      <c r="K22" s="4"/>
      <c r="L22" s="4"/>
      <c r="M22" s="4"/>
      <c r="N22" s="4"/>
      <c r="O22" s="4"/>
      <c r="P22" s="4"/>
      <c r="Q22" s="4"/>
      <c r="R22" s="4"/>
      <c r="S22" s="4"/>
      <c r="T22" s="4"/>
    </row>
    <row r="23" spans="1:20" x14ac:dyDescent="0.35">
      <c r="A23" s="4"/>
      <c r="B23" s="4"/>
      <c r="C23" s="4"/>
      <c r="D23" s="4"/>
      <c r="E23" s="4"/>
      <c r="F23" s="4"/>
      <c r="G23" s="4"/>
      <c r="H23" s="4"/>
      <c r="I23" s="4"/>
      <c r="J23" s="4"/>
      <c r="K23" s="4"/>
      <c r="L23" s="4"/>
      <c r="M23" s="4"/>
      <c r="N23" s="4"/>
      <c r="O23" s="4"/>
      <c r="P23" s="4"/>
      <c r="Q23" s="4"/>
      <c r="R23" s="4"/>
      <c r="S23" s="4"/>
      <c r="T23" s="4"/>
    </row>
    <row r="24" spans="1:20" x14ac:dyDescent="0.35">
      <c r="A24" s="4"/>
      <c r="B24" s="4"/>
      <c r="C24" s="4"/>
      <c r="D24" s="4"/>
      <c r="E24" s="4"/>
      <c r="F24" s="4"/>
      <c r="G24" s="4"/>
      <c r="H24" s="4"/>
      <c r="I24" s="4"/>
      <c r="J24" s="4"/>
      <c r="K24" s="4"/>
      <c r="L24" s="4"/>
      <c r="M24" s="4"/>
      <c r="N24" s="4"/>
      <c r="O24" s="4"/>
      <c r="P24" s="4"/>
      <c r="Q24" s="4"/>
      <c r="R24" s="4"/>
      <c r="S24" s="4"/>
      <c r="T24" s="4"/>
    </row>
    <row r="25" spans="1:20" x14ac:dyDescent="0.35">
      <c r="A25" s="4"/>
      <c r="B25" s="4"/>
      <c r="C25" s="4"/>
      <c r="D25" s="4"/>
      <c r="E25" s="4"/>
      <c r="F25" s="4"/>
      <c r="G25" s="4"/>
      <c r="H25" s="4"/>
      <c r="I25" s="4"/>
      <c r="J25" s="4"/>
      <c r="K25" s="4"/>
      <c r="L25" s="4"/>
      <c r="M25" s="4"/>
      <c r="N25" s="4"/>
      <c r="O25" s="4"/>
      <c r="P25" s="4"/>
      <c r="Q25" s="4"/>
      <c r="R25" s="4"/>
      <c r="S25" s="4"/>
      <c r="T25" s="4"/>
    </row>
    <row r="26" spans="1:20" x14ac:dyDescent="0.35">
      <c r="A26" s="4"/>
      <c r="B26" s="4"/>
      <c r="C26" s="4"/>
      <c r="D26" s="4"/>
      <c r="E26" s="4"/>
      <c r="F26" s="4"/>
      <c r="G26" s="4"/>
      <c r="H26" s="4"/>
      <c r="I26" s="4"/>
      <c r="J26" s="4"/>
      <c r="K26" s="4"/>
      <c r="L26" s="4"/>
      <c r="M26" s="4"/>
      <c r="N26" s="4"/>
      <c r="O26" s="4"/>
      <c r="P26" s="4"/>
      <c r="Q26" s="4"/>
      <c r="R26" s="4"/>
      <c r="S26" s="4"/>
      <c r="T26" s="4"/>
    </row>
    <row r="27" spans="1:20" x14ac:dyDescent="0.35">
      <c r="A27" s="4"/>
      <c r="B27" s="4"/>
      <c r="C27" s="4"/>
      <c r="D27" s="4"/>
      <c r="E27" s="4"/>
      <c r="F27" s="4"/>
      <c r="G27" s="4"/>
      <c r="H27" s="4"/>
      <c r="I27" s="4"/>
      <c r="J27" s="4"/>
      <c r="K27" s="4"/>
      <c r="L27" s="4"/>
      <c r="M27" s="4"/>
      <c r="N27" s="4"/>
      <c r="O27" s="4"/>
      <c r="P27" s="4"/>
      <c r="Q27" s="4"/>
      <c r="R27" s="4"/>
      <c r="S27" s="4"/>
      <c r="T27" s="4"/>
    </row>
    <row r="28" spans="1:20" x14ac:dyDescent="0.35">
      <c r="A28" s="4"/>
      <c r="B28" s="4"/>
      <c r="C28" s="4"/>
      <c r="D28" s="4"/>
      <c r="E28" s="4"/>
      <c r="F28" s="4"/>
      <c r="G28" s="4"/>
      <c r="H28" s="4"/>
      <c r="I28" s="4"/>
      <c r="J28" s="4"/>
      <c r="K28" s="4"/>
      <c r="L28" s="4"/>
      <c r="M28" s="4"/>
      <c r="N28" s="4"/>
      <c r="O28" s="4"/>
      <c r="P28" s="4"/>
      <c r="Q28" s="4"/>
      <c r="R28" s="4"/>
      <c r="S28" s="4"/>
      <c r="T28" s="4"/>
    </row>
    <row r="29" spans="1:20" x14ac:dyDescent="0.35">
      <c r="A29" s="4"/>
      <c r="B29" s="4"/>
      <c r="C29" s="4"/>
      <c r="D29" s="4"/>
      <c r="E29" s="4"/>
      <c r="F29" s="4"/>
      <c r="G29" s="4"/>
      <c r="H29" s="4"/>
      <c r="I29" s="4"/>
      <c r="J29" s="4"/>
      <c r="K29" s="4"/>
      <c r="L29" s="4"/>
      <c r="M29" s="4"/>
      <c r="N29" s="4"/>
      <c r="O29" s="4"/>
      <c r="P29" s="4"/>
      <c r="Q29" s="4"/>
      <c r="R29" s="4"/>
      <c r="S29" s="4"/>
      <c r="T29" s="4"/>
    </row>
    <row r="30" spans="1:20" x14ac:dyDescent="0.35">
      <c r="A30" s="4"/>
      <c r="B30" s="4"/>
      <c r="C30" s="4"/>
      <c r="D30" s="4"/>
      <c r="E30" s="4"/>
      <c r="F30" s="4"/>
      <c r="G30" s="4"/>
      <c r="H30" s="4"/>
      <c r="I30" s="4"/>
      <c r="J30" s="4"/>
      <c r="K30" s="4"/>
      <c r="L30" s="4"/>
      <c r="M30" s="4"/>
      <c r="N30" s="4"/>
      <c r="O30" s="4"/>
      <c r="P30" s="4"/>
      <c r="Q30" s="4"/>
      <c r="R30" s="4"/>
      <c r="S30" s="4"/>
      <c r="T30" s="4"/>
    </row>
    <row r="31" spans="1:20" x14ac:dyDescent="0.35">
      <c r="A31" s="4"/>
      <c r="B31" s="4"/>
      <c r="C31" s="4"/>
      <c r="D31" s="4"/>
      <c r="E31" s="4"/>
      <c r="F31" s="4"/>
      <c r="G31" s="4"/>
      <c r="H31" s="4"/>
      <c r="I31" s="4"/>
      <c r="J31" s="4"/>
      <c r="K31" s="4"/>
      <c r="L31" s="4"/>
      <c r="M31" s="4"/>
      <c r="N31" s="4"/>
      <c r="O31" s="4"/>
      <c r="P31" s="4"/>
      <c r="Q31" s="4"/>
      <c r="R31" s="4"/>
      <c r="S31" s="4"/>
      <c r="T31" s="4"/>
    </row>
    <row r="32" spans="1:20" x14ac:dyDescent="0.35">
      <c r="A32" s="4"/>
      <c r="B32" s="4"/>
      <c r="C32" s="4"/>
      <c r="D32" s="4"/>
      <c r="E32" s="4"/>
      <c r="F32" s="4"/>
      <c r="G32" s="4"/>
      <c r="H32" s="4"/>
      <c r="I32" s="4"/>
      <c r="J32" s="4"/>
      <c r="K32" s="4"/>
      <c r="L32" s="4"/>
      <c r="M32" s="4"/>
      <c r="N32" s="4"/>
      <c r="O32" s="4"/>
      <c r="P32" s="4"/>
      <c r="Q32" s="4"/>
      <c r="R32" s="4"/>
      <c r="S32" s="4"/>
      <c r="T32" s="4"/>
    </row>
    <row r="33" spans="1:20" x14ac:dyDescent="0.35">
      <c r="A33" s="4"/>
      <c r="B33" s="4"/>
      <c r="C33" s="4"/>
      <c r="D33" s="4"/>
      <c r="E33" s="4"/>
      <c r="F33" s="4"/>
      <c r="G33" s="4"/>
      <c r="H33" s="4"/>
      <c r="I33" s="4"/>
      <c r="J33" s="4"/>
      <c r="K33" s="4"/>
      <c r="L33" s="4"/>
      <c r="M33" s="4"/>
      <c r="N33" s="4"/>
      <c r="O33" s="4"/>
      <c r="P33" s="4"/>
      <c r="Q33" s="4"/>
      <c r="R33" s="4"/>
      <c r="S33" s="4"/>
      <c r="T33" s="4"/>
    </row>
    <row r="34" spans="1:20" x14ac:dyDescent="0.35">
      <c r="A34" s="4"/>
      <c r="B34" s="4"/>
      <c r="C34" s="4"/>
      <c r="D34" s="4"/>
      <c r="E34" s="4"/>
      <c r="F34" s="4"/>
      <c r="G34" s="4"/>
      <c r="H34" s="4"/>
      <c r="I34" s="4"/>
      <c r="J34" s="4"/>
      <c r="K34" s="4"/>
      <c r="L34" s="4"/>
      <c r="M34" s="4"/>
      <c r="N34" s="4"/>
      <c r="O34" s="4"/>
      <c r="P34" s="4"/>
      <c r="Q34" s="4"/>
      <c r="R34" s="4"/>
      <c r="S34" s="4"/>
      <c r="T34" s="4"/>
    </row>
    <row r="35" spans="1:20" x14ac:dyDescent="0.35">
      <c r="A35" s="4"/>
      <c r="B35" s="4"/>
      <c r="C35" s="4"/>
      <c r="D35" s="4"/>
      <c r="E35" s="4"/>
      <c r="F35" s="4"/>
      <c r="G35" s="4"/>
      <c r="H35" s="4"/>
      <c r="I35" s="4"/>
      <c r="J35" s="4"/>
      <c r="K35" s="4"/>
      <c r="L35" s="4"/>
      <c r="M35" s="4"/>
      <c r="N35" s="4"/>
      <c r="O35" s="4"/>
      <c r="P35" s="4"/>
      <c r="Q35" s="4"/>
      <c r="R35" s="4"/>
      <c r="S35" s="4"/>
      <c r="T35" s="4"/>
    </row>
    <row r="36" spans="1:20" x14ac:dyDescent="0.35">
      <c r="A36" s="4"/>
      <c r="B36" s="4"/>
      <c r="C36" s="4"/>
      <c r="D36" s="4"/>
      <c r="E36" s="4"/>
      <c r="F36" s="4"/>
      <c r="G36" s="4"/>
      <c r="H36" s="4"/>
      <c r="I36" s="4"/>
      <c r="J36" s="4"/>
      <c r="K36" s="4"/>
      <c r="L36" s="4"/>
      <c r="M36" s="4"/>
      <c r="N36" s="4"/>
      <c r="O36" s="4"/>
      <c r="P36" s="4"/>
      <c r="Q36" s="4"/>
      <c r="R36" s="4"/>
      <c r="S36" s="4"/>
      <c r="T36" s="4"/>
    </row>
    <row r="37" spans="1:20" x14ac:dyDescent="0.35">
      <c r="A37" s="4"/>
      <c r="B37" s="4"/>
      <c r="C37" s="4"/>
      <c r="D37" s="4"/>
      <c r="E37" s="4"/>
      <c r="F37" s="4"/>
      <c r="G37" s="4"/>
      <c r="H37" s="4"/>
      <c r="I37" s="4"/>
      <c r="J37" s="4"/>
      <c r="K37" s="4"/>
      <c r="L37" s="4"/>
      <c r="M37" s="4"/>
      <c r="N37" s="4"/>
      <c r="O37" s="4"/>
      <c r="P37" s="4"/>
      <c r="Q37" s="4"/>
      <c r="R37" s="4"/>
      <c r="S37" s="4"/>
      <c r="T37" s="4"/>
    </row>
    <row r="38" spans="1:20" x14ac:dyDescent="0.35">
      <c r="A38" s="4"/>
      <c r="B38" s="4"/>
      <c r="C38" s="4"/>
      <c r="D38" s="4"/>
      <c r="E38" s="4"/>
      <c r="F38" s="4"/>
      <c r="G38" s="4"/>
      <c r="H38" s="4"/>
      <c r="I38" s="4"/>
      <c r="J38" s="4"/>
      <c r="K38" s="4"/>
      <c r="L38" s="4"/>
      <c r="M38" s="4"/>
      <c r="N38" s="4"/>
      <c r="O38" s="4"/>
      <c r="P38" s="4"/>
      <c r="Q38" s="4"/>
      <c r="R38" s="4"/>
      <c r="S38" s="4"/>
      <c r="T38" s="4"/>
    </row>
    <row r="39" spans="1:20" x14ac:dyDescent="0.35">
      <c r="A39" s="4"/>
      <c r="B39" s="4"/>
      <c r="C39" s="4"/>
      <c r="D39" s="4"/>
      <c r="E39" s="4"/>
      <c r="F39" s="4"/>
      <c r="G39" s="4"/>
      <c r="H39" s="4"/>
      <c r="I39" s="4"/>
      <c r="J39" s="4"/>
      <c r="K39" s="4"/>
      <c r="L39" s="4"/>
      <c r="M39" s="4"/>
      <c r="N39" s="4"/>
      <c r="O39" s="4"/>
      <c r="P39" s="4"/>
      <c r="Q39" s="4"/>
      <c r="R39" s="4"/>
      <c r="S39" s="4"/>
      <c r="T39" s="4"/>
    </row>
    <row r="40" spans="1:20" x14ac:dyDescent="0.35">
      <c r="A40" s="4"/>
      <c r="B40" s="4"/>
      <c r="C40" s="4"/>
      <c r="D40" s="4"/>
      <c r="E40" s="4"/>
      <c r="F40" s="4"/>
      <c r="G40" s="4"/>
      <c r="H40" s="4"/>
      <c r="I40" s="4"/>
      <c r="J40" s="4"/>
      <c r="K40" s="4"/>
      <c r="L40" s="4"/>
      <c r="M40" s="4"/>
      <c r="N40" s="4"/>
      <c r="O40" s="4"/>
      <c r="P40" s="4"/>
      <c r="Q40" s="4"/>
      <c r="R40" s="4"/>
      <c r="S40" s="4"/>
      <c r="T40" s="4"/>
    </row>
    <row r="41" spans="1:20" x14ac:dyDescent="0.35">
      <c r="A41" s="4"/>
      <c r="B41" s="4"/>
      <c r="C41" s="4"/>
      <c r="D41" s="4"/>
      <c r="E41" s="4"/>
      <c r="F41" s="4"/>
      <c r="G41" s="4"/>
      <c r="H41" s="4"/>
      <c r="I41" s="4"/>
      <c r="J41" s="4"/>
      <c r="K41" s="4"/>
      <c r="L41" s="4"/>
      <c r="M41" s="4"/>
      <c r="N41" s="4"/>
      <c r="O41" s="4"/>
      <c r="P41" s="4"/>
      <c r="Q41" s="4"/>
      <c r="R41" s="4"/>
      <c r="S41" s="4"/>
      <c r="T41" s="4"/>
    </row>
    <row r="42" spans="1:20" x14ac:dyDescent="0.35">
      <c r="A42" s="4"/>
      <c r="B42" s="4"/>
      <c r="C42" s="4"/>
      <c r="D42" s="4"/>
      <c r="E42" s="4"/>
      <c r="F42" s="4"/>
      <c r="G42" s="4"/>
      <c r="H42" s="4"/>
      <c r="I42" s="4"/>
      <c r="J42" s="4"/>
      <c r="K42" s="4"/>
      <c r="L42" s="4"/>
      <c r="M42" s="4"/>
      <c r="N42" s="4"/>
      <c r="O42" s="4"/>
      <c r="P42" s="4"/>
      <c r="Q42" s="4"/>
      <c r="R42" s="4"/>
      <c r="S42" s="4"/>
      <c r="T42" s="4"/>
    </row>
    <row r="43" spans="1:20" x14ac:dyDescent="0.35">
      <c r="A43" s="4"/>
      <c r="B43" s="4"/>
      <c r="C43" s="4"/>
      <c r="D43" s="4"/>
      <c r="E43" s="4"/>
      <c r="F43" s="4"/>
      <c r="G43" s="4"/>
      <c r="H43" s="4"/>
      <c r="I43" s="4"/>
      <c r="J43" s="4"/>
      <c r="K43" s="4"/>
      <c r="L43" s="4"/>
      <c r="M43" s="4"/>
      <c r="N43" s="4"/>
      <c r="O43" s="4"/>
      <c r="P43" s="4"/>
      <c r="Q43" s="4"/>
      <c r="R43" s="4"/>
      <c r="S43" s="4"/>
      <c r="T43" s="4"/>
    </row>
    <row r="44" spans="1:20" x14ac:dyDescent="0.35">
      <c r="A44" s="4"/>
      <c r="B44" s="4"/>
      <c r="C44" s="4"/>
      <c r="D44" s="4"/>
      <c r="E44" s="4"/>
      <c r="F44" s="4"/>
      <c r="G44" s="4"/>
      <c r="H44" s="4"/>
      <c r="I44" s="4"/>
      <c r="J44" s="4"/>
      <c r="K44" s="4"/>
      <c r="L44" s="4"/>
      <c r="M44" s="4"/>
      <c r="N44" s="4"/>
      <c r="O44" s="4"/>
      <c r="P44" s="4"/>
      <c r="Q44" s="4"/>
      <c r="R44" s="4"/>
      <c r="S44" s="4"/>
      <c r="T44" s="4"/>
    </row>
    <row r="45" spans="1:20" x14ac:dyDescent="0.35">
      <c r="A45" s="4"/>
      <c r="B45" s="4"/>
      <c r="C45" s="4"/>
      <c r="D45" s="4"/>
      <c r="E45" s="4"/>
      <c r="F45" s="4"/>
      <c r="G45" s="4"/>
      <c r="H45" s="4"/>
      <c r="I45" s="4"/>
      <c r="J45" s="4"/>
      <c r="K45" s="4"/>
      <c r="L45" s="4"/>
      <c r="M45" s="4"/>
      <c r="N45" s="4"/>
      <c r="O45" s="4"/>
      <c r="P45" s="4"/>
      <c r="Q45" s="4"/>
      <c r="R45" s="4"/>
      <c r="S45" s="4"/>
      <c r="T45" s="4"/>
    </row>
    <row r="46" spans="1:20" x14ac:dyDescent="0.35">
      <c r="A46" s="4"/>
      <c r="B46" s="4"/>
      <c r="C46" s="4"/>
      <c r="D46" s="4"/>
      <c r="E46" s="4"/>
      <c r="F46" s="4"/>
      <c r="G46" s="4"/>
      <c r="H46" s="4"/>
      <c r="I46" s="4"/>
      <c r="J46" s="4"/>
      <c r="K46" s="4"/>
      <c r="L46" s="4"/>
      <c r="M46" s="4"/>
      <c r="N46" s="4"/>
      <c r="O46" s="4"/>
      <c r="P46" s="4"/>
      <c r="Q46" s="4"/>
      <c r="R46" s="4"/>
      <c r="S46" s="4"/>
      <c r="T46" s="4"/>
    </row>
    <row r="47" spans="1:20" x14ac:dyDescent="0.35">
      <c r="A47" s="4"/>
      <c r="B47" s="4"/>
      <c r="C47" s="4"/>
      <c r="D47" s="4"/>
      <c r="E47" s="4"/>
      <c r="F47" s="4"/>
      <c r="G47" s="4"/>
      <c r="H47" s="4"/>
      <c r="I47" s="4"/>
      <c r="J47" s="4"/>
      <c r="K47" s="4"/>
      <c r="L47" s="4"/>
      <c r="M47" s="4"/>
      <c r="N47" s="4"/>
      <c r="O47" s="4"/>
      <c r="P47" s="4"/>
      <c r="Q47" s="4"/>
      <c r="R47" s="4"/>
      <c r="S47" s="4"/>
      <c r="T47" s="4"/>
    </row>
    <row r="48" spans="1:20" x14ac:dyDescent="0.35">
      <c r="A48" s="4"/>
      <c r="B48" s="4"/>
      <c r="C48" s="4"/>
      <c r="D48" s="4"/>
      <c r="E48" s="4"/>
      <c r="F48" s="4"/>
      <c r="G48" s="4"/>
      <c r="H48" s="4"/>
      <c r="I48" s="4"/>
      <c r="J48" s="4"/>
      <c r="K48" s="4"/>
      <c r="L48" s="4"/>
      <c r="M48" s="4"/>
      <c r="N48" s="4"/>
      <c r="O48" s="4"/>
      <c r="P48" s="4"/>
      <c r="Q48" s="4"/>
      <c r="R48" s="4"/>
      <c r="S48" s="4"/>
      <c r="T48" s="4"/>
    </row>
    <row r="49" spans="1:20" x14ac:dyDescent="0.35">
      <c r="A49" s="4"/>
      <c r="B49" s="4"/>
      <c r="C49" s="4"/>
      <c r="D49" s="4"/>
      <c r="E49" s="4"/>
      <c r="F49" s="4"/>
      <c r="G49" s="4"/>
      <c r="H49" s="4"/>
      <c r="I49" s="4"/>
      <c r="J49" s="4"/>
      <c r="K49" s="4"/>
      <c r="L49" s="4"/>
      <c r="M49" s="4"/>
      <c r="N49" s="4"/>
      <c r="O49" s="4"/>
      <c r="P49" s="4"/>
      <c r="Q49" s="4"/>
      <c r="R49" s="4"/>
      <c r="S49" s="4"/>
      <c r="T49" s="4"/>
    </row>
    <row r="50" spans="1:20" x14ac:dyDescent="0.35">
      <c r="A50" s="4"/>
      <c r="B50" s="4"/>
      <c r="C50" s="4"/>
      <c r="D50" s="4"/>
      <c r="E50" s="4"/>
      <c r="F50" s="4"/>
      <c r="G50" s="4"/>
      <c r="H50" s="4"/>
      <c r="I50" s="4"/>
      <c r="J50" s="4"/>
      <c r="K50" s="4"/>
      <c r="L50" s="4"/>
      <c r="M50" s="4"/>
      <c r="N50" s="4"/>
      <c r="O50" s="4"/>
      <c r="P50" s="4"/>
      <c r="Q50" s="4"/>
      <c r="R50" s="4"/>
      <c r="S50" s="4"/>
      <c r="T50" s="4"/>
    </row>
    <row r="51" spans="1:20" x14ac:dyDescent="0.35">
      <c r="A51" s="4"/>
      <c r="B51" s="4"/>
      <c r="C51" s="4"/>
      <c r="D51" s="4"/>
      <c r="E51" s="4"/>
      <c r="F51" s="4"/>
      <c r="G51" s="4"/>
      <c r="H51" s="4"/>
      <c r="I51" s="4"/>
      <c r="J51" s="4"/>
      <c r="K51" s="4"/>
      <c r="L51" s="4"/>
      <c r="M51" s="4"/>
      <c r="N51" s="4"/>
      <c r="O51" s="4"/>
      <c r="P51" s="4"/>
      <c r="Q51" s="4"/>
      <c r="R51" s="4"/>
      <c r="S51" s="4"/>
      <c r="T51" s="4"/>
    </row>
    <row r="52" spans="1:20" x14ac:dyDescent="0.35">
      <c r="A52" s="4"/>
      <c r="B52" s="4"/>
      <c r="C52" s="4"/>
      <c r="D52" s="4"/>
      <c r="E52" s="4"/>
      <c r="F52" s="4"/>
      <c r="G52" s="4"/>
      <c r="H52" s="4"/>
      <c r="I52" s="4"/>
      <c r="J52" s="4"/>
      <c r="K52" s="4"/>
      <c r="L52" s="4"/>
      <c r="M52" s="4"/>
      <c r="N52" s="4"/>
      <c r="O52" s="4"/>
      <c r="P52" s="4"/>
      <c r="Q52" s="4"/>
      <c r="R52" s="4"/>
      <c r="S52" s="4"/>
      <c r="T52" s="4"/>
    </row>
    <row r="53" spans="1:20" x14ac:dyDescent="0.35">
      <c r="A53" s="4"/>
      <c r="B53" s="4"/>
      <c r="C53" s="4"/>
      <c r="D53" s="4"/>
      <c r="E53" s="4"/>
      <c r="F53" s="4"/>
      <c r="G53" s="4"/>
      <c r="H53" s="4"/>
      <c r="I53" s="4"/>
      <c r="J53" s="4"/>
      <c r="K53" s="4"/>
      <c r="L53" s="4"/>
      <c r="M53" s="4"/>
      <c r="N53" s="4"/>
      <c r="O53" s="4"/>
      <c r="P53" s="4"/>
      <c r="Q53" s="4"/>
      <c r="R53" s="4"/>
      <c r="S53" s="4"/>
      <c r="T53" s="4"/>
    </row>
    <row r="54" spans="1:20" x14ac:dyDescent="0.35">
      <c r="A54" s="4"/>
      <c r="B54" s="4"/>
      <c r="C54" s="4"/>
      <c r="D54" s="4"/>
      <c r="E54" s="4"/>
      <c r="F54" s="4"/>
      <c r="G54" s="4"/>
      <c r="H54" s="4"/>
      <c r="I54" s="4"/>
      <c r="J54" s="4"/>
      <c r="K54" s="4"/>
      <c r="L54" s="4"/>
      <c r="M54" s="4"/>
      <c r="N54" s="4"/>
      <c r="O54" s="4"/>
      <c r="P54" s="4"/>
      <c r="Q54" s="4"/>
      <c r="R54" s="4"/>
      <c r="S54" s="4"/>
      <c r="T54" s="4"/>
    </row>
    <row r="55" spans="1:20" x14ac:dyDescent="0.35">
      <c r="A55" s="4"/>
      <c r="B55" s="4"/>
      <c r="C55" s="4"/>
      <c r="D55" s="4"/>
      <c r="E55" s="4"/>
      <c r="F55" s="4"/>
      <c r="G55" s="4"/>
      <c r="H55" s="4"/>
      <c r="I55" s="4"/>
      <c r="J55" s="4"/>
      <c r="K55" s="4"/>
      <c r="L55" s="4"/>
      <c r="M55" s="4"/>
      <c r="N55" s="4"/>
      <c r="O55" s="4"/>
      <c r="P55" s="4"/>
      <c r="Q55" s="4"/>
      <c r="R55" s="4"/>
      <c r="S55" s="4"/>
      <c r="T55" s="4"/>
    </row>
  </sheetData>
  <mergeCells count="12">
    <mergeCell ref="N1:R1"/>
    <mergeCell ref="N2:O2"/>
    <mergeCell ref="N3:O3"/>
    <mergeCell ref="N4:O4"/>
    <mergeCell ref="P2:R2"/>
    <mergeCell ref="P3:R3"/>
    <mergeCell ref="P4:R4"/>
    <mergeCell ref="A1:C2"/>
    <mergeCell ref="A3:C4"/>
    <mergeCell ref="H1:L5"/>
    <mergeCell ref="E1:F2"/>
    <mergeCell ref="E3:F4"/>
  </mergeCells>
  <conditionalFormatting sqref="P2:R4">
    <cfRule type="dataBar" priority="1">
      <dataBar>
        <cfvo type="min"/>
        <cfvo type="max"/>
        <color rgb="FF63C384"/>
      </dataBar>
      <extLst>
        <ext xmlns:x14="http://schemas.microsoft.com/office/spreadsheetml/2009/9/main" uri="{B025F937-C7B1-47D3-B67F-A62EFF666E3E}">
          <x14:id>{FADE5375-F0DA-4F3E-86B2-B7E822C80684}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ADE5375-F0DA-4F3E-86B2-B7E822C80684}">
            <x14:dataBar minLength="0" maxLength="100" border="1" negativeBarBorderColorSameAsPositive="0">
              <x14:cfvo type="autoMin"/>
              <x14:cfvo type="autoMax"/>
              <x14:borderColor rgb="FF63C384"/>
              <x14:negativeFillColor rgb="FFFF0000"/>
              <x14:negativeBorderColor rgb="FFFF0000"/>
              <x14:axisColor rgb="FF000000"/>
            </x14:dataBar>
          </x14:cfRule>
          <xm:sqref>P2:R4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Cafe_Sales_Data</vt:lpstr>
      <vt:lpstr>Sheet1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Unnati Atkotiya</cp:lastModifiedBy>
  <dcterms:created xsi:type="dcterms:W3CDTF">2026-02-23T10:37:12Z</dcterms:created>
  <dcterms:modified xsi:type="dcterms:W3CDTF">2026-02-23T14:13:15Z</dcterms:modified>
</cp:coreProperties>
</file>