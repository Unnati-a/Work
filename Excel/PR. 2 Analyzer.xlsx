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U:\Practice\Excel\"/>
    </mc:Choice>
  </mc:AlternateContent>
  <xr:revisionPtr revIDLastSave="0" documentId="13_ncr:1_{596BC4BF-D8FF-4EAD-BC08-603A5EA0A3BE}" xr6:coauthVersionLast="47" xr6:coauthVersionMax="47" xr10:uidLastSave="{00000000-0000-0000-0000-000000000000}"/>
  <bookViews>
    <workbookView xWindow="-110" yWindow="-110" windowWidth="19420" windowHeight="10300" firstSheet="1" activeTab="1" xr2:uid="{00000000-000D-0000-FFFF-FFFF00000000}"/>
  </bookViews>
  <sheets>
    <sheet name="Project Instructions" sheetId="1" r:id="rId1"/>
    <sheet name="Dataset" sheetId="2" r:id="rId2"/>
    <sheet name="What if" sheetId="6" r:id="rId3"/>
    <sheet name="Pivot Tables" sheetId="4" r:id="rId4"/>
    <sheet name="Regression" sheetId="3" r:id="rId5"/>
    <sheet name="Descriptive Statistics" sheetId="5" r:id="rId6"/>
    <sheet name="Dashboard" sheetId="7" r:id="rId7"/>
  </sheets>
  <definedNames>
    <definedName name="Slicer_Product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3" i="6" l="1"/>
  <c r="N13" i="6" s="1"/>
  <c r="L3" i="6"/>
  <c r="O5" i="6" s="1"/>
  <c r="B26" i="7"/>
  <c r="O20"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 r="K2" i="2" l="1" a="1"/>
  <c r="H3" i="3"/>
  <c r="D4" i="3" s="1"/>
  <c r="G3" i="3"/>
  <c r="C190" i="3" s="1"/>
  <c r="K2" i="2" l="1"/>
  <c r="J2" i="2" s="1"/>
  <c r="J3" i="2"/>
  <c r="J11" i="2"/>
  <c r="J9" i="2"/>
  <c r="J4" i="2"/>
  <c r="J12" i="2"/>
  <c r="J5" i="2"/>
  <c r="J13" i="2"/>
  <c r="J6" i="2"/>
  <c r="J14" i="2"/>
  <c r="J7" i="2"/>
  <c r="J8" i="2"/>
  <c r="J10" i="2"/>
  <c r="C158" i="3"/>
  <c r="D185" i="3"/>
  <c r="D163" i="3"/>
  <c r="D143" i="3"/>
  <c r="D121" i="3"/>
  <c r="D79" i="3"/>
  <c r="D183" i="3"/>
  <c r="D151" i="3"/>
  <c r="D129" i="3"/>
  <c r="D97" i="3"/>
  <c r="D201" i="3"/>
  <c r="D191" i="3"/>
  <c r="D179" i="3"/>
  <c r="D169" i="3"/>
  <c r="D159" i="3"/>
  <c r="D147" i="3"/>
  <c r="D137" i="3"/>
  <c r="D127" i="3"/>
  <c r="D115" i="3"/>
  <c r="D105" i="3"/>
  <c r="D95" i="3"/>
  <c r="D83" i="3"/>
  <c r="D73" i="3"/>
  <c r="D63" i="3"/>
  <c r="D51" i="3"/>
  <c r="D41" i="3"/>
  <c r="D31" i="3"/>
  <c r="D19" i="3"/>
  <c r="D9" i="3"/>
  <c r="D195" i="3"/>
  <c r="D153" i="3"/>
  <c r="D89" i="3"/>
  <c r="D200" i="3"/>
  <c r="D190" i="3"/>
  <c r="D178" i="3"/>
  <c r="D168" i="3"/>
  <c r="D158" i="3"/>
  <c r="D146" i="3"/>
  <c r="D136" i="3"/>
  <c r="D126" i="3"/>
  <c r="D114" i="3"/>
  <c r="D104" i="3"/>
  <c r="D94" i="3"/>
  <c r="D82" i="3"/>
  <c r="D72" i="3"/>
  <c r="D62" i="3"/>
  <c r="D50" i="3"/>
  <c r="D40" i="3"/>
  <c r="D30" i="3"/>
  <c r="D18" i="3"/>
  <c r="D8" i="3"/>
  <c r="D199" i="3"/>
  <c r="D187" i="3"/>
  <c r="D177" i="3"/>
  <c r="D167" i="3"/>
  <c r="D155" i="3"/>
  <c r="D145" i="3"/>
  <c r="D135" i="3"/>
  <c r="D123" i="3"/>
  <c r="D113" i="3"/>
  <c r="D103" i="3"/>
  <c r="D91" i="3"/>
  <c r="D81" i="3"/>
  <c r="D71" i="3"/>
  <c r="D59" i="3"/>
  <c r="D49" i="3"/>
  <c r="D39" i="3"/>
  <c r="D27" i="3"/>
  <c r="D17" i="3"/>
  <c r="D7" i="3"/>
  <c r="D198" i="3"/>
  <c r="D186" i="3"/>
  <c r="D176" i="3"/>
  <c r="D166" i="3"/>
  <c r="D154" i="3"/>
  <c r="D144" i="3"/>
  <c r="D134" i="3"/>
  <c r="D122" i="3"/>
  <c r="D112" i="3"/>
  <c r="D102" i="3"/>
  <c r="D90" i="3"/>
  <c r="D80" i="3"/>
  <c r="D70" i="3"/>
  <c r="D58" i="3"/>
  <c r="D48" i="3"/>
  <c r="D38" i="3"/>
  <c r="D26" i="3"/>
  <c r="D16" i="3"/>
  <c r="D6" i="3"/>
  <c r="D194" i="3"/>
  <c r="D184" i="3"/>
  <c r="D174" i="3"/>
  <c r="D162" i="3"/>
  <c r="D152" i="3"/>
  <c r="D142" i="3"/>
  <c r="D130" i="3"/>
  <c r="D120" i="3"/>
  <c r="D110" i="3"/>
  <c r="D98" i="3"/>
  <c r="D88" i="3"/>
  <c r="D78" i="3"/>
  <c r="D66" i="3"/>
  <c r="D56" i="3"/>
  <c r="D46" i="3"/>
  <c r="D34" i="3"/>
  <c r="D24" i="3"/>
  <c r="D14" i="3"/>
  <c r="D175" i="3"/>
  <c r="D131" i="3"/>
  <c r="D111" i="3"/>
  <c r="D99" i="3"/>
  <c r="D67" i="3"/>
  <c r="D57" i="3"/>
  <c r="D47" i="3"/>
  <c r="D35" i="3"/>
  <c r="D25" i="3"/>
  <c r="D15" i="3"/>
  <c r="D3" i="3"/>
  <c r="D193" i="3"/>
  <c r="D171" i="3"/>
  <c r="D161" i="3"/>
  <c r="D139" i="3"/>
  <c r="D119" i="3"/>
  <c r="D107" i="3"/>
  <c r="D87" i="3"/>
  <c r="D75" i="3"/>
  <c r="D65" i="3"/>
  <c r="D55" i="3"/>
  <c r="D43" i="3"/>
  <c r="D33" i="3"/>
  <c r="D23" i="3"/>
  <c r="D11" i="3"/>
  <c r="D202" i="3"/>
  <c r="D192" i="3"/>
  <c r="D182" i="3"/>
  <c r="D170" i="3"/>
  <c r="D160" i="3"/>
  <c r="D150" i="3"/>
  <c r="D138" i="3"/>
  <c r="D128" i="3"/>
  <c r="D118" i="3"/>
  <c r="D106" i="3"/>
  <c r="D96" i="3"/>
  <c r="D86" i="3"/>
  <c r="D74" i="3"/>
  <c r="D64" i="3"/>
  <c r="D54" i="3"/>
  <c r="D42" i="3"/>
  <c r="D32" i="3"/>
  <c r="D22" i="3"/>
  <c r="D10" i="3"/>
  <c r="E190" i="3"/>
  <c r="F190" i="3"/>
  <c r="E158" i="3"/>
  <c r="F158" i="3"/>
  <c r="C150" i="3"/>
  <c r="C142" i="3"/>
  <c r="C198" i="3"/>
  <c r="C126" i="3"/>
  <c r="C134" i="3"/>
  <c r="C7" i="3"/>
  <c r="C110" i="3"/>
  <c r="C182" i="3"/>
  <c r="C174" i="3"/>
  <c r="C166" i="3"/>
  <c r="D197" i="3"/>
  <c r="D189" i="3"/>
  <c r="D181" i="3"/>
  <c r="D173" i="3"/>
  <c r="D165" i="3"/>
  <c r="D157" i="3"/>
  <c r="D149" i="3"/>
  <c r="D141" i="3"/>
  <c r="D133" i="3"/>
  <c r="D125" i="3"/>
  <c r="D117" i="3"/>
  <c r="D109" i="3"/>
  <c r="D101" i="3"/>
  <c r="D93" i="3"/>
  <c r="D85" i="3"/>
  <c r="D77" i="3"/>
  <c r="D69" i="3"/>
  <c r="D61" i="3"/>
  <c r="D53" i="3"/>
  <c r="D45" i="3"/>
  <c r="D37" i="3"/>
  <c r="D29" i="3"/>
  <c r="D21" i="3"/>
  <c r="D13" i="3"/>
  <c r="D5" i="3"/>
  <c r="D196" i="3"/>
  <c r="D188" i="3"/>
  <c r="D180" i="3"/>
  <c r="D172" i="3"/>
  <c r="D164" i="3"/>
  <c r="D156" i="3"/>
  <c r="D148" i="3"/>
  <c r="D140" i="3"/>
  <c r="D132" i="3"/>
  <c r="D124" i="3"/>
  <c r="D116" i="3"/>
  <c r="D108" i="3"/>
  <c r="D100" i="3"/>
  <c r="D92" i="3"/>
  <c r="D84" i="3"/>
  <c r="D76" i="3"/>
  <c r="D68" i="3"/>
  <c r="D60" i="3"/>
  <c r="D52" i="3"/>
  <c r="D44" i="3"/>
  <c r="D36" i="3"/>
  <c r="D28" i="3"/>
  <c r="D20" i="3"/>
  <c r="D12" i="3"/>
  <c r="C196" i="3"/>
  <c r="C188" i="3"/>
  <c r="C180" i="3"/>
  <c r="C172" i="3"/>
  <c r="C164" i="3"/>
  <c r="C156" i="3"/>
  <c r="C148" i="3"/>
  <c r="C140" i="3"/>
  <c r="C132" i="3"/>
  <c r="C124" i="3"/>
  <c r="C116" i="3"/>
  <c r="C108" i="3"/>
  <c r="C100" i="3"/>
  <c r="C92" i="3"/>
  <c r="C84" i="3"/>
  <c r="C76" i="3"/>
  <c r="C68" i="3"/>
  <c r="C60" i="3"/>
  <c r="C52" i="3"/>
  <c r="C44" i="3"/>
  <c r="C36" i="3"/>
  <c r="C28" i="3"/>
  <c r="C20" i="3"/>
  <c r="C12" i="3"/>
  <c r="C4" i="3"/>
  <c r="C3" i="3"/>
  <c r="C195" i="3"/>
  <c r="C187" i="3"/>
  <c r="C179" i="3"/>
  <c r="C171" i="3"/>
  <c r="C163" i="3"/>
  <c r="C155" i="3"/>
  <c r="C147" i="3"/>
  <c r="C139" i="3"/>
  <c r="C131" i="3"/>
  <c r="C123" i="3"/>
  <c r="C115" i="3"/>
  <c r="C107" i="3"/>
  <c r="C99" i="3"/>
  <c r="C91" i="3"/>
  <c r="C83" i="3"/>
  <c r="C75" i="3"/>
  <c r="C67" i="3"/>
  <c r="C59" i="3"/>
  <c r="C51" i="3"/>
  <c r="C43" i="3"/>
  <c r="C35" i="3"/>
  <c r="C27" i="3"/>
  <c r="C19" i="3"/>
  <c r="C11" i="3"/>
  <c r="C118" i="3"/>
  <c r="C102" i="3"/>
  <c r="C94" i="3"/>
  <c r="C78" i="3"/>
  <c r="C62" i="3"/>
  <c r="C46" i="3"/>
  <c r="C22" i="3"/>
  <c r="C6" i="3"/>
  <c r="C189" i="3"/>
  <c r="C165" i="3"/>
  <c r="C149" i="3"/>
  <c r="C133" i="3"/>
  <c r="C117" i="3"/>
  <c r="C101" i="3"/>
  <c r="C85" i="3"/>
  <c r="C69" i="3"/>
  <c r="C45" i="3"/>
  <c r="C29" i="3"/>
  <c r="C13" i="3"/>
  <c r="C194" i="3"/>
  <c r="C178" i="3"/>
  <c r="C162" i="3"/>
  <c r="C146" i="3"/>
  <c r="C130" i="3"/>
  <c r="C106" i="3"/>
  <c r="C90" i="3"/>
  <c r="C74" i="3"/>
  <c r="C58" i="3"/>
  <c r="C42" i="3"/>
  <c r="C26" i="3"/>
  <c r="C10" i="3"/>
  <c r="C193" i="3"/>
  <c r="C177" i="3"/>
  <c r="C161" i="3"/>
  <c r="C137" i="3"/>
  <c r="C121" i="3"/>
  <c r="C105" i="3"/>
  <c r="C89" i="3"/>
  <c r="C73" i="3"/>
  <c r="C25" i="3"/>
  <c r="C192" i="3"/>
  <c r="C168" i="3"/>
  <c r="C144" i="3"/>
  <c r="C128" i="3"/>
  <c r="C104" i="3"/>
  <c r="C88" i="3"/>
  <c r="C72" i="3"/>
  <c r="C64" i="3"/>
  <c r="C48" i="3"/>
  <c r="C40" i="3"/>
  <c r="C32" i="3"/>
  <c r="C24" i="3"/>
  <c r="C16" i="3"/>
  <c r="C8" i="3"/>
  <c r="C86" i="3"/>
  <c r="C70" i="3"/>
  <c r="C54" i="3"/>
  <c r="C38" i="3"/>
  <c r="C30" i="3"/>
  <c r="C14" i="3"/>
  <c r="C197" i="3"/>
  <c r="C181" i="3"/>
  <c r="C173" i="3"/>
  <c r="C157" i="3"/>
  <c r="C141" i="3"/>
  <c r="C125" i="3"/>
  <c r="C109" i="3"/>
  <c r="C93" i="3"/>
  <c r="C77" i="3"/>
  <c r="C61" i="3"/>
  <c r="C53" i="3"/>
  <c r="C37" i="3"/>
  <c r="C21" i="3"/>
  <c r="C5" i="3"/>
  <c r="C202" i="3"/>
  <c r="C186" i="3"/>
  <c r="C170" i="3"/>
  <c r="C154" i="3"/>
  <c r="C138" i="3"/>
  <c r="C122" i="3"/>
  <c r="C114" i="3"/>
  <c r="C98" i="3"/>
  <c r="C82" i="3"/>
  <c r="C66" i="3"/>
  <c r="C50" i="3"/>
  <c r="C34" i="3"/>
  <c r="C18" i="3"/>
  <c r="C201" i="3"/>
  <c r="C185" i="3"/>
  <c r="C169" i="3"/>
  <c r="C153" i="3"/>
  <c r="C145" i="3"/>
  <c r="C129" i="3"/>
  <c r="C113" i="3"/>
  <c r="C97" i="3"/>
  <c r="C81" i="3"/>
  <c r="C65" i="3"/>
  <c r="C57" i="3"/>
  <c r="C49" i="3"/>
  <c r="C41" i="3"/>
  <c r="C33" i="3"/>
  <c r="C17" i="3"/>
  <c r="C9" i="3"/>
  <c r="C200" i="3"/>
  <c r="C184" i="3"/>
  <c r="C176" i="3"/>
  <c r="C160" i="3"/>
  <c r="C152" i="3"/>
  <c r="C136" i="3"/>
  <c r="C120" i="3"/>
  <c r="C112" i="3"/>
  <c r="C96" i="3"/>
  <c r="C80" i="3"/>
  <c r="C56" i="3"/>
  <c r="C199" i="3"/>
  <c r="C191" i="3"/>
  <c r="C183" i="3"/>
  <c r="C175" i="3"/>
  <c r="C167" i="3"/>
  <c r="C159" i="3"/>
  <c r="C151" i="3"/>
  <c r="C143" i="3"/>
  <c r="C135" i="3"/>
  <c r="C127" i="3"/>
  <c r="C119" i="3"/>
  <c r="C111" i="3"/>
  <c r="C103" i="3"/>
  <c r="C95" i="3"/>
  <c r="C87" i="3"/>
  <c r="C79" i="3"/>
  <c r="C71" i="3"/>
  <c r="C63" i="3"/>
  <c r="C55" i="3"/>
  <c r="C47" i="3"/>
  <c r="C39" i="3"/>
  <c r="C31" i="3"/>
  <c r="C23" i="3"/>
  <c r="C15" i="3"/>
  <c r="F103" i="3" l="1"/>
  <c r="E103" i="3"/>
  <c r="F167" i="3"/>
  <c r="E167" i="3"/>
  <c r="F112" i="3"/>
  <c r="E112" i="3"/>
  <c r="E9" i="3"/>
  <c r="F9" i="3"/>
  <c r="F97" i="3"/>
  <c r="E97" i="3"/>
  <c r="F18" i="3"/>
  <c r="E18" i="3"/>
  <c r="E138" i="3"/>
  <c r="F138" i="3"/>
  <c r="F53" i="3"/>
  <c r="E53" i="3"/>
  <c r="F173" i="3"/>
  <c r="E173" i="3"/>
  <c r="F86" i="3"/>
  <c r="E86" i="3"/>
  <c r="E72" i="3"/>
  <c r="F72" i="3"/>
  <c r="E73" i="3"/>
  <c r="F73" i="3"/>
  <c r="E10" i="3"/>
  <c r="F10" i="3"/>
  <c r="E146" i="3"/>
  <c r="F146" i="3"/>
  <c r="F85" i="3"/>
  <c r="E85" i="3"/>
  <c r="F22" i="3"/>
  <c r="E22" i="3"/>
  <c r="F19" i="3"/>
  <c r="E19" i="3"/>
  <c r="E83" i="3"/>
  <c r="F83" i="3"/>
  <c r="E147" i="3"/>
  <c r="F147" i="3"/>
  <c r="F4" i="3"/>
  <c r="E4" i="3"/>
  <c r="F68" i="3"/>
  <c r="E68" i="3"/>
  <c r="F132" i="3"/>
  <c r="E132" i="3"/>
  <c r="F196" i="3"/>
  <c r="E196" i="3"/>
  <c r="E126" i="3"/>
  <c r="F126" i="3"/>
  <c r="F47" i="3"/>
  <c r="E47" i="3"/>
  <c r="F111" i="3"/>
  <c r="E111" i="3"/>
  <c r="F175" i="3"/>
  <c r="E175" i="3"/>
  <c r="E120" i="3"/>
  <c r="F120" i="3"/>
  <c r="E17" i="3"/>
  <c r="F17" i="3"/>
  <c r="E113" i="3"/>
  <c r="F113" i="3"/>
  <c r="F34" i="3"/>
  <c r="E34" i="3"/>
  <c r="F154" i="3"/>
  <c r="E154" i="3"/>
  <c r="F61" i="3"/>
  <c r="E61" i="3"/>
  <c r="F181" i="3"/>
  <c r="E181" i="3"/>
  <c r="E8" i="3"/>
  <c r="F8" i="3"/>
  <c r="E88" i="3"/>
  <c r="F88" i="3"/>
  <c r="F89" i="3"/>
  <c r="E89" i="3"/>
  <c r="E26" i="3"/>
  <c r="F26" i="3"/>
  <c r="E162" i="3"/>
  <c r="F162" i="3"/>
  <c r="F101" i="3"/>
  <c r="E101" i="3"/>
  <c r="F46" i="3"/>
  <c r="E46" i="3"/>
  <c r="F27" i="3"/>
  <c r="E27" i="3"/>
  <c r="E91" i="3"/>
  <c r="F91" i="3"/>
  <c r="F155" i="3"/>
  <c r="E155" i="3"/>
  <c r="F12" i="3"/>
  <c r="E12" i="3"/>
  <c r="F76" i="3"/>
  <c r="E76" i="3"/>
  <c r="F140" i="3"/>
  <c r="E140" i="3"/>
  <c r="F198" i="3"/>
  <c r="E198" i="3"/>
  <c r="E55" i="3"/>
  <c r="F55" i="3"/>
  <c r="F119" i="3"/>
  <c r="E119" i="3"/>
  <c r="F183" i="3"/>
  <c r="E183" i="3"/>
  <c r="E136" i="3"/>
  <c r="F136" i="3"/>
  <c r="F33" i="3"/>
  <c r="E33" i="3"/>
  <c r="F129" i="3"/>
  <c r="E129" i="3"/>
  <c r="E50" i="3"/>
  <c r="F50" i="3"/>
  <c r="F170" i="3"/>
  <c r="E170" i="3"/>
  <c r="F77" i="3"/>
  <c r="E77" i="3"/>
  <c r="F197" i="3"/>
  <c r="E197" i="3"/>
  <c r="F16" i="3"/>
  <c r="E16" i="3"/>
  <c r="E104" i="3"/>
  <c r="F104" i="3"/>
  <c r="E105" i="3"/>
  <c r="F105" i="3"/>
  <c r="E42" i="3"/>
  <c r="F42" i="3"/>
  <c r="E178" i="3"/>
  <c r="F178" i="3"/>
  <c r="F117" i="3"/>
  <c r="E117" i="3"/>
  <c r="F62" i="3"/>
  <c r="E62" i="3"/>
  <c r="E35" i="3"/>
  <c r="F35" i="3"/>
  <c r="E99" i="3"/>
  <c r="F99" i="3"/>
  <c r="E163" i="3"/>
  <c r="F163" i="3"/>
  <c r="F20" i="3"/>
  <c r="E20" i="3"/>
  <c r="F84" i="3"/>
  <c r="E84" i="3"/>
  <c r="F148" i="3"/>
  <c r="E148" i="3"/>
  <c r="F142" i="3"/>
  <c r="E142" i="3"/>
  <c r="E127" i="3"/>
  <c r="F127" i="3"/>
  <c r="E152" i="3"/>
  <c r="F152" i="3"/>
  <c r="E145" i="3"/>
  <c r="F145" i="3"/>
  <c r="F186" i="3"/>
  <c r="E186" i="3"/>
  <c r="F93" i="3"/>
  <c r="E93" i="3"/>
  <c r="E24" i="3"/>
  <c r="F24" i="3"/>
  <c r="F121" i="3"/>
  <c r="E121" i="3"/>
  <c r="E194" i="3"/>
  <c r="F194" i="3"/>
  <c r="F78" i="3"/>
  <c r="E78" i="3"/>
  <c r="E107" i="3"/>
  <c r="F107" i="3"/>
  <c r="F28" i="3"/>
  <c r="E28" i="3"/>
  <c r="F156" i="3"/>
  <c r="E156" i="3"/>
  <c r="F150" i="3"/>
  <c r="E150" i="3"/>
  <c r="F71" i="3"/>
  <c r="E71" i="3"/>
  <c r="F135" i="3"/>
  <c r="E135" i="3"/>
  <c r="F199" i="3"/>
  <c r="E199" i="3"/>
  <c r="E160" i="3"/>
  <c r="F160" i="3"/>
  <c r="E49" i="3"/>
  <c r="F49" i="3"/>
  <c r="E153" i="3"/>
  <c r="F153" i="3"/>
  <c r="E82" i="3"/>
  <c r="F82" i="3"/>
  <c r="F202" i="3"/>
  <c r="E202" i="3"/>
  <c r="F109" i="3"/>
  <c r="E109" i="3"/>
  <c r="F30" i="3"/>
  <c r="E30" i="3"/>
  <c r="F32" i="3"/>
  <c r="E32" i="3"/>
  <c r="F144" i="3"/>
  <c r="E144" i="3"/>
  <c r="E137" i="3"/>
  <c r="F137" i="3"/>
  <c r="E74" i="3"/>
  <c r="F74" i="3"/>
  <c r="F13" i="3"/>
  <c r="E13" i="3"/>
  <c r="F149" i="3"/>
  <c r="E149" i="3"/>
  <c r="E94" i="3"/>
  <c r="F94" i="3"/>
  <c r="F51" i="3"/>
  <c r="E51" i="3"/>
  <c r="E115" i="3"/>
  <c r="F115" i="3"/>
  <c r="E179" i="3"/>
  <c r="F179" i="3"/>
  <c r="F36" i="3"/>
  <c r="E36" i="3"/>
  <c r="F100" i="3"/>
  <c r="E100" i="3"/>
  <c r="F164" i="3"/>
  <c r="E164" i="3"/>
  <c r="F182" i="3"/>
  <c r="E182" i="3"/>
  <c r="F166" i="3"/>
  <c r="E166" i="3"/>
  <c r="E63" i="3"/>
  <c r="F63" i="3"/>
  <c r="E191" i="3"/>
  <c r="F191" i="3"/>
  <c r="F41" i="3"/>
  <c r="E41" i="3"/>
  <c r="E66" i="3"/>
  <c r="F66" i="3"/>
  <c r="F14" i="3"/>
  <c r="E14" i="3"/>
  <c r="F128" i="3"/>
  <c r="E128" i="3"/>
  <c r="E58" i="3"/>
  <c r="F58" i="3"/>
  <c r="F133" i="3"/>
  <c r="E133" i="3"/>
  <c r="F43" i="3"/>
  <c r="E43" i="3"/>
  <c r="E171" i="3"/>
  <c r="F171" i="3"/>
  <c r="F92" i="3"/>
  <c r="E92" i="3"/>
  <c r="E174" i="3"/>
  <c r="F174" i="3"/>
  <c r="F15" i="3"/>
  <c r="E15" i="3"/>
  <c r="E79" i="3"/>
  <c r="F79" i="3"/>
  <c r="F143" i="3"/>
  <c r="E143" i="3"/>
  <c r="E56" i="3"/>
  <c r="F56" i="3"/>
  <c r="F176" i="3"/>
  <c r="E176" i="3"/>
  <c r="F57" i="3"/>
  <c r="E57" i="3"/>
  <c r="E169" i="3"/>
  <c r="F169" i="3"/>
  <c r="E98" i="3"/>
  <c r="F98" i="3"/>
  <c r="F5" i="3"/>
  <c r="E5" i="3"/>
  <c r="F125" i="3"/>
  <c r="E125" i="3"/>
  <c r="F38" i="3"/>
  <c r="E38" i="3"/>
  <c r="E40" i="3"/>
  <c r="F40" i="3"/>
  <c r="E168" i="3"/>
  <c r="F168" i="3"/>
  <c r="F161" i="3"/>
  <c r="E161" i="3"/>
  <c r="F90" i="3"/>
  <c r="E90" i="3"/>
  <c r="F29" i="3"/>
  <c r="E29" i="3"/>
  <c r="F165" i="3"/>
  <c r="E165" i="3"/>
  <c r="F102" i="3"/>
  <c r="E102" i="3"/>
  <c r="F59" i="3"/>
  <c r="E59" i="3"/>
  <c r="F123" i="3"/>
  <c r="E123" i="3"/>
  <c r="F187" i="3"/>
  <c r="E187" i="3"/>
  <c r="F44" i="3"/>
  <c r="E44" i="3"/>
  <c r="F108" i="3"/>
  <c r="E108" i="3"/>
  <c r="F172" i="3"/>
  <c r="E172" i="3"/>
  <c r="F110" i="3"/>
  <c r="E110" i="3"/>
  <c r="F39" i="3"/>
  <c r="E39" i="3"/>
  <c r="F23" i="3"/>
  <c r="E23" i="3"/>
  <c r="F87" i="3"/>
  <c r="E87" i="3"/>
  <c r="F151" i="3"/>
  <c r="E151" i="3"/>
  <c r="F80" i="3"/>
  <c r="E80" i="3"/>
  <c r="E184" i="3"/>
  <c r="F184" i="3"/>
  <c r="F65" i="3"/>
  <c r="E65" i="3"/>
  <c r="E185" i="3"/>
  <c r="F185" i="3"/>
  <c r="E114" i="3"/>
  <c r="F114" i="3"/>
  <c r="F21" i="3"/>
  <c r="E21" i="3"/>
  <c r="F141" i="3"/>
  <c r="E141" i="3"/>
  <c r="F54" i="3"/>
  <c r="E54" i="3"/>
  <c r="F48" i="3"/>
  <c r="E48" i="3"/>
  <c r="E192" i="3"/>
  <c r="F192" i="3"/>
  <c r="E177" i="3"/>
  <c r="F177" i="3"/>
  <c r="E106" i="3"/>
  <c r="F106" i="3"/>
  <c r="F45" i="3"/>
  <c r="E45" i="3"/>
  <c r="F189" i="3"/>
  <c r="E189" i="3"/>
  <c r="F118" i="3"/>
  <c r="E118" i="3"/>
  <c r="E67" i="3"/>
  <c r="F67" i="3"/>
  <c r="E131" i="3"/>
  <c r="F131" i="3"/>
  <c r="E195" i="3"/>
  <c r="F195" i="3"/>
  <c r="F52" i="3"/>
  <c r="E52" i="3"/>
  <c r="F116" i="3"/>
  <c r="E116" i="3"/>
  <c r="F180" i="3"/>
  <c r="E180" i="3"/>
  <c r="F7" i="3"/>
  <c r="E7" i="3"/>
  <c r="F31" i="3"/>
  <c r="E31" i="3"/>
  <c r="E95" i="3"/>
  <c r="F95" i="3"/>
  <c r="E159" i="3"/>
  <c r="F159" i="3"/>
  <c r="E96" i="3"/>
  <c r="F96" i="3"/>
  <c r="E200" i="3"/>
  <c r="F200" i="3"/>
  <c r="F81" i="3"/>
  <c r="E81" i="3"/>
  <c r="E201" i="3"/>
  <c r="F201" i="3"/>
  <c r="F122" i="3"/>
  <c r="E122" i="3"/>
  <c r="F37" i="3"/>
  <c r="E37" i="3"/>
  <c r="F157" i="3"/>
  <c r="E157" i="3"/>
  <c r="F70" i="3"/>
  <c r="E70" i="3"/>
  <c r="E64" i="3"/>
  <c r="F64" i="3"/>
  <c r="F25" i="3"/>
  <c r="E25" i="3"/>
  <c r="F193" i="3"/>
  <c r="E193" i="3"/>
  <c r="E130" i="3"/>
  <c r="F130" i="3"/>
  <c r="F69" i="3"/>
  <c r="E69" i="3"/>
  <c r="F6" i="3"/>
  <c r="E6" i="3"/>
  <c r="E11" i="3"/>
  <c r="F11" i="3"/>
  <c r="E75" i="3"/>
  <c r="F75" i="3"/>
  <c r="E139" i="3"/>
  <c r="F139" i="3"/>
  <c r="E3" i="3"/>
  <c r="F3" i="3"/>
  <c r="F60" i="3"/>
  <c r="E60" i="3"/>
  <c r="F124" i="3"/>
  <c r="E124" i="3"/>
  <c r="F188" i="3"/>
  <c r="E188" i="3"/>
  <c r="F134" i="3"/>
  <c r="E134" i="3"/>
  <c r="F203" i="3" l="1"/>
  <c r="E203" i="3"/>
  <c r="G6" i="3" l="1"/>
  <c r="H6" i="3" l="1"/>
  <c r="H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<sst xmlns="http://schemas.openxmlformats.org/spreadsheetml/2006/main" count="2412" uniqueCount="177">
  <si>
    <t>PR. 2 Analyzer</t>
  </si>
  <si>
    <r>
      <rPr>
        <b/>
        <sz val="11"/>
        <color theme="1"/>
        <rFont val="Calibri"/>
        <family val="2"/>
      </rPr>
      <t xml:space="preserve">Topics:
</t>
    </r>
    <r>
      <rPr>
        <sz val="11"/>
        <color theme="1"/>
        <rFont val="Calibri"/>
        <family val="2"/>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family val="2"/>
      </rPr>
      <t>Main Tasks:</t>
    </r>
    <r>
      <rPr>
        <sz val="11"/>
        <color rgb="FF38761D"/>
        <rFont val="Calibri"/>
        <family val="2"/>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family val="2"/>
      </rPr>
      <t xml:space="preserve">
</t>
    </r>
    <r>
      <rPr>
        <b/>
        <sz val="11"/>
        <color theme="1"/>
        <rFont val="Calibri"/>
        <family val="2"/>
      </rPr>
      <t xml:space="preserve">Deliverable:
</t>
    </r>
    <r>
      <rPr>
        <sz val="11"/>
        <color theme="1"/>
        <rFont val="Calibri"/>
        <family val="2"/>
      </rPr>
      <t>Complete the given worksheet by applying the required formulas in respective sheets.</t>
    </r>
  </si>
  <si>
    <t>Customer_ID</t>
  </si>
  <si>
    <t>Customer_Name</t>
  </si>
  <si>
    <t>Region</t>
  </si>
  <si>
    <t>Product_Category</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</si>
  <si>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</si>
  <si>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</si>
  <si>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</si>
  <si>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</si>
  <si>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</si>
  <si>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</si>
  <si>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</si>
  <si>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</si>
  <si>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</si>
  <si>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</si>
  <si>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</si>
  <si>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</si>
  <si>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</si>
  <si>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</si>
  <si>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</si>
  <si>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</si>
  <si>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</si>
  <si>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</si>
  <si>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</si>
  <si>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</si>
  <si>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</si>
  <si>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</si>
  <si>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</si>
  <si>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</si>
  <si>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</si>
  <si>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</si>
  <si>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</si>
  <si>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</si>
  <si>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</si>
  <si>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</si>
  <si>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</si>
  <si>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</si>
  <si>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</si>
  <si>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</si>
  <si>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</si>
  <si>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</si>
  <si>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</si>
  <si>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</si>
  <si>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</si>
  <si>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</si>
  <si>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</si>
  <si>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</si>
  <si>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</si>
  <si>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</si>
  <si>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</si>
  <si>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</si>
  <si>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</si>
  <si>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</si>
  <si>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</si>
  <si>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</si>
  <si>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</si>
  <si>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</si>
  <si>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</si>
  <si>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</si>
  <si>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</si>
  <si>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</si>
  <si>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</si>
  <si>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</si>
  <si>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</si>
  <si>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</si>
  <si>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</si>
  <si>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</si>
  <si>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</si>
  <si>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</si>
  <si>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</si>
  <si>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</si>
  <si>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</si>
  <si>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</si>
  <si>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</si>
  <si>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</si>
  <si>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</si>
  <si>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Sales/Purchase</t>
  </si>
  <si>
    <t>NOTE</t>
  </si>
  <si>
    <t>1. Conditional Formatting on Top 10 …......... Used "=Large" gives top value….......... synatx is =large(range, top n values)</t>
  </si>
  <si>
    <t>Row Labels</t>
  </si>
  <si>
    <t>Grand Total</t>
  </si>
  <si>
    <t>Sum of Sales/Purchase</t>
  </si>
  <si>
    <t>8. Pivot table (region vs sales)….....used pivot table direclty…....and created chart using "pivot charts"….....bar chart used to show comparision between regions sales</t>
  </si>
  <si>
    <t>8. Pivot table (region vs sales)….....used pivot table direclty…....and created chart using "pivot charts"….....pie chart used to show distribution of sales by product</t>
  </si>
  <si>
    <t>West Region have highest Sales Recorded</t>
  </si>
  <si>
    <t>Books are sold more and have highest sales proportion</t>
  </si>
  <si>
    <t>2024</t>
  </si>
  <si>
    <t>2025</t>
  </si>
  <si>
    <t>Qtr2</t>
  </si>
  <si>
    <t>Qtr3</t>
  </si>
  <si>
    <t>Qtr4</t>
  </si>
  <si>
    <t>Apr</t>
  </si>
  <si>
    <t>May</t>
  </si>
  <si>
    <t>Jun</t>
  </si>
  <si>
    <t>Qtr1</t>
  </si>
  <si>
    <t>Jul</t>
  </si>
  <si>
    <t>Aug</t>
  </si>
  <si>
    <t>Sep</t>
  </si>
  <si>
    <t>Oct</t>
  </si>
  <si>
    <t>Nov</t>
  </si>
  <si>
    <t>Dec</t>
  </si>
  <si>
    <t>Jan</t>
  </si>
  <si>
    <t>Feb</t>
  </si>
  <si>
    <t>Mar</t>
  </si>
  <si>
    <t>8. Pivot table (region vs sales)….....used pivot table direclty…....and created chart using "pivot charts"….....line chart used as there are time lines</t>
  </si>
  <si>
    <t>The year, month, detailed date all can be done by the left side "=" and "-" button</t>
  </si>
  <si>
    <t>Also includes Instruction 9</t>
  </si>
  <si>
    <t>X</t>
  </si>
  <si>
    <t>Y</t>
  </si>
  <si>
    <t>Mean (of X)</t>
  </si>
  <si>
    <t>Mean (of Y)</t>
  </si>
  <si>
    <t>Deviations (of X)</t>
  </si>
  <si>
    <t>Deviations (of Y)</t>
  </si>
  <si>
    <t>Product of Deviations</t>
  </si>
  <si>
    <t>Square of Deviations (of X)</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</si>
  <si>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</si>
  <si>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</si>
  <si>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</si>
  <si>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</si>
  <si>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</si>
  <si>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</si>
  <si>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</si>
  <si>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</si>
  <si>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</si>
  <si>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</si>
  <si>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</si>
  <si>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</si>
  <si>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</si>
  <si>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</si>
  <si>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</si>
  <si>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</si>
  <si>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</si>
  <si>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</si>
  <si>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</si>
  <si>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</si>
  <si>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</si>
  <si>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</si>
  <si>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</si>
  <si>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</si>
  <si>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t>
  </si>
  <si>
    <t>Y=mX+c</t>
  </si>
  <si>
    <t>Enter Sales BELOW to Predict Profit</t>
  </si>
  <si>
    <t>3. Performed linear regression of profit vs sales…..sales is independent and profit(Y) is dependent….manual and data analysis tool used</t>
  </si>
  <si>
    <t>6. Time stamp column using =now()…..updates each time you enter, deduct or change something in file</t>
  </si>
  <si>
    <t>Column1</t>
  </si>
  <si>
    <t>Column2</t>
  </si>
  <si>
    <t>Column3</t>
  </si>
  <si>
    <t>Column4</t>
  </si>
  <si>
    <t>Mean</t>
  </si>
  <si>
    <t>Median</t>
  </si>
  <si>
    <t>Mode</t>
  </si>
  <si>
    <t>Standard Deviation</t>
  </si>
  <si>
    <t>Sample Variance</t>
  </si>
  <si>
    <t>Kurtosis</t>
  </si>
  <si>
    <t>Skewness</t>
  </si>
  <si>
    <t>Range</t>
  </si>
  <si>
    <t>Minimum</t>
  </si>
  <si>
    <t>Maximum</t>
  </si>
  <si>
    <t>Sum</t>
  </si>
  <si>
    <t>Count</t>
  </si>
  <si>
    <t>Largest(1)</t>
  </si>
  <si>
    <t>Smallest(1)</t>
  </si>
  <si>
    <t>Confidence Level(95.0%)</t>
  </si>
  <si>
    <t>4. Used descreptive Statistics…..used to give summary of data….only used for NUMERIC columns)[blue highlighted]…green highlighted are used as of now.</t>
  </si>
  <si>
    <t>Time Stamp</t>
  </si>
  <si>
    <t>Month List</t>
  </si>
  <si>
    <t>Montly Sales</t>
  </si>
  <si>
    <t>Just month and year</t>
  </si>
  <si>
    <t>5. Conditional Formatting arrows applies…..montly sales growth require montly sum of sales….all unique months and sum of sales with condition</t>
  </si>
  <si>
    <t>2. what if requires formula so enters formula and different discounts and profit</t>
  </si>
  <si>
    <t>High Value Customer</t>
  </si>
  <si>
    <t>Max</t>
  </si>
  <si>
    <t>7. hight value customers used max to find hightest profit and than used index and match</t>
  </si>
  <si>
    <t>DASHBOARD</t>
  </si>
  <si>
    <t>Total Sales</t>
  </si>
  <si>
    <t>10. Dashborads Created with 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</si>
</sst>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1"/>
      <color theme="1"/>
      <name val="Calibri"/>
      <family val="2"/>
      <scheme val="minor"/>
    </font>
    <font>
      <sz val="11"/>
      <color theme="1"/>
      <name val="Calibri"/>
      <family val="2"/>
      <scheme val="minor"/>
    </font>
    <font>
      <b/>
      <sz val="11"/>
      <color rgb="FF38761D"/>
      <name val="Calibri"/>
      <family val="2"/>
    </font>
    <font>
      <sz val="11"/>
      <color rgb="FF38761D"/>
      <name val="Calibri"/>
      <family val="2"/>
    </font>
    <font>
      <sz val="8"/>
      <color theme="1"/>
      <name val="Calibri"/>
      <family val="2"/>
      <scheme val="minor"/>
    </font>
    <font>
      <b/>
      <sz val="14"/>
      <color theme="1"/>
      <name val="Calibri"/>
      <family val="2"/>
      <scheme val="minor"/>
    </font>
    <font>
      <i/>
      <sz val="11"/>
      <color theme="1"/>
      <name val="Calibri"/>
      <family val="2"/>
      <scheme val="minor"/>
    </font>
    <font>
      <b/>
      <sz val="12"/>
      <color theme="1"/>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sz val="14"/>
      <color theme="1"/>
      <name val="Calibri"/>
      <family val="2"/>
      <scheme val="minor"/>
    </font>
    <font>
      <b/>
      <sz val="36"/>
      <color theme="1"/>
      <name val="Angsana New"/>
      <family val="1"/>
      <charset val="222"/>
    </font>
    <font>
      <b/>
      <sz val="20"/>
      <color theme="0"/>
      <name val="Calibri"/>
      <family val="2"/>
      <scheme val="minor"/>
    </font>
    <font>
      <sz val="16"/>
      <color theme="0"/>
      <name val="Calibri"/>
      <family val="2"/>
      <scheme val="minor"/>
    </font>
  </fonts>
  <fills count="13">
    <fill>
      <patternFill patternType="none"/>
    </fill>
    <fill>
      <patternFill patternType="gray125"/>
    </fill>
    <fill>
      <patternFill patternType="solid">
        <fgColor rgb="FFFFF2CC"/>
        <bgColor rgb="FFFFF2CC"/>
      </patternFill>
    </fill>
    <fill>
      <patternFill patternType="solid">
        <fgColor theme="9"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1" tint="0.49998474074526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8">
    <xf numFmtId="0" fontId="0" fillId="0" borderId="0" xfId="0"/>
    <xf numFmtId="0" fontId="4" fillId="2" borderId="1" xfId="0" applyFont="1" applyFill="1" applyBorder="1" applyAlignment="1">
      <alignment horizontal="center"/>
    </xf>
    <xf numFmtId="0" fontId="5" fillId="0" borderId="0" xfId="0" applyFont="1"/>
    <xf numFmtId="0" fontId="6" fillId="0" borderId="0" xfId="0" applyFont="1"/>
    <xf numFmtId="0" fontId="7" fillId="0" borderId="0" xfId="0" applyFont="1"/>
    <xf numFmtId="164" fontId="7" fillId="0" borderId="0" xfId="0" applyNumberFormat="1" applyFont="1"/>
    <xf numFmtId="0" fontId="5" fillId="0" borderId="1" xfId="0" applyFont="1" applyBorder="1" applyAlignment="1">
      <alignment wrapText="1"/>
    </xf>
    <xf numFmtId="0" fontId="5" fillId="0" borderId="0" xfId="0" applyFont="1" applyAlignment="1">
      <alignment wrapText="1"/>
    </xf>
    <xf numFmtId="0" fontId="0" fillId="0" borderId="0" xfId="0" applyAlignment="1">
      <alignment wrapText="1"/>
    </xf>
    <xf numFmtId="0" fontId="6" fillId="3" borderId="2" xfId="0" applyFont="1" applyFill="1" applyBorder="1"/>
    <xf numFmtId="0" fontId="0" fillId="0" borderId="0" xfId="0" pivotButton="1"/>
    <xf numFmtId="0" fontId="0" fillId="0" borderId="0" xfId="0" applyAlignment="1">
      <alignment horizontal="left"/>
    </xf>
    <xf numFmtId="0" fontId="0" fillId="0" borderId="2" xfId="0" pivotButton="1" applyBorder="1"/>
    <xf numFmtId="0" fontId="0" fillId="0" borderId="2" xfId="0" applyBorder="1"/>
    <xf numFmtId="0" fontId="0" fillId="0" borderId="2" xfId="0" applyBorder="1" applyAlignment="1">
      <alignment horizontal="left"/>
    </xf>
    <xf numFmtId="0" fontId="0" fillId="0" borderId="0" xfId="0" applyAlignment="1">
      <alignment horizontal="left" indent="1"/>
    </xf>
    <xf numFmtId="0" fontId="0" fillId="0" borderId="0" xfId="0" applyAlignment="1">
      <alignment horizontal="left" indent="2"/>
    </xf>
    <xf numFmtId="0" fontId="11" fillId="0" borderId="0" xfId="0" applyFont="1" applyAlignment="1">
      <alignment horizontal="center" vertical="center"/>
    </xf>
    <xf numFmtId="0" fontId="0" fillId="0" borderId="2" xfId="0" applyBorder="1" applyAlignment="1">
      <alignment horizontal="center" vertical="center"/>
    </xf>
    <xf numFmtId="0" fontId="0" fillId="0" borderId="4" xfId="0" applyBorder="1"/>
    <xf numFmtId="0" fontId="12" fillId="0" borderId="5" xfId="0" applyFont="1" applyBorder="1" applyAlignment="1">
      <alignment horizontal="center"/>
    </xf>
    <xf numFmtId="0" fontId="12" fillId="0" borderId="5" xfId="0" applyFont="1" applyBorder="1" applyAlignment="1">
      <alignment horizontal="centerContinuous"/>
    </xf>
    <xf numFmtId="0" fontId="16" fillId="0" borderId="0" xfId="0" applyFont="1" applyAlignment="1">
      <alignment horizontal="center" vertical="center" wrapText="1"/>
    </xf>
    <xf numFmtId="0" fontId="15" fillId="0" borderId="2" xfId="0" applyFont="1" applyBorder="1" applyAlignment="1">
      <alignment horizontal="center" vertical="center" wrapText="1"/>
    </xf>
    <xf numFmtId="0" fontId="13" fillId="0" borderId="2" xfId="0" applyFont="1" applyBorder="1" applyAlignment="1">
      <alignment horizontal="center" vertical="center"/>
    </xf>
    <xf numFmtId="0" fontId="6" fillId="0" borderId="2" xfId="0" applyFont="1" applyBorder="1" applyAlignment="1">
      <alignment wrapText="1"/>
    </xf>
    <xf numFmtId="0" fontId="6" fillId="0" borderId="2" xfId="0" applyFont="1" applyBorder="1"/>
    <xf numFmtId="0" fontId="0" fillId="3" borderId="2" xfId="0" applyFill="1" applyBorder="1"/>
    <xf numFmtId="0" fontId="0" fillId="6" borderId="2" xfId="0" applyFill="1" applyBorder="1"/>
    <xf numFmtId="14" fontId="0" fillId="0" borderId="0" xfId="0" applyNumberFormat="1"/>
    <xf numFmtId="2" fontId="0" fillId="0" borderId="0" xfId="0" applyNumberFormat="1"/>
    <xf numFmtId="0" fontId="2" fillId="0" borderId="2" xfId="0" applyFont="1" applyBorder="1"/>
    <xf numFmtId="2" fontId="0" fillId="7" borderId="2" xfId="0" applyNumberFormat="1" applyFill="1" applyBorder="1"/>
    <xf numFmtId="0" fontId="6" fillId="8" borderId="2" xfId="0" applyFont="1" applyFill="1" applyBorder="1" applyAlignment="1">
      <alignment horizontal="center" vertical="center"/>
    </xf>
    <xf numFmtId="22" fontId="6" fillId="8" borderId="2" xfId="0" applyNumberFormat="1" applyFont="1" applyFill="1" applyBorder="1" applyAlignment="1">
      <alignment horizontal="center" vertical="center"/>
    </xf>
    <xf numFmtId="0" fontId="6" fillId="4" borderId="2" xfId="0" applyFont="1" applyFill="1" applyBorder="1"/>
    <xf numFmtId="0" fontId="7" fillId="4" borderId="2" xfId="0" applyFont="1" applyFill="1" applyBorder="1"/>
    <xf numFmtId="0" fontId="0" fillId="4" borderId="2" xfId="0" applyFill="1" applyBorder="1"/>
    <xf numFmtId="0" fontId="14" fillId="4" borderId="2" xfId="0" applyFont="1" applyFill="1" applyBorder="1"/>
    <xf numFmtId="0" fontId="14" fillId="9" borderId="2" xfId="0" applyFont="1" applyFill="1" applyBorder="1"/>
    <xf numFmtId="0" fontId="14" fillId="10" borderId="2" xfId="0" applyFont="1" applyFill="1" applyBorder="1"/>
    <xf numFmtId="0" fontId="6" fillId="3" borderId="3" xfId="0" applyFont="1" applyFill="1" applyBorder="1"/>
    <xf numFmtId="0" fontId="2" fillId="10" borderId="2" xfId="0" applyFont="1" applyFill="1" applyBorder="1"/>
    <xf numFmtId="0" fontId="0" fillId="10" borderId="2" xfId="0" applyFill="1" applyBorder="1"/>
    <xf numFmtId="0" fontId="0" fillId="11" borderId="0" xfId="0" applyFill="1"/>
    <xf numFmtId="0" fontId="3" fillId="3" borderId="2" xfId="0" applyFont="1" applyFill="1" applyBorder="1" applyAlignment="1">
      <alignment horizontal="center" wrapText="1"/>
    </xf>
    <xf numFmtId="0" fontId="2" fillId="3" borderId="2" xfId="0" applyFont="1" applyFill="1" applyBorder="1" applyAlignment="1">
      <alignment horizontal="center" wrapText="1"/>
    </xf>
    <xf numFmtId="0" fontId="13" fillId="10" borderId="2" xfId="0" applyFont="1" applyFill="1" applyBorder="1" applyAlignment="1">
      <alignment horizontal="center"/>
    </xf>
    <xf numFmtId="0" fontId="17" fillId="4" borderId="2" xfId="0" applyFont="1" applyFill="1" applyBorder="1" applyAlignment="1">
      <alignment horizontal="center"/>
    </xf>
    <xf numFmtId="0" fontId="10" fillId="5" borderId="2" xfId="0" applyFont="1" applyFill="1" applyBorder="1" applyAlignment="1">
      <alignment horizontal="center" wrapText="1"/>
    </xf>
    <xf numFmtId="0" fontId="3" fillId="4" borderId="2" xfId="0" applyFont="1" applyFill="1" applyBorder="1" applyAlignment="1">
      <alignment horizontal="center" wrapText="1"/>
    </xf>
    <xf numFmtId="0" fontId="0" fillId="4" borderId="2" xfId="0" applyFill="1" applyBorder="1" applyAlignment="1">
      <alignment horizontal="center" wrapText="1"/>
    </xf>
    <xf numFmtId="0" fontId="2" fillId="3" borderId="2" xfId="0" applyFont="1" applyFill="1" applyBorder="1" applyAlignment="1">
      <alignment horizontal="center" vertical="center" wrapText="1"/>
    </xf>
    <xf numFmtId="0" fontId="6" fillId="0" borderId="2" xfId="0" applyFont="1" applyBorder="1" applyAlignment="1">
      <alignment horizontal="center"/>
    </xf>
    <xf numFmtId="0" fontId="18" fillId="11" borderId="0" xfId="0" applyFont="1" applyFill="1" applyAlignment="1">
      <alignment horizontal="center"/>
    </xf>
    <xf numFmtId="0" fontId="19" fillId="12" borderId="2" xfId="0" applyFont="1" applyFill="1" applyBorder="1" applyAlignment="1">
      <alignment horizontal="center"/>
    </xf>
    <xf numFmtId="0" fontId="20" fillId="12" borderId="2" xfId="0" applyFont="1" applyFill="1" applyBorder="1" applyAlignment="1">
      <alignment horizontal="center"/>
    </xf>
    <xf numFmtId="0" fontId="1" fillId="3" borderId="2" xfId="0" applyFont="1" applyFill="1" applyBorder="1" applyAlignment="1">
      <alignment horizontal="center" wrapText="1"/>
    </xf>
  </cellXfs>
  <cellStyles count="1">
    <cellStyle name="Normal" xfId="0" builtinId="0"/>
  </cellStyles>
  <dxfs count="13">
    <dxf>
      <fill>
        <gradientFill degree="90">
          <stop position="0">
            <color theme="9" tint="0.59999389629810485"/>
          </stop>
          <stop position="1">
            <color theme="5" tint="0.80001220740379042"/>
          </stop>
        </gradient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Tables!Region vs Sales</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Tables'!$A$4:$A$9</c:f>
              <c:strCache>
                <c:ptCount val="5"/>
                <c:pt idx="0">
                  <c:v>Central</c:v>
                </c:pt>
                <c:pt idx="1">
                  <c:v>East</c:v>
                </c:pt>
                <c:pt idx="2">
                  <c:v>North</c:v>
                </c:pt>
                <c:pt idx="3">
                  <c:v>South</c:v>
                </c:pt>
                <c:pt idx="4">
                  <c:v>West</c:v>
                </c:pt>
              </c:strCache>
            </c:strRef>
          </c:cat>
          <c:val>
            <c:numRef>
              <c:f>'Pivot Tables'!$B$4:$B$9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A3A8-4276-BEE5-E5BA160C1C45}"/>
            </c:ext>
          </c:extLst>
        </c:ser>
        <c:dLbls>
          <c:showLegendKey val="0"/>
          <c:showVal val="0"/>
          <c:showCatName val="0"/>
          <c:showSerName val="0"/>
          <c:showPercent val="0"/>
          <c:showBubbleSize val="0"/>
        </c:dLbls>
        <c:gapWidth val="100"/>
        <c:overlap val="-24"/>
        <c:axId val="677895376"/>
        <c:axId val="677895736"/>
      </c:barChart>
      <c:catAx>
        <c:axId val="677895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7895736"/>
        <c:crosses val="autoZero"/>
        <c:auto val="1"/>
        <c:lblAlgn val="ctr"/>
        <c:lblOffset val="100"/>
        <c:noMultiLvlLbl val="0"/>
      </c:catAx>
      <c:valAx>
        <c:axId val="677895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789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Tables!Product vs Sales</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'Pivot Tables'!$B$20</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CDA-45D5-AFB9-CC496949C2E5}"/>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CDA-45D5-AFB9-CC496949C2E5}"/>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CDA-45D5-AFB9-CC496949C2E5}"/>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CDA-45D5-AFB9-CC496949C2E5}"/>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CDA-45D5-AFB9-CC496949C2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Tables'!$A$21:$A$26</c:f>
              <c:strCache>
                <c:ptCount val="5"/>
                <c:pt idx="0">
                  <c:v>Books</c:v>
                </c:pt>
                <c:pt idx="1">
                  <c:v>Clothing</c:v>
                </c:pt>
                <c:pt idx="2">
                  <c:v>Electronics</c:v>
                </c:pt>
                <c:pt idx="3">
                  <c:v>Furniture</c:v>
                </c:pt>
                <c:pt idx="4">
                  <c:v>Office Supplies</c:v>
                </c:pt>
              </c:strCache>
            </c:strRef>
          </c:cat>
          <c:val>
            <c:numRef>
              <c:f>'Pivot Tables'!$B$21:$B$26</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F136-4E28-B641-D8820D6393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Tables'!$A$37:$A$57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Qtr2</c:v>
                  </c:pt>
                  <c:pt idx="3">
                    <c:v>Qtr3</c:v>
                  </c:pt>
                  <c:pt idx="6">
                    <c:v>Qtr4</c:v>
                  </c:pt>
                  <c:pt idx="9">
                    <c:v>Qtr1</c:v>
                  </c:pt>
                  <c:pt idx="12">
                    <c:v>Qtr2</c:v>
                  </c:pt>
                </c:lvl>
                <c:lvl>
                  <c:pt idx="0">
                    <c:v>2024</c:v>
                  </c:pt>
                  <c:pt idx="9">
                    <c:v>2025</c:v>
                  </c:pt>
                </c:lvl>
              </c:multiLvlStrCache>
            </c:multiLvlStrRef>
          </c:cat>
          <c:val>
            <c:numRef>
              <c:f>'Pivot Tables'!$B$37:$B$57</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4428-425D-A0E2-C38CC4FC7DCA}"/>
            </c:ext>
          </c:extLst>
        </c:ser>
        <c:dLbls>
          <c:showLegendKey val="0"/>
          <c:showVal val="0"/>
          <c:showCatName val="0"/>
          <c:showSerName val="0"/>
          <c:showPercent val="0"/>
          <c:showBubbleSize val="0"/>
        </c:dLbls>
        <c:marker val="1"/>
        <c:smooth val="0"/>
        <c:axId val="682674336"/>
        <c:axId val="682677936"/>
      </c:lineChart>
      <c:catAx>
        <c:axId val="68267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77936"/>
        <c:crosses val="autoZero"/>
        <c:auto val="1"/>
        <c:lblAlgn val="ctr"/>
        <c:lblOffset val="100"/>
        <c:noMultiLvlLbl val="0"/>
      </c:catAx>
      <c:valAx>
        <c:axId val="68267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7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Tables!Region vs Sales</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 Tables'!$A$4:$A$9</c:f>
              <c:strCache>
                <c:ptCount val="5"/>
                <c:pt idx="0">
                  <c:v>Central</c:v>
                </c:pt>
                <c:pt idx="1">
                  <c:v>East</c:v>
                </c:pt>
                <c:pt idx="2">
                  <c:v>North</c:v>
                </c:pt>
                <c:pt idx="3">
                  <c:v>South</c:v>
                </c:pt>
                <c:pt idx="4">
                  <c:v>West</c:v>
                </c:pt>
              </c:strCache>
            </c:strRef>
          </c:cat>
          <c:val>
            <c:numRef>
              <c:f>'Pivot Tables'!$B$4:$B$9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8DAB-4FA1-B4D9-96BB81F8368D}"/>
            </c:ext>
          </c:extLst>
        </c:ser>
        <c:dLbls>
          <c:showLegendKey val="0"/>
          <c:showVal val="0"/>
          <c:showCatName val="0"/>
          <c:showSerName val="0"/>
          <c:showPercent val="0"/>
          <c:showBubbleSize val="0"/>
        </c:dLbls>
        <c:gapWidth val="100"/>
        <c:overlap val="-24"/>
        <c:axId val="677895376"/>
        <c:axId val="677895736"/>
      </c:barChart>
      <c:catAx>
        <c:axId val="6778953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7895736"/>
        <c:crosses val="autoZero"/>
        <c:auto val="1"/>
        <c:lblAlgn val="ctr"/>
        <c:lblOffset val="100"/>
        <c:noMultiLvlLbl val="0"/>
      </c:catAx>
      <c:valAx>
        <c:axId val="6778957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789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Tables!Product vs Sales</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'Pivot Tables'!$B$20</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CBD-45E5-94D4-DEE4E73A8397}"/>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CBD-45E5-94D4-DEE4E73A8397}"/>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CBD-45E5-94D4-DEE4E73A8397}"/>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CBD-45E5-94D4-DEE4E73A8397}"/>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CBD-45E5-94D4-DEE4E73A83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Tables'!$A$21:$A$26</c:f>
              <c:strCache>
                <c:ptCount val="5"/>
                <c:pt idx="0">
                  <c:v>Books</c:v>
                </c:pt>
                <c:pt idx="1">
                  <c:v>Clothing</c:v>
                </c:pt>
                <c:pt idx="2">
                  <c:v>Electronics</c:v>
                </c:pt>
                <c:pt idx="3">
                  <c:v>Furniture</c:v>
                </c:pt>
                <c:pt idx="4">
                  <c:v>Office Supplies</c:v>
                </c:pt>
              </c:strCache>
            </c:strRef>
          </c:cat>
          <c:val>
            <c:numRef>
              <c:f>'Pivot Tables'!$B$21:$B$26</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4CBD-45E5-94D4-DEE4E73A839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176212</xdr:rowOff>
    </xdr:from>
    <xdr:to>
      <xdr:col>10</xdr:col>
      <xdr:colOff>409575</xdr:colOff>
      <xdr:row>15</xdr:row>
      <xdr:rowOff>61912</xdr:rowOff>
    </xdr:to>
    <xdr:graphicFrame macro="">
      <xdr:nvGraphicFramePr>
        <xdr:cNvPr id="2" name="Chart 1">
          <a:extLst>
            <a:ext uri="{FF2B5EF4-FFF2-40B4-BE49-F238E27FC236}">
              <a16:creationId xmlns:a16="http://schemas.microsoft.com/office/drawing/2014/main" id="{5F5DC355-88FC-D3F5-911F-024BBD3FF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17</xdr:row>
      <xdr:rowOff>61912</xdr:rowOff>
    </xdr:from>
    <xdr:to>
      <xdr:col>10</xdr:col>
      <xdr:colOff>409575</xdr:colOff>
      <xdr:row>31</xdr:row>
      <xdr:rowOff>138112</xdr:rowOff>
    </xdr:to>
    <xdr:graphicFrame macro="">
      <xdr:nvGraphicFramePr>
        <xdr:cNvPr id="3" name="Chart 2">
          <a:extLst>
            <a:ext uri="{FF2B5EF4-FFF2-40B4-BE49-F238E27FC236}">
              <a16:creationId xmlns:a16="http://schemas.microsoft.com/office/drawing/2014/main" id="{802E5D00-D6CC-7D85-D0C1-0D9F6BFE6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685800</xdr:colOff>
      <xdr:row>34</xdr:row>
      <xdr:rowOff>157162</xdr:rowOff>
    </xdr:from>
    <xdr:to>
      <xdr:col>10</xdr:col>
      <xdr:colOff>381000</xdr:colOff>
      <xdr:row>49</xdr:row>
      <xdr:rowOff>42862</xdr:rowOff>
    </xdr:to>
    <xdr:graphicFrame macro="">
      <xdr:nvGraphicFramePr>
        <xdr:cNvPr id="4" name="Chart 3">
          <a:extLst>
            <a:ext uri="{FF2B5EF4-FFF2-40B4-BE49-F238E27FC236}">
              <a16:creationId xmlns:a16="http://schemas.microsoft.com/office/drawing/2014/main" id="{9A093661-0335-FDCB-08B7-C51A47F26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577850</xdr:colOff>
      <xdr:row>3</xdr:row>
      <xdr:rowOff>146050</xdr:rowOff>
    </xdr:from>
    <xdr:to>
      <xdr:col>10</xdr:col>
      <xdr:colOff>107950</xdr:colOff>
      <xdr:row>18</xdr:row>
      <xdr:rowOff>57150</xdr:rowOff>
    </xdr:to>
    <xdr:graphicFrame macro="">
      <xdr:nvGraphicFramePr>
        <xdr:cNvPr id="2" name="Chart 1">
          <a:extLst>
            <a:ext uri="{FF2B5EF4-FFF2-40B4-BE49-F238E27FC236}">
              <a16:creationId xmlns:a16="http://schemas.microsoft.com/office/drawing/2014/main" id="{884759E5-E408-4271-A670-F7A211CA3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412750</xdr:colOff>
      <xdr:row>3</xdr:row>
      <xdr:rowOff>127000</xdr:rowOff>
    </xdr:from>
    <xdr:to>
      <xdr:col>19</xdr:col>
      <xdr:colOff>25400</xdr:colOff>
      <xdr:row>18</xdr:row>
      <xdr:rowOff>44450</xdr:rowOff>
    </xdr:to>
    <xdr:graphicFrame macro="">
      <xdr:nvGraphicFramePr>
        <xdr:cNvPr id="3" name="Chart 2">
          <a:extLst>
            <a:ext uri="{FF2B5EF4-FFF2-40B4-BE49-F238E27FC236}">
              <a16:creationId xmlns:a16="http://schemas.microsoft.com/office/drawing/2014/main" id="{15580424-5433-4860-98DA-12884F95D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558800</xdr:colOff>
      <xdr:row>18</xdr:row>
      <xdr:rowOff>139701</xdr:rowOff>
    </xdr:from>
    <xdr:to>
      <xdr:col>10</xdr:col>
      <xdr:colOff>107950</xdr:colOff>
      <xdr:row>22</xdr:row>
      <xdr:rowOff>127001</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1A95F5CB-D660-4DA8-86CE-B18259EDBCA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558800" y="3454401"/>
              <a:ext cx="564515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412750</xdr:colOff>
      <xdr:row>18</xdr:row>
      <xdr:rowOff>120651</xdr:rowOff>
    </xdr:from>
    <xdr:to>
      <xdr:col>19</xdr:col>
      <xdr:colOff>31750</xdr:colOff>
      <xdr:row>22</xdr:row>
      <xdr:rowOff>152400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F3AFD6E3-FB7B-99F7-7FA4-7406BA6F58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08750" y="3435351"/>
              <a:ext cx="5105400" cy="768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io21" refreshedDate="46065.766586342594" createdVersion="8" refreshedVersion="8" minRefreshableVersion="3" recordCount="200" xr:uid="{EF8DDCFE-6EF3-4999-A15A-39A7F3D4331E}">
  <cacheSource type="worksheet">
    <worksheetSource ref="A1:L201" sheet="Dataset"/>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Purchase"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2100539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r>
  <r>
    <s v="CUST012"/>
    <s v="Robert Anderson"/>
    <x v="0"/>
    <x v="1"/>
    <n v="1101.28"/>
    <n v="3"/>
    <n v="0.2"/>
    <x v="1"/>
    <n v="440.51"/>
  </r>
  <r>
    <s v="CUST017"/>
    <s v="James Taylor"/>
    <x v="1"/>
    <x v="0"/>
    <n v="713.34"/>
    <n v="17"/>
    <n v="0"/>
    <x v="2"/>
    <n v="285.33999999999997"/>
  </r>
  <r>
    <s v="CUST005"/>
    <s v="Robert Anderson"/>
    <x v="2"/>
    <x v="2"/>
    <n v="760.93"/>
    <n v="4"/>
    <n v="0.15"/>
    <x v="2"/>
    <n v="161.69999999999999"/>
  </r>
  <r>
    <s v="CUST030"/>
    <s v="James Wilson"/>
    <x v="3"/>
    <x v="0"/>
    <n v="847"/>
    <n v="12"/>
    <n v="0.2"/>
    <x v="3"/>
    <n v="271.04000000000002"/>
  </r>
  <r>
    <s v="CUST007"/>
    <s v="Michael Anderson"/>
    <x v="3"/>
    <x v="3"/>
    <n v="965.64"/>
    <n v="8"/>
    <n v="0.1"/>
    <x v="4"/>
    <n v="304.18"/>
  </r>
  <r>
    <s v="CUST001"/>
    <s v="Linda Wilson"/>
    <x v="0"/>
    <x v="2"/>
    <n v="1317.53"/>
    <n v="12"/>
    <n v="0.05"/>
    <x v="4"/>
    <n v="312.91000000000003"/>
  </r>
  <r>
    <s v="CUST026"/>
    <s v="Mary Davis"/>
    <x v="1"/>
    <x v="3"/>
    <n v="1074.47"/>
    <n v="6"/>
    <n v="0.2"/>
    <x v="5"/>
    <n v="300.85000000000002"/>
  </r>
  <r>
    <s v="CUST009"/>
    <s v="Linda Jackson"/>
    <x v="4"/>
    <x v="0"/>
    <n v="501.54"/>
    <n v="11"/>
    <n v="0.05"/>
    <x v="5"/>
    <n v="190.59"/>
  </r>
  <r>
    <s v="CUST010"/>
    <s v="David Thomas"/>
    <x v="4"/>
    <x v="1"/>
    <n v="737.31"/>
    <n v="2"/>
    <n v="0.05"/>
    <x v="5"/>
    <n v="350.22"/>
  </r>
  <r>
    <s v="CUST014"/>
    <s v="Emma Davis"/>
    <x v="0"/>
    <x v="4"/>
    <n v="1572.82"/>
    <n v="6"/>
    <n v="0.05"/>
    <x v="6"/>
    <n v="672.38"/>
  </r>
  <r>
    <s v="CUST014"/>
    <s v="David Thomas"/>
    <x v="4"/>
    <x v="0"/>
    <n v="1343.13"/>
    <n v="14"/>
    <n v="0.15"/>
    <x v="7"/>
    <n v="456.66"/>
  </r>
  <r>
    <s v="CUST007"/>
    <s v="Michael Anderson"/>
    <x v="4"/>
    <x v="0"/>
    <n v="1191.58"/>
    <n v="14"/>
    <n v="0.05"/>
    <x v="8"/>
    <n v="452.8"/>
  </r>
  <r>
    <s v="CUST023"/>
    <s v="Robert Anderson"/>
    <x v="0"/>
    <x v="3"/>
    <n v="822.28"/>
    <n v="7"/>
    <n v="0.05"/>
    <x v="8"/>
    <n v="273.41000000000003"/>
  </r>
  <r>
    <s v="CUST029"/>
    <s v="David Smith"/>
    <x v="3"/>
    <x v="3"/>
    <n v="521.66999999999996"/>
    <n v="15"/>
    <n v="0.15"/>
    <x v="9"/>
    <n v="155.19999999999999"/>
  </r>
  <r>
    <s v="CUST005"/>
    <s v="Sarah Anderson"/>
    <x v="2"/>
    <x v="2"/>
    <n v="1502.93"/>
    <n v="14"/>
    <n v="0.2"/>
    <x v="10"/>
    <n v="300.58999999999997"/>
  </r>
  <r>
    <s v="CUST008"/>
    <s v="Robert Anderson"/>
    <x v="2"/>
    <x v="0"/>
    <n v="877.58"/>
    <n v="10"/>
    <n v="0.15"/>
    <x v="11"/>
    <n v="298.38"/>
  </r>
  <r>
    <s v="CUST001"/>
    <s v="Lisa Thomas"/>
    <x v="0"/>
    <x v="0"/>
    <n v="636.70000000000005"/>
    <n v="4"/>
    <n v="0.2"/>
    <x v="11"/>
    <n v="203.74"/>
  </r>
  <r>
    <s v="CUST006"/>
    <s v="Mary Jackson"/>
    <x v="0"/>
    <x v="0"/>
    <n v="1506.14"/>
    <n v="13"/>
    <n v="0.2"/>
    <x v="12"/>
    <n v="481.96"/>
  </r>
  <r>
    <s v="CUST026"/>
    <s v="Mary Davis"/>
    <x v="4"/>
    <x v="2"/>
    <n v="645.02"/>
    <n v="4"/>
    <n v="0"/>
    <x v="13"/>
    <n v="161.26"/>
  </r>
  <r>
    <s v="CUST007"/>
    <s v="Lisa Davis"/>
    <x v="2"/>
    <x v="1"/>
    <n v="953.3"/>
    <n v="11"/>
    <n v="0"/>
    <x v="14"/>
    <n v="476.65"/>
  </r>
  <r>
    <s v="CUST022"/>
    <s v="Robert Anderson"/>
    <x v="3"/>
    <x v="2"/>
    <n v="388.56"/>
    <n v="14"/>
    <n v="0.15"/>
    <x v="15"/>
    <n v="82.57"/>
  </r>
  <r>
    <s v="CUST019"/>
    <s v="Mary Davis"/>
    <x v="0"/>
    <x v="0"/>
    <n v="743.17"/>
    <n v="9"/>
    <n v="0"/>
    <x v="15"/>
    <n v="297.27"/>
  </r>
  <r>
    <s v="CUST023"/>
    <s v="Mary Davis"/>
    <x v="4"/>
    <x v="2"/>
    <n v="706.37"/>
    <n v="6"/>
    <n v="0"/>
    <x v="15"/>
    <n v="176.59"/>
  </r>
  <r>
    <s v="CUST012"/>
    <s v="Mary Davis"/>
    <x v="4"/>
    <x v="4"/>
    <n v="925.31"/>
    <n v="8"/>
    <n v="0.1"/>
    <x v="16"/>
    <n v="374.75"/>
  </r>
  <r>
    <s v="CUST010"/>
    <s v="Linda Brown"/>
    <x v="2"/>
    <x v="2"/>
    <n v="1173.1199999999999"/>
    <n v="18"/>
    <n v="0"/>
    <x v="16"/>
    <n v="293.27999999999997"/>
  </r>
  <r>
    <s v="CUST030"/>
    <s v="John Brown"/>
    <x v="3"/>
    <x v="3"/>
    <n v="675.54"/>
    <n v="17"/>
    <n v="0"/>
    <x v="17"/>
    <n v="236.44"/>
  </r>
  <r>
    <s v="CUST007"/>
    <s v="Robert Anderson"/>
    <x v="4"/>
    <x v="0"/>
    <n v="939.09"/>
    <n v="2"/>
    <n v="0.05"/>
    <x v="18"/>
    <n v="356.85"/>
  </r>
  <r>
    <s v="CUST028"/>
    <s v="Linda Taylor"/>
    <x v="1"/>
    <x v="4"/>
    <n v="983.34"/>
    <n v="19"/>
    <n v="0.1"/>
    <x v="19"/>
    <n v="398.25"/>
  </r>
  <r>
    <s v="CUST028"/>
    <s v="James Wilson"/>
    <x v="2"/>
    <x v="2"/>
    <n v="801.21"/>
    <n v="3"/>
    <n v="0.2"/>
    <x v="19"/>
    <n v="160.24"/>
  </r>
  <r>
    <s v="CUST025"/>
    <s v="David Brown"/>
    <x v="3"/>
    <x v="2"/>
    <n v="1450.71"/>
    <n v="5"/>
    <n v="0.1"/>
    <x v="20"/>
    <n v="326.41000000000003"/>
  </r>
  <r>
    <s v="CUST022"/>
    <s v="David Davis"/>
    <x v="4"/>
    <x v="0"/>
    <n v="1023.21"/>
    <n v="18"/>
    <n v="0.05"/>
    <x v="21"/>
    <n v="388.82"/>
  </r>
  <r>
    <s v="CUST001"/>
    <s v="Mary Jackson"/>
    <x v="0"/>
    <x v="3"/>
    <n v="853.72"/>
    <n v="5"/>
    <n v="0.15"/>
    <x v="21"/>
    <n v="253.98"/>
  </r>
  <r>
    <s v="CUST021"/>
    <s v="Sarah Anderson"/>
    <x v="2"/>
    <x v="2"/>
    <n v="967.89"/>
    <n v="10"/>
    <n v="0.1"/>
    <x v="22"/>
    <n v="217.78"/>
  </r>
  <r>
    <s v="CUST015"/>
    <s v="Linda Taylor"/>
    <x v="3"/>
    <x v="4"/>
    <n v="1200.9000000000001"/>
    <n v="14"/>
    <n v="0.05"/>
    <x v="22"/>
    <n v="513.38"/>
  </r>
  <r>
    <s v="CUST012"/>
    <s v="Michael Anderson"/>
    <x v="0"/>
    <x v="0"/>
    <n v="472.38"/>
    <n v="12"/>
    <n v="0.2"/>
    <x v="22"/>
    <n v="151.16"/>
  </r>
  <r>
    <s v="CUST019"/>
    <s v="David Brown"/>
    <x v="1"/>
    <x v="4"/>
    <n v="840.92"/>
    <n v="9"/>
    <n v="0.05"/>
    <x v="22"/>
    <n v="359.49"/>
  </r>
  <r>
    <s v="CUST028"/>
    <s v="Lisa Davis"/>
    <x v="4"/>
    <x v="3"/>
    <n v="1410.06"/>
    <n v="11"/>
    <n v="0.05"/>
    <x v="23"/>
    <n v="468.84"/>
  </r>
  <r>
    <s v="CUST008"/>
    <s v="Mary Wilson"/>
    <x v="4"/>
    <x v="3"/>
    <n v="773.09"/>
    <n v="13"/>
    <n v="0.15"/>
    <x v="23"/>
    <n v="229.99"/>
  </r>
  <r>
    <s v="CUST016"/>
    <s v="Emma Wilson"/>
    <x v="1"/>
    <x v="0"/>
    <n v="580.42999999999995"/>
    <n v="19"/>
    <n v="0.15"/>
    <x v="24"/>
    <n v="197.35"/>
  </r>
  <r>
    <s v="CUST005"/>
    <s v="David Smith"/>
    <x v="2"/>
    <x v="0"/>
    <n v="1151.21"/>
    <n v="15"/>
    <n v="0.1"/>
    <x v="25"/>
    <n v="414.44"/>
  </r>
  <r>
    <s v="CUST028"/>
    <s v="James Wilson"/>
    <x v="4"/>
    <x v="4"/>
    <n v="1025.98"/>
    <n v="5"/>
    <n v="0.2"/>
    <x v="26"/>
    <n v="369.35"/>
  </r>
  <r>
    <s v="CUST023"/>
    <s v="David Davis"/>
    <x v="1"/>
    <x v="4"/>
    <n v="556.41999999999996"/>
    <n v="11"/>
    <n v="0.15"/>
    <x v="26"/>
    <n v="212.83"/>
  </r>
  <r>
    <s v="CUST021"/>
    <s v="James Wilson"/>
    <x v="4"/>
    <x v="0"/>
    <n v="840.85"/>
    <n v="19"/>
    <n v="0.1"/>
    <x v="27"/>
    <n v="302.70999999999998"/>
  </r>
  <r>
    <s v="CUST026"/>
    <s v="Emma Wilson"/>
    <x v="3"/>
    <x v="3"/>
    <n v="1227.25"/>
    <n v="12"/>
    <n v="0.15"/>
    <x v="27"/>
    <n v="365.11"/>
  </r>
  <r>
    <s v="CUST017"/>
    <s v="Linda Davis"/>
    <x v="4"/>
    <x v="2"/>
    <n v="856.7"/>
    <n v="2"/>
    <n v="0"/>
    <x v="28"/>
    <n v="214.18"/>
  </r>
  <r>
    <s v="CUST025"/>
    <s v="David Davis"/>
    <x v="4"/>
    <x v="4"/>
    <n v="1225.42"/>
    <n v="8"/>
    <n v="0.15"/>
    <x v="28"/>
    <n v="468.72"/>
  </r>
  <r>
    <s v="CUST011"/>
    <s v="Mary Davis"/>
    <x v="3"/>
    <x v="4"/>
    <n v="1001.57"/>
    <n v="12"/>
    <n v="0"/>
    <x v="29"/>
    <n v="450.71"/>
  </r>
  <r>
    <s v="CUST021"/>
    <s v="Michael Anderson"/>
    <x v="1"/>
    <x v="3"/>
    <n v="1186.8499999999999"/>
    <n v="19"/>
    <n v="0.2"/>
    <x v="30"/>
    <n v="332.32"/>
  </r>
  <r>
    <s v="CUST008"/>
    <s v="John Brown"/>
    <x v="2"/>
    <x v="2"/>
    <n v="775.45"/>
    <n v="6"/>
    <n v="0.1"/>
    <x v="31"/>
    <n v="174.48"/>
  </r>
  <r>
    <s v="CUST007"/>
    <s v="Linda Jackson"/>
    <x v="2"/>
    <x v="2"/>
    <n v="1021.47"/>
    <n v="6"/>
    <n v="0.05"/>
    <x v="32"/>
    <n v="242.6"/>
  </r>
  <r>
    <s v="CUST015"/>
    <s v="James Wilson"/>
    <x v="2"/>
    <x v="1"/>
    <n v="1226.6199999999999"/>
    <n v="7"/>
    <n v="0.1"/>
    <x v="33"/>
    <n v="551.98"/>
  </r>
  <r>
    <s v="CUST030"/>
    <s v="Sarah Davis"/>
    <x v="2"/>
    <x v="3"/>
    <n v="1086.93"/>
    <n v="2"/>
    <n v="0"/>
    <x v="34"/>
    <n v="380.43"/>
  </r>
  <r>
    <s v="CUST002"/>
    <s v="Lisa Davis"/>
    <x v="0"/>
    <x v="0"/>
    <n v="942.9"/>
    <n v="18"/>
    <n v="0.1"/>
    <x v="35"/>
    <n v="339.44"/>
  </r>
  <r>
    <s v="CUST009"/>
    <s v="Emma Davis"/>
    <x v="3"/>
    <x v="2"/>
    <n v="818.8"/>
    <n v="15"/>
    <n v="0.15"/>
    <x v="36"/>
    <n v="173.99"/>
  </r>
  <r>
    <s v="CUST005"/>
    <s v="Robert Anderson"/>
    <x v="2"/>
    <x v="3"/>
    <n v="919.04"/>
    <n v="10"/>
    <n v="0.2"/>
    <x v="36"/>
    <n v="257.33"/>
  </r>
  <r>
    <s v="CUST030"/>
    <s v="Emma Taylor"/>
    <x v="4"/>
    <x v="0"/>
    <n v="973.26"/>
    <n v="11"/>
    <n v="0"/>
    <x v="37"/>
    <n v="389.3"/>
  </r>
  <r>
    <s v="CUST029"/>
    <s v="Sarah Davis"/>
    <x v="3"/>
    <x v="2"/>
    <n v="741.61"/>
    <n v="1"/>
    <n v="0.2"/>
    <x v="38"/>
    <n v="148.32"/>
  </r>
  <r>
    <s v="CUST003"/>
    <s v="Emma Davis"/>
    <x v="3"/>
    <x v="0"/>
    <n v="1248.82"/>
    <n v="2"/>
    <n v="0.1"/>
    <x v="39"/>
    <n v="449.58"/>
  </r>
  <r>
    <s v="CUST012"/>
    <s v="Mary Wilson"/>
    <x v="0"/>
    <x v="1"/>
    <n v="1360.36"/>
    <n v="17"/>
    <n v="0"/>
    <x v="39"/>
    <n v="680.18"/>
  </r>
  <r>
    <s v="CUST021"/>
    <s v="Mary Davis"/>
    <x v="1"/>
    <x v="0"/>
    <n v="1383.3"/>
    <n v="8"/>
    <n v="0.1"/>
    <x v="40"/>
    <n v="497.99"/>
  </r>
  <r>
    <s v="CUST010"/>
    <s v="David Brown"/>
    <x v="4"/>
    <x v="4"/>
    <n v="488.99"/>
    <n v="9"/>
    <n v="0"/>
    <x v="41"/>
    <n v="220.05"/>
  </r>
  <r>
    <s v="CUST026"/>
    <s v="Mary Davis"/>
    <x v="1"/>
    <x v="3"/>
    <n v="933.71"/>
    <n v="17"/>
    <n v="0.1"/>
    <x v="42"/>
    <n v="294.12"/>
  </r>
  <r>
    <s v="CUST003"/>
    <s v="James Davis"/>
    <x v="0"/>
    <x v="2"/>
    <n v="1005.53"/>
    <n v="17"/>
    <n v="0.2"/>
    <x v="42"/>
    <n v="201.11"/>
  </r>
  <r>
    <s v="CUST029"/>
    <s v="Emma Wilson"/>
    <x v="2"/>
    <x v="2"/>
    <n v="1100.0999999999999"/>
    <n v="5"/>
    <n v="0.05"/>
    <x v="43"/>
    <n v="261.27"/>
  </r>
  <r>
    <s v="CUST003"/>
    <s v="James Wilson"/>
    <x v="3"/>
    <x v="3"/>
    <n v="1034.7"/>
    <n v="15"/>
    <n v="0.15"/>
    <x v="44"/>
    <n v="307.82"/>
  </r>
  <r>
    <s v="CUST002"/>
    <s v="Mary Davis"/>
    <x v="2"/>
    <x v="0"/>
    <n v="876.44"/>
    <n v="12"/>
    <n v="0.05"/>
    <x v="45"/>
    <n v="333.05"/>
  </r>
  <r>
    <s v="CUST020"/>
    <s v="David Brown"/>
    <x v="0"/>
    <x v="3"/>
    <n v="1371.34"/>
    <n v="5"/>
    <n v="0.05"/>
    <x v="45"/>
    <n v="455.97"/>
  </r>
  <r>
    <s v="CUST021"/>
    <s v="Mary Jackson"/>
    <x v="3"/>
    <x v="2"/>
    <n v="1020.26"/>
    <n v="11"/>
    <n v="0.05"/>
    <x v="46"/>
    <n v="242.31"/>
  </r>
  <r>
    <s v="CUST008"/>
    <s v="James Davis"/>
    <x v="4"/>
    <x v="4"/>
    <n v="804.81"/>
    <n v="1"/>
    <n v="0.05"/>
    <x v="47"/>
    <n v="344.06"/>
  </r>
  <r>
    <s v="CUST030"/>
    <s v="David Brown"/>
    <x v="4"/>
    <x v="2"/>
    <n v="608.66"/>
    <n v="1"/>
    <n v="0.05"/>
    <x v="48"/>
    <n v="144.56"/>
  </r>
  <r>
    <s v="CUST020"/>
    <s v="Linda Moore"/>
    <x v="2"/>
    <x v="4"/>
    <n v="981.2"/>
    <n v="19"/>
    <n v="0"/>
    <x v="49"/>
    <n v="441.54"/>
  </r>
  <r>
    <s v="CUST024"/>
    <s v="David Brown"/>
    <x v="1"/>
    <x v="2"/>
    <n v="539.77"/>
    <n v="10"/>
    <n v="0.15"/>
    <x v="50"/>
    <n v="114.7"/>
  </r>
  <r>
    <s v="CUST012"/>
    <s v="David Anderson"/>
    <x v="2"/>
    <x v="0"/>
    <n v="804.45"/>
    <n v="5"/>
    <n v="0.2"/>
    <x v="50"/>
    <n v="257.42"/>
  </r>
  <r>
    <s v="CUST024"/>
    <s v="Emma Davis"/>
    <x v="0"/>
    <x v="2"/>
    <n v="1526.6"/>
    <n v="13"/>
    <n v="0.2"/>
    <x v="51"/>
    <n v="305.32"/>
  </r>
  <r>
    <s v="CUST012"/>
    <s v="Linda Wilson"/>
    <x v="0"/>
    <x v="2"/>
    <n v="1215.26"/>
    <n v="5"/>
    <n v="0.15"/>
    <x v="52"/>
    <n v="258.24"/>
  </r>
  <r>
    <s v="CUST005"/>
    <s v="Linda Taylor"/>
    <x v="4"/>
    <x v="3"/>
    <n v="1261.3399999999999"/>
    <n v="3"/>
    <n v="0"/>
    <x v="53"/>
    <n v="441.47"/>
  </r>
  <r>
    <s v="CUST004"/>
    <s v="Lisa Thomas"/>
    <x v="3"/>
    <x v="3"/>
    <n v="518.07000000000005"/>
    <n v="7"/>
    <n v="0.05"/>
    <x v="54"/>
    <n v="172.26"/>
  </r>
  <r>
    <s v="CUST026"/>
    <s v="Linda Wilson"/>
    <x v="0"/>
    <x v="4"/>
    <n v="1111.3399999999999"/>
    <n v="1"/>
    <n v="0"/>
    <x v="55"/>
    <n v="500.1"/>
  </r>
  <r>
    <s v="CUST030"/>
    <s v="Mary Davis"/>
    <x v="1"/>
    <x v="1"/>
    <n v="1291.47"/>
    <n v="18"/>
    <n v="0.1"/>
    <x v="56"/>
    <n v="581.16"/>
  </r>
  <r>
    <s v="CUST007"/>
    <s v="David Brown"/>
    <x v="3"/>
    <x v="0"/>
    <n v="679.71"/>
    <n v="19"/>
    <n v="0"/>
    <x v="57"/>
    <n v="271.88"/>
  </r>
  <r>
    <s v="CUST020"/>
    <s v="Linda Jackson"/>
    <x v="1"/>
    <x v="3"/>
    <n v="1143.69"/>
    <n v="17"/>
    <n v="0"/>
    <x v="57"/>
    <n v="400.29"/>
  </r>
  <r>
    <s v="CUST028"/>
    <s v="Linda Brown"/>
    <x v="4"/>
    <x v="2"/>
    <n v="790.08"/>
    <n v="7"/>
    <n v="0.1"/>
    <x v="58"/>
    <n v="177.77"/>
  </r>
  <r>
    <s v="CUST005"/>
    <s v="Lisa Davis"/>
    <x v="4"/>
    <x v="0"/>
    <n v="1070.68"/>
    <n v="7"/>
    <n v="0.05"/>
    <x v="58"/>
    <n v="406.86"/>
  </r>
  <r>
    <s v="CUST015"/>
    <s v="David Thomas"/>
    <x v="0"/>
    <x v="1"/>
    <n v="1168.8900000000001"/>
    <n v="4"/>
    <n v="0.1"/>
    <x v="59"/>
    <n v="526"/>
  </r>
  <r>
    <s v="CUST003"/>
    <s v="James Davis"/>
    <x v="2"/>
    <x v="2"/>
    <n v="1335.87"/>
    <n v="17"/>
    <n v="0"/>
    <x v="59"/>
    <n v="333.97"/>
  </r>
  <r>
    <s v="CUST023"/>
    <s v="David Brown"/>
    <x v="1"/>
    <x v="3"/>
    <n v="873.7"/>
    <n v="9"/>
    <n v="0"/>
    <x v="60"/>
    <n v="305.8"/>
  </r>
  <r>
    <s v="CUST004"/>
    <s v="Sarah Davis"/>
    <x v="0"/>
    <x v="4"/>
    <n v="1443.98"/>
    <n v="19"/>
    <n v="0"/>
    <x v="61"/>
    <n v="649.79"/>
  </r>
  <r>
    <s v="CUST023"/>
    <s v="James Wilson"/>
    <x v="1"/>
    <x v="4"/>
    <n v="1154.33"/>
    <n v="11"/>
    <n v="0.15"/>
    <x v="62"/>
    <n v="441.53"/>
  </r>
  <r>
    <s v="CUST022"/>
    <s v="Linda Brown"/>
    <x v="2"/>
    <x v="0"/>
    <n v="1264.49"/>
    <n v="16"/>
    <n v="0.05"/>
    <x v="62"/>
    <n v="480.51"/>
  </r>
  <r>
    <s v="CUST007"/>
    <s v="Emma Taylor"/>
    <x v="0"/>
    <x v="3"/>
    <n v="1101.55"/>
    <n v="4"/>
    <n v="0.1"/>
    <x v="63"/>
    <n v="346.99"/>
  </r>
  <r>
    <s v="CUST013"/>
    <s v="Robert Anderson"/>
    <x v="2"/>
    <x v="3"/>
    <n v="727.73"/>
    <n v="1"/>
    <n v="0.1"/>
    <x v="64"/>
    <n v="229.23"/>
  </r>
  <r>
    <s v="CUST027"/>
    <s v="Emma Davis"/>
    <x v="1"/>
    <x v="4"/>
    <n v="875.41"/>
    <n v="13"/>
    <n v="0.15"/>
    <x v="64"/>
    <n v="334.84"/>
  </r>
  <r>
    <s v="CUST003"/>
    <s v="James Wilson"/>
    <x v="0"/>
    <x v="2"/>
    <n v="1158.94"/>
    <n v="19"/>
    <n v="0.2"/>
    <x v="65"/>
    <n v="231.79"/>
  </r>
  <r>
    <s v="CUST018"/>
    <s v="Mary Jackson"/>
    <x v="2"/>
    <x v="0"/>
    <n v="966.3"/>
    <n v="2"/>
    <n v="0.15"/>
    <x v="66"/>
    <n v="328.54"/>
  </r>
  <r>
    <s v="CUST020"/>
    <s v="James Taylor"/>
    <x v="2"/>
    <x v="0"/>
    <n v="917.48"/>
    <n v="6"/>
    <n v="0"/>
    <x v="67"/>
    <n v="366.99"/>
  </r>
  <r>
    <s v="CUST029"/>
    <s v="Emma Wilson"/>
    <x v="0"/>
    <x v="3"/>
    <n v="1172.97"/>
    <n v="7"/>
    <n v="0.15"/>
    <x v="68"/>
    <n v="348.96"/>
  </r>
  <r>
    <s v="CUST021"/>
    <s v="James Wilson"/>
    <x v="3"/>
    <x v="1"/>
    <n v="1205.82"/>
    <n v="11"/>
    <n v="0.1"/>
    <x v="68"/>
    <n v="542.62"/>
  </r>
  <r>
    <s v="CUST017"/>
    <s v="Sarah Davis"/>
    <x v="0"/>
    <x v="4"/>
    <n v="826.93"/>
    <n v="10"/>
    <n v="0.2"/>
    <x v="69"/>
    <n v="297.69"/>
  </r>
  <r>
    <s v="CUST003"/>
    <s v="James Wilson"/>
    <x v="4"/>
    <x v="1"/>
    <n v="902.19"/>
    <n v="12"/>
    <n v="0"/>
    <x v="69"/>
    <n v="451.1"/>
  </r>
  <r>
    <s v="CUST027"/>
    <s v="Emma Davis"/>
    <x v="3"/>
    <x v="0"/>
    <n v="585.97"/>
    <n v="17"/>
    <n v="0.1"/>
    <x v="70"/>
    <n v="210.95"/>
  </r>
  <r>
    <s v="CUST016"/>
    <s v="Michael Anderson"/>
    <x v="3"/>
    <x v="1"/>
    <n v="990.19"/>
    <n v="8"/>
    <n v="0.1"/>
    <x v="70"/>
    <n v="445.59"/>
  </r>
  <r>
    <s v="CUST008"/>
    <s v="David Davis"/>
    <x v="4"/>
    <x v="2"/>
    <n v="1014.09"/>
    <n v="13"/>
    <n v="0.2"/>
    <x v="71"/>
    <n v="202.82"/>
  </r>
  <r>
    <s v="CUST012"/>
    <s v="Lisa Davis"/>
    <x v="3"/>
    <x v="2"/>
    <n v="925.29"/>
    <n v="17"/>
    <n v="0"/>
    <x v="72"/>
    <n v="231.32"/>
  </r>
  <r>
    <s v="CUST025"/>
    <s v="Mary Jackson"/>
    <x v="1"/>
    <x v="3"/>
    <n v="1286.54"/>
    <n v="8"/>
    <n v="0"/>
    <x v="73"/>
    <n v="450.29"/>
  </r>
  <r>
    <s v="CUST014"/>
    <s v="Sarah Davis"/>
    <x v="2"/>
    <x v="0"/>
    <n v="961.62"/>
    <n v="8"/>
    <n v="0.2"/>
    <x v="74"/>
    <n v="307.72000000000003"/>
  </r>
  <r>
    <s v="CUST008"/>
    <s v="James Wilson"/>
    <x v="1"/>
    <x v="0"/>
    <n v="1081.1400000000001"/>
    <n v="19"/>
    <n v="0.15"/>
    <x v="74"/>
    <n v="367.59"/>
  </r>
  <r>
    <s v="CUST015"/>
    <s v="James Wilson"/>
    <x v="0"/>
    <x v="1"/>
    <n v="1923.66"/>
    <n v="9"/>
    <n v="0.2"/>
    <x v="75"/>
    <n v="769.46"/>
  </r>
  <r>
    <s v="CUST025"/>
    <s v="Emma Taylor"/>
    <x v="4"/>
    <x v="1"/>
    <n v="728.71"/>
    <n v="14"/>
    <n v="0.1"/>
    <x v="76"/>
    <n v="327.92"/>
  </r>
  <r>
    <s v="CUST019"/>
    <s v="Linda Jackson"/>
    <x v="4"/>
    <x v="1"/>
    <n v="1301.8900000000001"/>
    <n v="7"/>
    <n v="0.15"/>
    <x v="76"/>
    <n v="553.29999999999995"/>
  </r>
  <r>
    <s v="CUST024"/>
    <s v="Emma Taylor"/>
    <x v="1"/>
    <x v="0"/>
    <n v="980.18"/>
    <n v="16"/>
    <n v="0.1"/>
    <x v="77"/>
    <n v="352.86"/>
  </r>
  <r>
    <s v="CUST027"/>
    <s v="James Wilson"/>
    <x v="0"/>
    <x v="1"/>
    <n v="697.57"/>
    <n v="17"/>
    <n v="0.1"/>
    <x v="78"/>
    <n v="313.91000000000003"/>
  </r>
  <r>
    <s v="CUST006"/>
    <s v="David Anderson"/>
    <x v="0"/>
    <x v="3"/>
    <n v="1193.6099999999999"/>
    <n v="1"/>
    <n v="0.15"/>
    <x v="78"/>
    <n v="355.1"/>
  </r>
  <r>
    <s v="CUST009"/>
    <s v="Emma Davis"/>
    <x v="2"/>
    <x v="2"/>
    <n v="771.02"/>
    <n v="1"/>
    <n v="0"/>
    <x v="79"/>
    <n v="192.76"/>
  </r>
  <r>
    <s v="CUST003"/>
    <s v="Linda Moore"/>
    <x v="3"/>
    <x v="1"/>
    <n v="661.09"/>
    <n v="1"/>
    <n v="0.2"/>
    <x v="80"/>
    <n v="264.44"/>
  </r>
  <r>
    <s v="CUST012"/>
    <s v="David Brown"/>
    <x v="0"/>
    <x v="2"/>
    <n v="688.83"/>
    <n v="15"/>
    <n v="0"/>
    <x v="81"/>
    <n v="172.21"/>
  </r>
  <r>
    <s v="CUST013"/>
    <s v="Linda Wilson"/>
    <x v="4"/>
    <x v="0"/>
    <n v="1249.0999999999999"/>
    <n v="4"/>
    <n v="0.05"/>
    <x v="82"/>
    <n v="474.66"/>
  </r>
  <r>
    <s v="CUST008"/>
    <s v="James Wilson"/>
    <x v="1"/>
    <x v="4"/>
    <n v="1014.22"/>
    <n v="14"/>
    <n v="0.05"/>
    <x v="83"/>
    <n v="433.58"/>
  </r>
  <r>
    <s v="CUST025"/>
    <s v="Lisa Davis"/>
    <x v="1"/>
    <x v="0"/>
    <n v="1010.58"/>
    <n v="2"/>
    <n v="0.15"/>
    <x v="84"/>
    <n v="343.6"/>
  </r>
  <r>
    <s v="CUST026"/>
    <s v="Mary Wilson"/>
    <x v="3"/>
    <x v="3"/>
    <n v="957.29"/>
    <n v="4"/>
    <n v="0.05"/>
    <x v="84"/>
    <n v="318.3"/>
  </r>
  <r>
    <s v="CUST001"/>
    <s v="Lisa Thomas"/>
    <x v="3"/>
    <x v="3"/>
    <n v="1077.92"/>
    <n v="3"/>
    <n v="0.05"/>
    <x v="85"/>
    <n v="358.41"/>
  </r>
  <r>
    <s v="CUST028"/>
    <s v="Linda Brown"/>
    <x v="2"/>
    <x v="1"/>
    <n v="1163.01"/>
    <n v="5"/>
    <n v="0"/>
    <x v="86"/>
    <n v="581.5"/>
  </r>
  <r>
    <s v="CUST025"/>
    <s v="Lisa Thomas"/>
    <x v="1"/>
    <x v="4"/>
    <n v="1014.56"/>
    <n v="10"/>
    <n v="0.1"/>
    <x v="87"/>
    <n v="410.9"/>
  </r>
  <r>
    <s v="CUST019"/>
    <s v="James Taylor"/>
    <x v="2"/>
    <x v="2"/>
    <n v="718.04"/>
    <n v="14"/>
    <n v="0"/>
    <x v="88"/>
    <n v="179.51"/>
  </r>
  <r>
    <s v="CUST004"/>
    <s v="James Taylor"/>
    <x v="4"/>
    <x v="1"/>
    <n v="1277.8499999999999"/>
    <n v="18"/>
    <n v="0.2"/>
    <x v="88"/>
    <n v="511.14"/>
  </r>
  <r>
    <s v="CUST024"/>
    <s v="James Wilson"/>
    <x v="3"/>
    <x v="2"/>
    <n v="706.73"/>
    <n v="1"/>
    <n v="0.15"/>
    <x v="88"/>
    <n v="150.18"/>
  </r>
  <r>
    <s v="CUST002"/>
    <s v="Linda Brown"/>
    <x v="1"/>
    <x v="2"/>
    <n v="1410.59"/>
    <n v="15"/>
    <n v="0"/>
    <x v="89"/>
    <n v="352.65"/>
  </r>
  <r>
    <s v="CUST009"/>
    <s v="Emma Wilson"/>
    <x v="2"/>
    <x v="3"/>
    <n v="1350.33"/>
    <n v="10"/>
    <n v="0"/>
    <x v="89"/>
    <n v="472.62"/>
  </r>
  <r>
    <s v="CUST029"/>
    <s v="Lisa Thomas"/>
    <x v="1"/>
    <x v="2"/>
    <n v="919.18"/>
    <n v="4"/>
    <n v="0.15"/>
    <x v="89"/>
    <n v="195.33"/>
  </r>
  <r>
    <s v="CUST027"/>
    <s v="James Wilson"/>
    <x v="0"/>
    <x v="2"/>
    <n v="258.51"/>
    <n v="19"/>
    <n v="0"/>
    <x v="90"/>
    <n v="64.63"/>
  </r>
  <r>
    <s v="CUST011"/>
    <s v="Emma Wilson"/>
    <x v="1"/>
    <x v="0"/>
    <n v="1213.48"/>
    <n v="5"/>
    <n v="0.05"/>
    <x v="90"/>
    <n v="461.12"/>
  </r>
  <r>
    <s v="CUST021"/>
    <s v="Emma Davis"/>
    <x v="4"/>
    <x v="0"/>
    <n v="1150.28"/>
    <n v="8"/>
    <n v="0.05"/>
    <x v="91"/>
    <n v="437.11"/>
  </r>
  <r>
    <s v="CUST014"/>
    <s v="David Anderson"/>
    <x v="2"/>
    <x v="3"/>
    <n v="853.86"/>
    <n v="8"/>
    <n v="0.1"/>
    <x v="91"/>
    <n v="268.97000000000003"/>
  </r>
  <r>
    <s v="CUST018"/>
    <s v="Lisa Thomas"/>
    <x v="2"/>
    <x v="2"/>
    <n v="1061.04"/>
    <n v="1"/>
    <n v="0"/>
    <x v="92"/>
    <n v="265.26"/>
  </r>
  <r>
    <s v="CUST001"/>
    <s v="Sarah Anderson"/>
    <x v="0"/>
    <x v="2"/>
    <n v="894.55"/>
    <n v="19"/>
    <n v="0.2"/>
    <x v="93"/>
    <n v="178.91"/>
  </r>
  <r>
    <s v="CUST007"/>
    <s v="Emma Davis"/>
    <x v="3"/>
    <x v="4"/>
    <n v="833.91"/>
    <n v="3"/>
    <n v="0.05"/>
    <x v="94"/>
    <n v="356.5"/>
  </r>
  <r>
    <s v="CUST015"/>
    <s v="David Anderson"/>
    <x v="0"/>
    <x v="3"/>
    <n v="820.19"/>
    <n v="4"/>
    <n v="0.2"/>
    <x v="95"/>
    <n v="229.65"/>
  </r>
  <r>
    <s v="CUST015"/>
    <s v="Emma Davis"/>
    <x v="4"/>
    <x v="2"/>
    <n v="511.74"/>
    <n v="8"/>
    <n v="0.05"/>
    <x v="96"/>
    <n v="121.54"/>
  </r>
  <r>
    <s v="CUST002"/>
    <s v="Emma Wilson"/>
    <x v="2"/>
    <x v="3"/>
    <n v="806.03"/>
    <n v="19"/>
    <n v="0.05"/>
    <x v="97"/>
    <n v="268"/>
  </r>
  <r>
    <s v="CUST001"/>
    <s v="Michael Anderson"/>
    <x v="4"/>
    <x v="3"/>
    <n v="1432.47"/>
    <n v="16"/>
    <n v="0.15"/>
    <x v="98"/>
    <n v="426.16"/>
  </r>
  <r>
    <s v="CUST027"/>
    <s v="Linda Wilson"/>
    <x v="4"/>
    <x v="2"/>
    <n v="1488.58"/>
    <n v="10"/>
    <n v="0.15"/>
    <x v="98"/>
    <n v="316.32"/>
  </r>
  <r>
    <s v="CUST026"/>
    <s v="Emma Taylor"/>
    <x v="1"/>
    <x v="0"/>
    <n v="1231.26"/>
    <n v="9"/>
    <n v="0"/>
    <x v="99"/>
    <n v="492.5"/>
  </r>
  <r>
    <s v="CUST026"/>
    <s v="Sarah Anderson"/>
    <x v="0"/>
    <x v="2"/>
    <n v="1161.67"/>
    <n v="19"/>
    <n v="0.2"/>
    <x v="100"/>
    <n v="232.33"/>
  </r>
  <r>
    <s v="CUST022"/>
    <s v="Lisa Thomas"/>
    <x v="4"/>
    <x v="4"/>
    <n v="388.23"/>
    <n v="16"/>
    <n v="0.05"/>
    <x v="101"/>
    <n v="165.97"/>
  </r>
  <r>
    <s v="CUST004"/>
    <s v="Mary Davis"/>
    <x v="3"/>
    <x v="1"/>
    <n v="1589.42"/>
    <n v="6"/>
    <n v="0.15"/>
    <x v="102"/>
    <n v="675.5"/>
  </r>
  <r>
    <s v="CUST001"/>
    <s v="David Anderson"/>
    <x v="3"/>
    <x v="1"/>
    <n v="336.66"/>
    <n v="13"/>
    <n v="0.2"/>
    <x v="102"/>
    <n v="134.66"/>
  </r>
  <r>
    <s v="CUST022"/>
    <s v="James Wilson"/>
    <x v="0"/>
    <x v="0"/>
    <n v="1353.79"/>
    <n v="14"/>
    <n v="0.1"/>
    <x v="103"/>
    <n v="487.36"/>
  </r>
  <r>
    <s v="CUST011"/>
    <s v="Linda Moore"/>
    <x v="4"/>
    <x v="1"/>
    <n v="662.61"/>
    <n v="11"/>
    <n v="0.05"/>
    <x v="104"/>
    <n v="314.74"/>
  </r>
  <r>
    <s v="CUST028"/>
    <s v="Lisa Davis"/>
    <x v="3"/>
    <x v="4"/>
    <n v="309.42"/>
    <n v="1"/>
    <n v="0.2"/>
    <x v="104"/>
    <n v="111.39"/>
  </r>
  <r>
    <s v="CUST011"/>
    <s v="Linda Wilson"/>
    <x v="3"/>
    <x v="0"/>
    <n v="884.63"/>
    <n v="18"/>
    <n v="0.1"/>
    <x v="105"/>
    <n v="318.47000000000003"/>
  </r>
  <r>
    <s v="CUST028"/>
    <s v="James Wilson"/>
    <x v="4"/>
    <x v="4"/>
    <n v="745.05"/>
    <n v="10"/>
    <n v="0.1"/>
    <x v="106"/>
    <n v="301.75"/>
  </r>
  <r>
    <s v="CUST016"/>
    <s v="James Taylor"/>
    <x v="2"/>
    <x v="1"/>
    <n v="870.23"/>
    <n v="5"/>
    <n v="0.05"/>
    <x v="106"/>
    <n v="413.36"/>
  </r>
  <r>
    <s v="CUST010"/>
    <s v="Linda Wilson"/>
    <x v="0"/>
    <x v="3"/>
    <n v="862.19"/>
    <n v="18"/>
    <n v="0.05"/>
    <x v="107"/>
    <n v="286.68"/>
  </r>
  <r>
    <s v="CUST013"/>
    <s v="Mary Wilson"/>
    <x v="3"/>
    <x v="1"/>
    <n v="1171.18"/>
    <n v="19"/>
    <n v="0.05"/>
    <x v="108"/>
    <n v="556.30999999999995"/>
  </r>
  <r>
    <s v="CUST015"/>
    <s v="Robert Anderson"/>
    <x v="2"/>
    <x v="3"/>
    <n v="1054.56"/>
    <n v="11"/>
    <n v="0.1"/>
    <x v="109"/>
    <n v="332.19"/>
  </r>
  <r>
    <s v="CUST015"/>
    <s v="James Wilson"/>
    <x v="3"/>
    <x v="2"/>
    <n v="1681.21"/>
    <n v="5"/>
    <n v="0.2"/>
    <x v="110"/>
    <n v="336.24"/>
  </r>
  <r>
    <s v="CUST015"/>
    <s v="David Thomas"/>
    <x v="0"/>
    <x v="1"/>
    <n v="379.77"/>
    <n v="9"/>
    <n v="0.05"/>
    <x v="111"/>
    <n v="180.39"/>
  </r>
  <r>
    <s v="CUST008"/>
    <s v="Lisa Thomas"/>
    <x v="4"/>
    <x v="1"/>
    <n v="1076.33"/>
    <n v="2"/>
    <n v="0.1"/>
    <x v="112"/>
    <n v="484.35"/>
  </r>
  <r>
    <s v="CUST008"/>
    <s v="Mary Davis"/>
    <x v="4"/>
    <x v="4"/>
    <n v="1250.71"/>
    <n v="7"/>
    <n v="0"/>
    <x v="112"/>
    <n v="562.82000000000005"/>
  </r>
  <r>
    <s v="CUST023"/>
    <s v="James Taylor"/>
    <x v="2"/>
    <x v="1"/>
    <n v="1118.3399999999999"/>
    <n v="6"/>
    <n v="0.2"/>
    <x v="112"/>
    <n v="447.34"/>
  </r>
  <r>
    <s v="CUST024"/>
    <s v="Linda Taylor"/>
    <x v="3"/>
    <x v="1"/>
    <n v="1622.62"/>
    <n v="12"/>
    <n v="0.2"/>
    <x v="113"/>
    <n v="649.04999999999995"/>
  </r>
  <r>
    <s v="CUST018"/>
    <s v="Lisa Davis"/>
    <x v="3"/>
    <x v="0"/>
    <n v="640.64"/>
    <n v="11"/>
    <n v="0.2"/>
    <x v="114"/>
    <n v="205"/>
  </r>
  <r>
    <s v="CUST030"/>
    <s v="Sarah Anderson"/>
    <x v="0"/>
    <x v="1"/>
    <n v="585.16"/>
    <n v="17"/>
    <n v="0.1"/>
    <x v="115"/>
    <n v="263.32"/>
  </r>
  <r>
    <s v="CUST030"/>
    <s v="Mary Davis"/>
    <x v="1"/>
    <x v="1"/>
    <n v="1109.98"/>
    <n v="5"/>
    <n v="0.2"/>
    <x v="116"/>
    <n v="443.99"/>
  </r>
  <r>
    <s v="CUST015"/>
    <s v="Lisa Thomas"/>
    <x v="1"/>
    <x v="0"/>
    <n v="1098.08"/>
    <n v="9"/>
    <n v="0.1"/>
    <x v="117"/>
    <n v="395.31"/>
  </r>
  <r>
    <s v="CUST002"/>
    <s v="Lisa Davis"/>
    <x v="0"/>
    <x v="4"/>
    <n v="827.25"/>
    <n v="7"/>
    <n v="0.1"/>
    <x v="118"/>
    <n v="335.04"/>
  </r>
  <r>
    <s v="CUST024"/>
    <s v="Linda Wilson"/>
    <x v="4"/>
    <x v="1"/>
    <n v="741.88"/>
    <n v="16"/>
    <n v="0.1"/>
    <x v="119"/>
    <n v="333.85"/>
  </r>
  <r>
    <s v="CUST004"/>
    <s v="James Davis"/>
    <x v="1"/>
    <x v="4"/>
    <n v="1311.26"/>
    <n v="6"/>
    <n v="0.1"/>
    <x v="120"/>
    <n v="531.05999999999995"/>
  </r>
  <r>
    <s v="CUST004"/>
    <s v="Mary Davis"/>
    <x v="2"/>
    <x v="4"/>
    <n v="573.32000000000005"/>
    <n v="19"/>
    <n v="0.1"/>
    <x v="121"/>
    <n v="232.19"/>
  </r>
  <r>
    <s v="CUST028"/>
    <s v="James Wilson"/>
    <x v="0"/>
    <x v="2"/>
    <n v="1115.22"/>
    <n v="14"/>
    <n v="0.2"/>
    <x v="122"/>
    <n v="223.04"/>
  </r>
  <r>
    <s v="CUST012"/>
    <s v="Lisa Thomas"/>
    <x v="3"/>
    <x v="1"/>
    <n v="845.84"/>
    <n v="4"/>
    <n v="0"/>
    <x v="123"/>
    <n v="422.92"/>
  </r>
  <r>
    <s v="CUST026"/>
    <s v="David Brown"/>
    <x v="0"/>
    <x v="2"/>
    <n v="1029.8"/>
    <n v="3"/>
    <n v="0"/>
    <x v="124"/>
    <n v="257.45"/>
  </r>
  <r>
    <s v="CUST009"/>
    <s v="Mary Davis"/>
    <x v="3"/>
    <x v="0"/>
    <n v="1189.83"/>
    <n v="2"/>
    <n v="0.2"/>
    <x v="125"/>
    <n v="380.75"/>
  </r>
  <r>
    <s v="CUST003"/>
    <s v="Sarah Anderson"/>
    <x v="2"/>
    <x v="0"/>
    <n v="704.28"/>
    <n v="15"/>
    <n v="0.2"/>
    <x v="126"/>
    <n v="225.37"/>
  </r>
  <r>
    <s v="CUST002"/>
    <s v="Mary Jackson"/>
    <x v="4"/>
    <x v="4"/>
    <n v="1618.22"/>
    <n v="12"/>
    <n v="0.2"/>
    <x v="126"/>
    <n v="582.55999999999995"/>
  </r>
  <r>
    <s v="CUST013"/>
    <s v="Linda Taylor"/>
    <x v="4"/>
    <x v="0"/>
    <n v="1014.43"/>
    <n v="2"/>
    <n v="0.15"/>
    <x v="127"/>
    <n v="344.91"/>
  </r>
  <r>
    <s v="CUST018"/>
    <s v="Mary Davis"/>
    <x v="4"/>
    <x v="1"/>
    <n v="826.97"/>
    <n v="18"/>
    <n v="0.2"/>
    <x v="128"/>
    <n v="330.79"/>
  </r>
  <r>
    <s v="CUST017"/>
    <s v="Mary Davis"/>
    <x v="4"/>
    <x v="1"/>
    <n v="1022.23"/>
    <n v="8"/>
    <n v="0.1"/>
    <x v="129"/>
    <n v="460"/>
  </r>
  <r>
    <s v="CUST004"/>
    <s v="Linda Wilson"/>
    <x v="1"/>
    <x v="0"/>
    <n v="1099.69"/>
    <n v="6"/>
    <n v="0"/>
    <x v="130"/>
    <n v="439.88"/>
  </r>
  <r>
    <s v="CUST028"/>
    <s v="Sarah Davis"/>
    <x v="3"/>
    <x v="0"/>
    <n v="710.52"/>
    <n v="8"/>
    <n v="0.1"/>
    <x v="131"/>
    <n v="255.79"/>
  </r>
  <r>
    <s v="CUST028"/>
    <s v="Mary Wilson"/>
    <x v="3"/>
    <x v="0"/>
    <n v="499.18"/>
    <n v="15"/>
    <n v="0.2"/>
    <x v="132"/>
    <n v="159.74"/>
  </r>
  <r>
    <s v="CUST014"/>
    <s v="Emma Davis"/>
    <x v="2"/>
    <x v="0"/>
    <n v="1064.19"/>
    <n v="18"/>
    <n v="0.05"/>
    <x v="133"/>
    <n v="404.39"/>
  </r>
  <r>
    <s v="CUST003"/>
    <s v="Emma Davis"/>
    <x v="1"/>
    <x v="4"/>
    <n v="438.76"/>
    <n v="18"/>
    <n v="0.05"/>
    <x v="134"/>
    <n v="187.57"/>
  </r>
  <r>
    <s v="CUST029"/>
    <s v="David Brown"/>
    <x v="0"/>
    <x v="1"/>
    <n v="864.98"/>
    <n v="2"/>
    <n v="0.05"/>
    <x v="135"/>
    <n v="410.87"/>
  </r>
  <r>
    <s v="CUST021"/>
    <s v="David Brown"/>
    <x v="0"/>
    <x v="3"/>
    <n v="984.93"/>
    <n v="14"/>
    <n v="0.2"/>
    <x v="136"/>
    <n v="275.77999999999997"/>
  </r>
  <r>
    <s v="CUST007"/>
    <s v="David Brown"/>
    <x v="0"/>
    <x v="1"/>
    <n v="1493.49"/>
    <n v="18"/>
    <n v="0"/>
    <x v="137"/>
    <n v="746.74"/>
  </r>
  <r>
    <s v="CUST009"/>
    <s v="Linda Taylor"/>
    <x v="2"/>
    <x v="1"/>
    <n v="689.43"/>
    <n v="9"/>
    <n v="0.1"/>
    <x v="138"/>
    <n v="310.24"/>
  </r>
  <r>
    <s v="CUST023"/>
    <s v="Mary Wilson"/>
    <x v="2"/>
    <x v="1"/>
    <n v="682.24"/>
    <n v="1"/>
    <n v="0"/>
    <x v="139"/>
    <n v="341.12"/>
  </r>
  <r>
    <s v="CUST029"/>
    <s v="Michael Anderson"/>
    <x v="3"/>
    <x v="2"/>
    <n v="458.54"/>
    <n v="15"/>
    <n v="0.2"/>
    <x v="140"/>
    <n v="91.71"/>
  </r>
  <r>
    <s v="CUST009"/>
    <s v="Michael Anderson"/>
    <x v="2"/>
    <x v="3"/>
    <n v="1184.25"/>
    <n v="11"/>
    <n v="0.2"/>
    <x v="141"/>
    <n v="331.59"/>
  </r>
  <r>
    <s v="CUST007"/>
    <s v="James Davis"/>
    <x v="2"/>
    <x v="1"/>
    <n v="762.14"/>
    <n v="9"/>
    <n v="0"/>
    <x v="142"/>
    <n v="381.07"/>
  </r>
  <r>
    <s v="CUST030"/>
    <s v="Linda Taylor"/>
    <x v="3"/>
    <x v="0"/>
    <n v="750.71"/>
    <n v="10"/>
    <n v="0.15"/>
    <x v="142"/>
    <n v="255.24"/>
  </r>
  <r>
    <s v="CUST018"/>
    <s v="David Anderson"/>
    <x v="4"/>
    <x v="1"/>
    <n v="1456.94"/>
    <n v="14"/>
    <n v="0.05"/>
    <x v="143"/>
    <n v="692.05"/>
  </r>
  <r>
    <s v="CUST008"/>
    <s v="Emma Wilson"/>
    <x v="1"/>
    <x v="3"/>
    <n v="1093.3800000000001"/>
    <n v="17"/>
    <n v="0.1"/>
    <x v="143"/>
    <n v="344.41"/>
  </r>
  <r>
    <s v="CUST014"/>
    <s v="Sarah Anderson"/>
    <x v="0"/>
    <x v="1"/>
    <n v="934.27"/>
    <n v="8"/>
    <n v="0.15"/>
    <x v="144"/>
    <n v="397.06"/>
  </r>
  <r>
    <s v="CUST024"/>
    <s v="David Thomas"/>
    <x v="4"/>
    <x v="1"/>
    <n v="1465.35"/>
    <n v="8"/>
    <n v="0.2"/>
    <x v="144"/>
    <n v="586.14"/>
  </r>
  <r>
    <s v="CUST028"/>
    <s v="Robert Anderson"/>
    <x v="2"/>
    <x v="4"/>
    <n v="740.8"/>
    <n v="3"/>
    <n v="0"/>
    <x v="145"/>
    <n v="333.36"/>
  </r>
  <r>
    <s v="CUST015"/>
    <s v="Sarah Anderson"/>
    <x v="0"/>
    <x v="4"/>
    <n v="545.44000000000005"/>
    <n v="17"/>
    <n v="0"/>
    <x v="146"/>
    <n v="245.45"/>
  </r>
  <r>
    <s v="CUST010"/>
    <s v="David Thomas"/>
    <x v="1"/>
    <x v="0"/>
    <n v="997.61"/>
    <n v="8"/>
    <n v="0.05"/>
    <x v="146"/>
    <n v="379.09"/>
  </r>
  <r>
    <s v="CUST016"/>
    <s v="David Thomas"/>
    <x v="2"/>
    <x v="1"/>
    <n v="928.32"/>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2FB5D-ACD7-4A0B-A225-94E3D5613F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B57" firstHeaderRow="1" firstDataRow="1" firstDataCol="1"/>
  <pivotFields count="12">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s>
  <rowFields count="4">
    <field x="11"/>
    <field x="10"/>
    <field x="9"/>
    <field x="7"/>
  </rowFields>
  <rowItems count="21">
    <i>
      <x v="1"/>
    </i>
    <i r="1">
      <x v="2"/>
    </i>
    <i r="2">
      <x v="4"/>
    </i>
    <i r="2">
      <x v="5"/>
    </i>
    <i r="2">
      <x v="6"/>
    </i>
    <i r="1">
      <x v="3"/>
    </i>
    <i r="2">
      <x v="7"/>
    </i>
    <i r="2">
      <x v="8"/>
    </i>
    <i r="2">
      <x v="9"/>
    </i>
    <i r="1">
      <x v="4"/>
    </i>
    <i r="2">
      <x v="10"/>
    </i>
    <i r="2">
      <x v="11"/>
    </i>
    <i r="2">
      <x v="12"/>
    </i>
    <i>
      <x v="2"/>
    </i>
    <i r="1">
      <x v="1"/>
    </i>
    <i r="2">
      <x v="1"/>
    </i>
    <i r="2">
      <x v="2"/>
    </i>
    <i r="2">
      <x v="3"/>
    </i>
    <i r="1">
      <x v="2"/>
    </i>
    <i r="2">
      <x v="4"/>
    </i>
    <i t="grand">
      <x/>
    </i>
  </rowItems>
  <colItems count="1">
    <i/>
  </colItems>
  <dataFields count="1">
    <dataField name="Sum of Sales/Purchas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AFC1E2-E03A-4D9D-A4F1-0002DE792EF1}" name="Product v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B26" firstHeaderRow="1" firstDataRow="1" firstDataCol="1"/>
  <pivotFields count="12">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Purchase" fld="4" baseField="0" baseItem="0"/>
  </dataFields>
  <formats count="6">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 chart="7" format="9">
      <pivotArea type="data" outline="0" fieldPosition="0">
        <references count="2">
          <reference field="4294967294" count="1" selected="0">
            <x v="0"/>
          </reference>
          <reference field="3" count="1" selected="0">
            <x v="2"/>
          </reference>
        </references>
      </pivotArea>
    </chartFormat>
    <chartFormat chart="7" format="10">
      <pivotArea type="data" outline="0" fieldPosition="0">
        <references count="2">
          <reference field="4294967294" count="1" selected="0">
            <x v="0"/>
          </reference>
          <reference field="3" count="1" selected="0">
            <x v="3"/>
          </reference>
        </references>
      </pivotArea>
    </chartFormat>
    <chartFormat chart="7" format="11">
      <pivotArea type="data" outline="0" fieldPosition="0">
        <references count="2">
          <reference field="4294967294" count="1" selected="0">
            <x v="0"/>
          </reference>
          <reference field="3"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0"/>
          </reference>
        </references>
      </pivotArea>
    </chartFormat>
    <chartFormat chart="8" format="14">
      <pivotArea type="data" outline="0" fieldPosition="0">
        <references count="2">
          <reference field="4294967294" count="1" selected="0">
            <x v="0"/>
          </reference>
          <reference field="3" count="1" selected="0">
            <x v="1"/>
          </reference>
        </references>
      </pivotArea>
    </chartFormat>
    <chartFormat chart="8" format="15">
      <pivotArea type="data" outline="0" fieldPosition="0">
        <references count="2">
          <reference field="4294967294" count="1" selected="0">
            <x v="0"/>
          </reference>
          <reference field="3" count="1" selected="0">
            <x v="2"/>
          </reference>
        </references>
      </pivotArea>
    </chartFormat>
    <chartFormat chart="8" format="16">
      <pivotArea type="data" outline="0" fieldPosition="0">
        <references count="2">
          <reference field="4294967294" count="1" selected="0">
            <x v="0"/>
          </reference>
          <reference field="3" count="1" selected="0">
            <x v="3"/>
          </reference>
        </references>
      </pivotArea>
    </chartFormat>
    <chartFormat chart="8" format="17">
      <pivotArea type="data" outline="0" fieldPosition="0">
        <references count="2">
          <reference field="4294967294" count="1" selected="0">
            <x v="0"/>
          </reference>
          <reference field="3" count="1" selected="0">
            <x v="4"/>
          </reference>
        </references>
      </pivotArea>
    </chartFormat>
  </chartFormats>
  <pivotTableStyleInfo name="PivotStyleMedium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659274-40A2-4D10-8FF4-0DFF2A78670E}" name="Region vs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2">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Purchase" fld="4" baseField="0" baseItem="0"/>
  </dataFields>
  <formats count="6">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81F6E17-CC92-4F71-A911-73CAE267F2E2}" sourceName="Product_Category">
  <pivotTables>
    <pivotTable tabId="4" name="Region vs Sales"/>
    <pivotTable tabId="4" name="Product vs Sales"/>
  </pivotTables>
  <data>
    <tabular pivotCacheId="210053948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86F04A-DB54-423E-8E2A-B3EC5BB4F10B}" sourceName="Region">
  <pivotTables>
    <pivotTable tabId="4" name="Product vs Sales"/>
    <pivotTable tabId="4" name="Region vs Sales"/>
  </pivotTables>
  <data>
    <tabular pivotCacheId="2100539486">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C77128BA-D3D0-4B4C-9162-795CF2983AE7}" cache="Slicer_Product_Category" caption="Product_Category" columnCount="5" style="SlicerStyleOther1" rowHeight="241300"/>
  <slicer name="Region" xr10:uid="{595448F4-D7CB-41DD-970A-22E76E3D646E}" cache="Slicer_Region" caption="Region" columnCount="5" style="SlicerStyleOther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zoomScale="80" zoomScaleNormal="60" workbookViewId="0">
      <selection activeCell="C2" sqref="C2"/>
    </sheetView>
  </sheetViews>
  <sheetFormatPr defaultColWidth="14.453125" defaultRowHeight="15" customHeight="1" x14ac:dyDescent="0.35"/>
  <cols>
    <col min="1" max="1" width="74.81640625" customWidth="1"/>
    <col min="2" max="26" width="8.7265625" customWidth="1"/>
  </cols>
  <sheetData>
    <row r="1" spans="1:26" ht="14.5"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s="8" customFormat="1" ht="409.6" customHeight="1" x14ac:dyDescent="0.35">
      <c r="A2" s="6" t="s">
        <v>1</v>
      </c>
      <c r="B2" s="7"/>
      <c r="C2" s="7"/>
      <c r="D2" s="7"/>
      <c r="E2" s="7"/>
      <c r="F2" s="7"/>
      <c r="G2" s="7"/>
      <c r="H2" s="7"/>
      <c r="I2" s="7"/>
      <c r="J2" s="7"/>
      <c r="K2" s="7"/>
      <c r="L2" s="7"/>
      <c r="M2" s="7"/>
      <c r="N2" s="7"/>
      <c r="O2" s="7"/>
      <c r="P2" s="7"/>
      <c r="Q2" s="7"/>
      <c r="R2" s="7"/>
      <c r="S2" s="7"/>
      <c r="T2" s="7"/>
      <c r="U2" s="7"/>
      <c r="V2" s="7"/>
      <c r="W2" s="7"/>
      <c r="X2" s="7"/>
      <c r="Y2" s="7"/>
      <c r="Z2" s="7"/>
    </row>
    <row r="3" spans="1:26" ht="14.5" x14ac:dyDescent="0.35">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5">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5">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5">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5">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5">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5">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row r="926" spans="1:26" ht="15.75" customHeight="1" x14ac:dyDescent="0.35"/>
    <row r="927" spans="1:26" ht="15.75" customHeight="1" x14ac:dyDescent="0.35"/>
    <row r="928" spans="1:26"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00"/>
  <sheetViews>
    <sheetView tabSelected="1" topLeftCell="B20" zoomScale="73" workbookViewId="0">
      <selection activeCell="O34" sqref="O34"/>
    </sheetView>
  </sheetViews>
  <sheetFormatPr defaultColWidth="14.453125" defaultRowHeight="15" customHeight="1" x14ac:dyDescent="0.35"/>
  <cols>
    <col min="1" max="1" width="12.453125" customWidth="1"/>
    <col min="2" max="2" width="17.26953125" bestFit="1" customWidth="1"/>
    <col min="3" max="3" width="7.453125" bestFit="1" customWidth="1"/>
    <col min="4" max="4" width="16.81640625" bestFit="1" customWidth="1"/>
    <col min="5" max="5" width="14.54296875" bestFit="1" customWidth="1"/>
    <col min="6" max="6" width="8.7265625" bestFit="1" customWidth="1"/>
    <col min="7" max="7" width="8.7265625" customWidth="1"/>
    <col min="8" max="8" width="11.26953125" customWidth="1"/>
    <col min="9" max="9" width="17.81640625" customWidth="1"/>
    <col min="10" max="10" width="11.26953125" customWidth="1"/>
    <col min="11" max="11" width="12.54296875" customWidth="1"/>
    <col min="12" max="12" width="7" customWidth="1"/>
    <col min="13" max="13" width="10.08984375" bestFit="1" customWidth="1"/>
    <col min="14" max="14" width="8.7265625" customWidth="1"/>
    <col min="15" max="15" width="22.453125" customWidth="1"/>
    <col min="16" max="30" width="8.7265625" customWidth="1"/>
  </cols>
  <sheetData>
    <row r="1" spans="1:30" ht="14.5" x14ac:dyDescent="0.35">
      <c r="A1" s="3" t="s">
        <v>2</v>
      </c>
      <c r="B1" s="3" t="s">
        <v>3</v>
      </c>
      <c r="C1" s="3" t="s">
        <v>4</v>
      </c>
      <c r="D1" s="3" t="s">
        <v>5</v>
      </c>
      <c r="E1" s="3" t="s">
        <v>77</v>
      </c>
      <c r="F1" s="3" t="s">
        <v>6</v>
      </c>
      <c r="G1" s="3" t="s">
        <v>7</v>
      </c>
      <c r="H1" s="3" t="s">
        <v>8</v>
      </c>
      <c r="I1" s="3" t="s">
        <v>168</v>
      </c>
      <c r="J1" s="35" t="s">
        <v>167</v>
      </c>
      <c r="K1" s="35" t="s">
        <v>166</v>
      </c>
      <c r="L1" s="3" t="s">
        <v>9</v>
      </c>
      <c r="M1" s="3"/>
      <c r="N1" s="3"/>
      <c r="O1" s="9" t="s">
        <v>78</v>
      </c>
      <c r="P1" s="3"/>
      <c r="Q1" s="3"/>
      <c r="R1" s="3"/>
      <c r="S1" s="3"/>
      <c r="T1" s="3"/>
      <c r="U1" s="3"/>
      <c r="V1" s="3"/>
      <c r="W1" s="3"/>
      <c r="X1" s="3"/>
      <c r="Y1" s="3"/>
      <c r="Z1" s="3"/>
      <c r="AA1" s="3"/>
      <c r="AB1" s="3"/>
      <c r="AC1" s="3"/>
      <c r="AD1" s="3"/>
    </row>
    <row r="2" spans="1:30" ht="15" customHeight="1" x14ac:dyDescent="0.35">
      <c r="A2" s="4" t="s">
        <v>10</v>
      </c>
      <c r="B2" s="4" t="s">
        <v>11</v>
      </c>
      <c r="C2" s="4" t="s">
        <v>12</v>
      </c>
      <c r="D2" s="4" t="s">
        <v>13</v>
      </c>
      <c r="E2" s="4">
        <v>1036.0899999999999</v>
      </c>
      <c r="F2" s="4">
        <v>4</v>
      </c>
      <c r="G2" s="4">
        <v>0.2</v>
      </c>
      <c r="H2" s="5">
        <v>45392</v>
      </c>
      <c r="I2" s="5" t="str">
        <f>TEXT(H2,"mmm-yyyy")</f>
        <v>Apr-2024</v>
      </c>
      <c r="J2" s="36">
        <f>SUMIF($I$2:$I$201,K2,$E$2:$E$201)</f>
        <v>19029.96</v>
      </c>
      <c r="K2" s="37" t="str" cm="1">
        <f t="array" ref="K2:K14">_xlfn.UNIQUE(I2:I201)</f>
        <v>Apr-2024</v>
      </c>
      <c r="L2" s="4">
        <v>331.55</v>
      </c>
      <c r="O2" s="45" t="s">
        <v>79</v>
      </c>
    </row>
    <row r="3" spans="1:30" ht="14.5" x14ac:dyDescent="0.35">
      <c r="A3" s="4" t="s">
        <v>14</v>
      </c>
      <c r="B3" s="4" t="s">
        <v>15</v>
      </c>
      <c r="C3" s="4" t="s">
        <v>12</v>
      </c>
      <c r="D3" s="4" t="s">
        <v>16</v>
      </c>
      <c r="E3" s="4">
        <v>1101.28</v>
      </c>
      <c r="F3" s="4">
        <v>3</v>
      </c>
      <c r="G3" s="4">
        <v>0.2</v>
      </c>
      <c r="H3" s="5">
        <v>45393</v>
      </c>
      <c r="I3" s="5" t="str">
        <f t="shared" ref="I3:I66" si="0">TEXT(H3,"mmm-yyyy")</f>
        <v>Apr-2024</v>
      </c>
      <c r="J3" s="36">
        <f t="shared" ref="J3:J14" si="1">SUMIF($I$2:$I$201,K3,$E$2:$E$201)</f>
        <v>18507.339999999997</v>
      </c>
      <c r="K3" s="37" t="str">
        <v>May-2024</v>
      </c>
      <c r="L3" s="4">
        <v>440.51</v>
      </c>
      <c r="O3" s="45"/>
    </row>
    <row r="4" spans="1:30" ht="14.5" x14ac:dyDescent="0.35">
      <c r="A4" s="4" t="s">
        <v>17</v>
      </c>
      <c r="B4" s="4" t="s">
        <v>18</v>
      </c>
      <c r="C4" s="4" t="s">
        <v>19</v>
      </c>
      <c r="D4" s="4" t="s">
        <v>13</v>
      </c>
      <c r="E4" s="4">
        <v>713.34</v>
      </c>
      <c r="F4" s="4">
        <v>17</v>
      </c>
      <c r="G4" s="4">
        <v>0</v>
      </c>
      <c r="H4" s="5">
        <v>45396</v>
      </c>
      <c r="I4" s="5" t="str">
        <f t="shared" si="0"/>
        <v>Apr-2024</v>
      </c>
      <c r="J4" s="36">
        <f t="shared" si="1"/>
        <v>20187.509999999998</v>
      </c>
      <c r="K4" s="37" t="str">
        <v>Jun-2024</v>
      </c>
      <c r="L4" s="4">
        <v>285.33999999999997</v>
      </c>
      <c r="O4" s="45"/>
    </row>
    <row r="5" spans="1:30" ht="14.5" x14ac:dyDescent="0.35">
      <c r="A5" s="4" t="s">
        <v>20</v>
      </c>
      <c r="B5" s="4" t="s">
        <v>15</v>
      </c>
      <c r="C5" s="4" t="s">
        <v>21</v>
      </c>
      <c r="D5" s="4" t="s">
        <v>22</v>
      </c>
      <c r="E5" s="4">
        <v>760.93</v>
      </c>
      <c r="F5" s="4">
        <v>4</v>
      </c>
      <c r="G5" s="4">
        <v>0.15</v>
      </c>
      <c r="H5" s="5">
        <v>45396</v>
      </c>
      <c r="I5" s="5" t="str">
        <f t="shared" si="0"/>
        <v>Apr-2024</v>
      </c>
      <c r="J5" s="36">
        <f t="shared" si="1"/>
        <v>11609.039999999999</v>
      </c>
      <c r="K5" s="37" t="str">
        <v>Jul-2024</v>
      </c>
      <c r="L5" s="4">
        <v>161.69999999999999</v>
      </c>
      <c r="O5" s="45"/>
    </row>
    <row r="6" spans="1:30" ht="14.5" x14ac:dyDescent="0.35">
      <c r="A6" s="4" t="s">
        <v>23</v>
      </c>
      <c r="B6" s="4" t="s">
        <v>24</v>
      </c>
      <c r="C6" s="4" t="s">
        <v>25</v>
      </c>
      <c r="D6" s="4" t="s">
        <v>13</v>
      </c>
      <c r="E6" s="4">
        <v>847</v>
      </c>
      <c r="F6" s="4">
        <v>12</v>
      </c>
      <c r="G6" s="4">
        <v>0.2</v>
      </c>
      <c r="H6" s="5">
        <v>45397</v>
      </c>
      <c r="I6" s="5" t="str">
        <f t="shared" si="0"/>
        <v>Apr-2024</v>
      </c>
      <c r="J6" s="36">
        <f t="shared" si="1"/>
        <v>10091.699999999999</v>
      </c>
      <c r="K6" s="37" t="str">
        <v>Aug-2024</v>
      </c>
      <c r="L6" s="4">
        <v>271.04000000000002</v>
      </c>
      <c r="O6" s="45"/>
    </row>
    <row r="7" spans="1:30" ht="14.5" x14ac:dyDescent="0.35">
      <c r="A7" s="4" t="s">
        <v>26</v>
      </c>
      <c r="B7" s="4" t="s">
        <v>27</v>
      </c>
      <c r="C7" s="4" t="s">
        <v>25</v>
      </c>
      <c r="D7" s="4" t="s">
        <v>28</v>
      </c>
      <c r="E7" s="4">
        <v>965.64</v>
      </c>
      <c r="F7" s="4">
        <v>8</v>
      </c>
      <c r="G7" s="4">
        <v>0.1</v>
      </c>
      <c r="H7" s="5">
        <v>45398</v>
      </c>
      <c r="I7" s="5" t="str">
        <f t="shared" si="0"/>
        <v>Apr-2024</v>
      </c>
      <c r="J7" s="36">
        <f t="shared" si="1"/>
        <v>20533.499999999996</v>
      </c>
      <c r="K7" s="37" t="str">
        <v>Sep-2024</v>
      </c>
      <c r="L7" s="4">
        <v>304.18</v>
      </c>
      <c r="O7" s="45"/>
    </row>
    <row r="8" spans="1:30" ht="14.5" x14ac:dyDescent="0.35">
      <c r="A8" s="4" t="s">
        <v>29</v>
      </c>
      <c r="B8" s="4" t="s">
        <v>30</v>
      </c>
      <c r="C8" s="4" t="s">
        <v>12</v>
      </c>
      <c r="D8" s="4" t="s">
        <v>22</v>
      </c>
      <c r="E8" s="4">
        <v>1317.53</v>
      </c>
      <c r="F8" s="4">
        <v>12</v>
      </c>
      <c r="G8" s="4">
        <v>0.05</v>
      </c>
      <c r="H8" s="5">
        <v>45398</v>
      </c>
      <c r="I8" s="5" t="str">
        <f t="shared" si="0"/>
        <v>Apr-2024</v>
      </c>
      <c r="J8" s="36">
        <f t="shared" si="1"/>
        <v>14215.240000000002</v>
      </c>
      <c r="K8" s="37" t="str">
        <v>Oct-2024</v>
      </c>
      <c r="L8" s="4">
        <v>312.91000000000003</v>
      </c>
      <c r="O8" s="45"/>
    </row>
    <row r="9" spans="1:30" ht="14.5" x14ac:dyDescent="0.35">
      <c r="A9" s="4" t="s">
        <v>31</v>
      </c>
      <c r="B9" s="4" t="s">
        <v>32</v>
      </c>
      <c r="C9" s="4" t="s">
        <v>19</v>
      </c>
      <c r="D9" s="4" t="s">
        <v>28</v>
      </c>
      <c r="E9" s="4">
        <v>1074.47</v>
      </c>
      <c r="F9" s="4">
        <v>6</v>
      </c>
      <c r="G9" s="4">
        <v>0.2</v>
      </c>
      <c r="H9" s="5">
        <v>45401</v>
      </c>
      <c r="I9" s="5" t="str">
        <f t="shared" si="0"/>
        <v>Apr-2024</v>
      </c>
      <c r="J9" s="36">
        <f t="shared" si="1"/>
        <v>20135.030000000002</v>
      </c>
      <c r="K9" s="37" t="str">
        <v>Nov-2024</v>
      </c>
      <c r="L9" s="4">
        <v>300.85000000000002</v>
      </c>
    </row>
    <row r="10" spans="1:30" ht="14.5" x14ac:dyDescent="0.35">
      <c r="A10" s="4" t="s">
        <v>33</v>
      </c>
      <c r="B10" s="4" t="s">
        <v>34</v>
      </c>
      <c r="C10" s="4" t="s">
        <v>35</v>
      </c>
      <c r="D10" s="4" t="s">
        <v>13</v>
      </c>
      <c r="E10" s="4">
        <v>501.54</v>
      </c>
      <c r="F10" s="4">
        <v>11</v>
      </c>
      <c r="G10" s="4">
        <v>0.05</v>
      </c>
      <c r="H10" s="5">
        <v>45401</v>
      </c>
      <c r="I10" s="5" t="str">
        <f t="shared" si="0"/>
        <v>Apr-2024</v>
      </c>
      <c r="J10" s="36">
        <f t="shared" si="1"/>
        <v>11120.04</v>
      </c>
      <c r="K10" s="37" t="str">
        <v>Dec-2024</v>
      </c>
      <c r="L10" s="4">
        <v>190.59</v>
      </c>
      <c r="O10" s="9" t="s">
        <v>78</v>
      </c>
    </row>
    <row r="11" spans="1:30" ht="14.5" x14ac:dyDescent="0.35">
      <c r="A11" s="4" t="s">
        <v>36</v>
      </c>
      <c r="B11" s="4" t="s">
        <v>37</v>
      </c>
      <c r="C11" s="4" t="s">
        <v>35</v>
      </c>
      <c r="D11" s="4" t="s">
        <v>16</v>
      </c>
      <c r="E11" s="4">
        <v>737.31</v>
      </c>
      <c r="F11" s="4">
        <v>2</v>
      </c>
      <c r="G11" s="4">
        <v>0.05</v>
      </c>
      <c r="H11" s="5">
        <v>45401</v>
      </c>
      <c r="I11" s="5" t="str">
        <f t="shared" si="0"/>
        <v>Apr-2024</v>
      </c>
      <c r="J11" s="36">
        <f t="shared" si="1"/>
        <v>14914.650000000001</v>
      </c>
      <c r="K11" s="37" t="str">
        <v>Jan-2025</v>
      </c>
      <c r="L11" s="4">
        <v>350.22</v>
      </c>
      <c r="O11" s="46" t="s">
        <v>144</v>
      </c>
    </row>
    <row r="12" spans="1:30" ht="14.5" x14ac:dyDescent="0.35">
      <c r="A12" s="4" t="s">
        <v>38</v>
      </c>
      <c r="B12" s="4" t="s">
        <v>39</v>
      </c>
      <c r="C12" s="4" t="s">
        <v>12</v>
      </c>
      <c r="D12" s="4" t="s">
        <v>40</v>
      </c>
      <c r="E12" s="4">
        <v>1572.82</v>
      </c>
      <c r="F12" s="4">
        <v>6</v>
      </c>
      <c r="G12" s="4">
        <v>0.05</v>
      </c>
      <c r="H12" s="5">
        <v>45402</v>
      </c>
      <c r="I12" s="5" t="str">
        <f t="shared" si="0"/>
        <v>Apr-2024</v>
      </c>
      <c r="J12" s="36">
        <f t="shared" si="1"/>
        <v>14006.359999999999</v>
      </c>
      <c r="K12" s="37" t="str">
        <v>Feb-2025</v>
      </c>
      <c r="L12" s="4">
        <v>672.38</v>
      </c>
      <c r="O12" s="45"/>
    </row>
    <row r="13" spans="1:30" ht="14.5" x14ac:dyDescent="0.35">
      <c r="A13" s="4" t="s">
        <v>38</v>
      </c>
      <c r="B13" s="4" t="s">
        <v>37</v>
      </c>
      <c r="C13" s="4" t="s">
        <v>35</v>
      </c>
      <c r="D13" s="4" t="s">
        <v>13</v>
      </c>
      <c r="E13" s="4">
        <v>1343.13</v>
      </c>
      <c r="F13" s="4">
        <v>14</v>
      </c>
      <c r="G13" s="4">
        <v>0.15</v>
      </c>
      <c r="H13" s="5">
        <v>45404</v>
      </c>
      <c r="I13" s="5" t="str">
        <f t="shared" si="0"/>
        <v>Apr-2024</v>
      </c>
      <c r="J13" s="36">
        <f t="shared" si="1"/>
        <v>17655.219999999998</v>
      </c>
      <c r="K13" s="37" t="str">
        <v>Mar-2025</v>
      </c>
      <c r="L13" s="4">
        <v>456.66</v>
      </c>
      <c r="O13" s="45"/>
    </row>
    <row r="14" spans="1:30" ht="14.5" x14ac:dyDescent="0.35">
      <c r="A14" s="4" t="s">
        <v>26</v>
      </c>
      <c r="B14" s="4" t="s">
        <v>27</v>
      </c>
      <c r="C14" s="4" t="s">
        <v>35</v>
      </c>
      <c r="D14" s="4" t="s">
        <v>13</v>
      </c>
      <c r="E14" s="4">
        <v>1191.58</v>
      </c>
      <c r="F14" s="4">
        <v>14</v>
      </c>
      <c r="G14" s="4">
        <v>0.05</v>
      </c>
      <c r="H14" s="5">
        <v>45406</v>
      </c>
      <c r="I14" s="5" t="str">
        <f t="shared" si="0"/>
        <v>Apr-2024</v>
      </c>
      <c r="J14" s="36">
        <f t="shared" si="1"/>
        <v>3212.17</v>
      </c>
      <c r="K14" s="37" t="str">
        <v>Apr-2025</v>
      </c>
      <c r="L14" s="4">
        <v>452.8</v>
      </c>
      <c r="O14" s="45"/>
    </row>
    <row r="15" spans="1:30" ht="14.5" x14ac:dyDescent="0.35">
      <c r="A15" s="4" t="s">
        <v>41</v>
      </c>
      <c r="B15" s="4" t="s">
        <v>15</v>
      </c>
      <c r="C15" s="4" t="s">
        <v>12</v>
      </c>
      <c r="D15" s="4" t="s">
        <v>28</v>
      </c>
      <c r="E15" s="4">
        <v>822.28</v>
      </c>
      <c r="F15" s="4">
        <v>7</v>
      </c>
      <c r="G15" s="4">
        <v>0.05</v>
      </c>
      <c r="H15" s="5">
        <v>45406</v>
      </c>
      <c r="I15" s="5" t="str">
        <f t="shared" si="0"/>
        <v>Apr-2024</v>
      </c>
      <c r="J15" s="5"/>
      <c r="L15" s="4">
        <v>273.41000000000003</v>
      </c>
      <c r="O15" s="45"/>
    </row>
    <row r="16" spans="1:30" ht="14.5" x14ac:dyDescent="0.35">
      <c r="A16" s="4" t="s">
        <v>42</v>
      </c>
      <c r="B16" s="4" t="s">
        <v>43</v>
      </c>
      <c r="C16" s="4" t="s">
        <v>25</v>
      </c>
      <c r="D16" s="4" t="s">
        <v>28</v>
      </c>
      <c r="E16" s="4">
        <v>521.66999999999996</v>
      </c>
      <c r="F16" s="4">
        <v>15</v>
      </c>
      <c r="G16" s="4">
        <v>0.15</v>
      </c>
      <c r="H16" s="5">
        <v>45409</v>
      </c>
      <c r="I16" s="5" t="str">
        <f t="shared" si="0"/>
        <v>Apr-2024</v>
      </c>
      <c r="J16" s="5"/>
      <c r="L16" s="4">
        <v>155.19999999999999</v>
      </c>
      <c r="O16" s="45"/>
    </row>
    <row r="17" spans="1:15" ht="14.5" x14ac:dyDescent="0.35">
      <c r="A17" s="4" t="s">
        <v>20</v>
      </c>
      <c r="B17" s="4" t="s">
        <v>44</v>
      </c>
      <c r="C17" s="4" t="s">
        <v>21</v>
      </c>
      <c r="D17" s="4" t="s">
        <v>22</v>
      </c>
      <c r="E17" s="4">
        <v>1502.93</v>
      </c>
      <c r="F17" s="4">
        <v>14</v>
      </c>
      <c r="G17" s="4">
        <v>0.2</v>
      </c>
      <c r="H17" s="5">
        <v>45410</v>
      </c>
      <c r="I17" s="5" t="str">
        <f t="shared" si="0"/>
        <v>Apr-2024</v>
      </c>
      <c r="J17" s="5"/>
      <c r="L17" s="4">
        <v>300.58999999999997</v>
      </c>
      <c r="O17" s="45"/>
    </row>
    <row r="18" spans="1:15" ht="14.5" x14ac:dyDescent="0.35">
      <c r="A18" s="4" t="s">
        <v>45</v>
      </c>
      <c r="B18" s="4" t="s">
        <v>15</v>
      </c>
      <c r="C18" s="4" t="s">
        <v>21</v>
      </c>
      <c r="D18" s="4" t="s">
        <v>13</v>
      </c>
      <c r="E18" s="4">
        <v>877.58</v>
      </c>
      <c r="F18" s="4">
        <v>10</v>
      </c>
      <c r="G18" s="4">
        <v>0.15</v>
      </c>
      <c r="H18" s="5">
        <v>45411</v>
      </c>
      <c r="I18" s="5" t="str">
        <f t="shared" si="0"/>
        <v>Apr-2024</v>
      </c>
      <c r="J18" s="5"/>
      <c r="L18" s="4">
        <v>298.38</v>
      </c>
    </row>
    <row r="19" spans="1:15" ht="14.5" x14ac:dyDescent="0.35">
      <c r="A19" s="4" t="s">
        <v>29</v>
      </c>
      <c r="B19" s="4" t="s">
        <v>46</v>
      </c>
      <c r="C19" s="4" t="s">
        <v>12</v>
      </c>
      <c r="D19" s="4" t="s">
        <v>13</v>
      </c>
      <c r="E19" s="4">
        <v>636.70000000000005</v>
      </c>
      <c r="F19" s="4">
        <v>4</v>
      </c>
      <c r="G19" s="4">
        <v>0.2</v>
      </c>
      <c r="H19" s="5">
        <v>45411</v>
      </c>
      <c r="I19" s="5" t="str">
        <f t="shared" si="0"/>
        <v>Apr-2024</v>
      </c>
      <c r="J19" s="5"/>
      <c r="L19" s="4">
        <v>203.74</v>
      </c>
      <c r="O19" s="33" t="s">
        <v>165</v>
      </c>
    </row>
    <row r="20" spans="1:15" ht="14.5" x14ac:dyDescent="0.35">
      <c r="A20" s="4" t="s">
        <v>47</v>
      </c>
      <c r="B20" s="4" t="s">
        <v>48</v>
      </c>
      <c r="C20" s="4" t="s">
        <v>12</v>
      </c>
      <c r="D20" s="4" t="s">
        <v>13</v>
      </c>
      <c r="E20" s="4">
        <v>1506.14</v>
      </c>
      <c r="F20" s="4">
        <v>13</v>
      </c>
      <c r="G20" s="4">
        <v>0.2</v>
      </c>
      <c r="H20" s="5">
        <v>45412</v>
      </c>
      <c r="I20" s="5" t="str">
        <f t="shared" si="0"/>
        <v>Apr-2024</v>
      </c>
      <c r="J20" s="5"/>
      <c r="L20" s="4">
        <v>481.96</v>
      </c>
      <c r="O20" s="34">
        <f ca="1">NOW()</f>
        <v>46069.606960532408</v>
      </c>
    </row>
    <row r="21" spans="1:15" ht="15.75" customHeight="1" x14ac:dyDescent="0.35">
      <c r="A21" s="4" t="s">
        <v>31</v>
      </c>
      <c r="B21" s="4" t="s">
        <v>32</v>
      </c>
      <c r="C21" s="4" t="s">
        <v>35</v>
      </c>
      <c r="D21" s="4" t="s">
        <v>22</v>
      </c>
      <c r="E21" s="4">
        <v>645.02</v>
      </c>
      <c r="F21" s="4">
        <v>4</v>
      </c>
      <c r="G21" s="4">
        <v>0</v>
      </c>
      <c r="H21" s="5">
        <v>45414</v>
      </c>
      <c r="I21" s="5" t="str">
        <f t="shared" si="0"/>
        <v>May-2024</v>
      </c>
      <c r="J21" s="5"/>
      <c r="L21" s="4">
        <v>161.26</v>
      </c>
    </row>
    <row r="22" spans="1:15" ht="15.75" customHeight="1" x14ac:dyDescent="0.35">
      <c r="A22" s="4" t="s">
        <v>26</v>
      </c>
      <c r="B22" s="4" t="s">
        <v>49</v>
      </c>
      <c r="C22" s="4" t="s">
        <v>21</v>
      </c>
      <c r="D22" s="4" t="s">
        <v>16</v>
      </c>
      <c r="E22" s="4">
        <v>953.3</v>
      </c>
      <c r="F22" s="4">
        <v>11</v>
      </c>
      <c r="G22" s="4">
        <v>0</v>
      </c>
      <c r="H22" s="5">
        <v>45415</v>
      </c>
      <c r="I22" s="5" t="str">
        <f t="shared" si="0"/>
        <v>May-2024</v>
      </c>
      <c r="J22" s="5"/>
      <c r="L22" s="4">
        <v>476.65</v>
      </c>
      <c r="O22" s="9" t="s">
        <v>78</v>
      </c>
    </row>
    <row r="23" spans="1:15" ht="15.75" customHeight="1" x14ac:dyDescent="0.35">
      <c r="A23" s="4" t="s">
        <v>50</v>
      </c>
      <c r="B23" s="4" t="s">
        <v>15</v>
      </c>
      <c r="C23" s="4" t="s">
        <v>25</v>
      </c>
      <c r="D23" s="4" t="s">
        <v>22</v>
      </c>
      <c r="E23" s="4">
        <v>388.56</v>
      </c>
      <c r="F23" s="4">
        <v>14</v>
      </c>
      <c r="G23" s="4">
        <v>0.15</v>
      </c>
      <c r="H23" s="5">
        <v>45416</v>
      </c>
      <c r="I23" s="5" t="str">
        <f t="shared" si="0"/>
        <v>May-2024</v>
      </c>
      <c r="J23" s="5"/>
      <c r="L23" s="4">
        <v>82.57</v>
      </c>
      <c r="O23" s="46" t="s">
        <v>169</v>
      </c>
    </row>
    <row r="24" spans="1:15" ht="15.75" customHeight="1" x14ac:dyDescent="0.35">
      <c r="A24" s="4" t="s">
        <v>10</v>
      </c>
      <c r="B24" s="4" t="s">
        <v>32</v>
      </c>
      <c r="C24" s="4" t="s">
        <v>12</v>
      </c>
      <c r="D24" s="4" t="s">
        <v>13</v>
      </c>
      <c r="E24" s="4">
        <v>743.17</v>
      </c>
      <c r="F24" s="4">
        <v>9</v>
      </c>
      <c r="G24" s="4">
        <v>0</v>
      </c>
      <c r="H24" s="5">
        <v>45416</v>
      </c>
      <c r="I24" s="5" t="str">
        <f t="shared" si="0"/>
        <v>May-2024</v>
      </c>
      <c r="J24" s="5"/>
      <c r="L24" s="4">
        <v>297.27</v>
      </c>
      <c r="O24" s="45"/>
    </row>
    <row r="25" spans="1:15" ht="15.75" customHeight="1" x14ac:dyDescent="0.35">
      <c r="A25" s="4" t="s">
        <v>41</v>
      </c>
      <c r="B25" s="4" t="s">
        <v>32</v>
      </c>
      <c r="C25" s="4" t="s">
        <v>35</v>
      </c>
      <c r="D25" s="4" t="s">
        <v>22</v>
      </c>
      <c r="E25" s="4">
        <v>706.37</v>
      </c>
      <c r="F25" s="4">
        <v>6</v>
      </c>
      <c r="G25" s="4">
        <v>0</v>
      </c>
      <c r="H25" s="5">
        <v>45416</v>
      </c>
      <c r="I25" s="5" t="str">
        <f t="shared" si="0"/>
        <v>May-2024</v>
      </c>
      <c r="J25" s="5"/>
      <c r="L25" s="4">
        <v>176.59</v>
      </c>
      <c r="O25" s="45"/>
    </row>
    <row r="26" spans="1:15" ht="15.75" customHeight="1" x14ac:dyDescent="0.35">
      <c r="A26" s="4" t="s">
        <v>14</v>
      </c>
      <c r="B26" s="4" t="s">
        <v>32</v>
      </c>
      <c r="C26" s="4" t="s">
        <v>35</v>
      </c>
      <c r="D26" s="4" t="s">
        <v>40</v>
      </c>
      <c r="E26" s="4">
        <v>925.31</v>
      </c>
      <c r="F26" s="4">
        <v>8</v>
      </c>
      <c r="G26" s="4">
        <v>0.1</v>
      </c>
      <c r="H26" s="5">
        <v>45418</v>
      </c>
      <c r="I26" s="5" t="str">
        <f t="shared" si="0"/>
        <v>May-2024</v>
      </c>
      <c r="J26" s="5"/>
      <c r="L26" s="4">
        <v>374.75</v>
      </c>
      <c r="O26" s="45"/>
    </row>
    <row r="27" spans="1:15" ht="15.75" customHeight="1" x14ac:dyDescent="0.35">
      <c r="A27" s="4" t="s">
        <v>36</v>
      </c>
      <c r="B27" s="4" t="s">
        <v>51</v>
      </c>
      <c r="C27" s="4" t="s">
        <v>21</v>
      </c>
      <c r="D27" s="4" t="s">
        <v>22</v>
      </c>
      <c r="E27" s="4">
        <v>1173.1199999999999</v>
      </c>
      <c r="F27" s="4">
        <v>18</v>
      </c>
      <c r="G27" s="4">
        <v>0</v>
      </c>
      <c r="H27" s="5">
        <v>45418</v>
      </c>
      <c r="I27" s="5" t="str">
        <f t="shared" si="0"/>
        <v>May-2024</v>
      </c>
      <c r="J27" s="5"/>
      <c r="L27" s="4">
        <v>293.27999999999997</v>
      </c>
      <c r="O27" s="45"/>
    </row>
    <row r="28" spans="1:15" ht="15.75" customHeight="1" x14ac:dyDescent="0.35">
      <c r="A28" s="4" t="s">
        <v>23</v>
      </c>
      <c r="B28" s="4" t="s">
        <v>52</v>
      </c>
      <c r="C28" s="4" t="s">
        <v>25</v>
      </c>
      <c r="D28" s="4" t="s">
        <v>28</v>
      </c>
      <c r="E28" s="4">
        <v>675.54</v>
      </c>
      <c r="F28" s="4">
        <v>17</v>
      </c>
      <c r="G28" s="4">
        <v>0</v>
      </c>
      <c r="H28" s="5">
        <v>45420</v>
      </c>
      <c r="I28" s="5" t="str">
        <f t="shared" si="0"/>
        <v>May-2024</v>
      </c>
      <c r="J28" s="5"/>
      <c r="L28" s="4">
        <v>236.44</v>
      </c>
      <c r="O28" s="45"/>
    </row>
    <row r="29" spans="1:15" ht="15.75" customHeight="1" x14ac:dyDescent="0.35">
      <c r="A29" s="4" t="s">
        <v>26</v>
      </c>
      <c r="B29" s="4" t="s">
        <v>15</v>
      </c>
      <c r="C29" s="4" t="s">
        <v>35</v>
      </c>
      <c r="D29" s="4" t="s">
        <v>13</v>
      </c>
      <c r="E29" s="4">
        <v>939.09</v>
      </c>
      <c r="F29" s="4">
        <v>2</v>
      </c>
      <c r="G29" s="4">
        <v>0.05</v>
      </c>
      <c r="H29" s="5">
        <v>45422</v>
      </c>
      <c r="I29" s="5" t="str">
        <f t="shared" si="0"/>
        <v>May-2024</v>
      </c>
      <c r="J29" s="5"/>
      <c r="L29" s="4">
        <v>356.85</v>
      </c>
      <c r="O29" s="45"/>
    </row>
    <row r="30" spans="1:15" ht="15.75" customHeight="1" x14ac:dyDescent="0.35">
      <c r="A30" s="4" t="s">
        <v>53</v>
      </c>
      <c r="B30" s="4" t="s">
        <v>54</v>
      </c>
      <c r="C30" s="4" t="s">
        <v>19</v>
      </c>
      <c r="D30" s="4" t="s">
        <v>40</v>
      </c>
      <c r="E30" s="4">
        <v>983.34</v>
      </c>
      <c r="F30" s="4">
        <v>19</v>
      </c>
      <c r="G30" s="4">
        <v>0.1</v>
      </c>
      <c r="H30" s="5">
        <v>45426</v>
      </c>
      <c r="I30" s="5" t="str">
        <f t="shared" si="0"/>
        <v>May-2024</v>
      </c>
      <c r="J30" s="5"/>
      <c r="L30" s="4">
        <v>398.25</v>
      </c>
    </row>
    <row r="31" spans="1:15" ht="15.75" customHeight="1" x14ac:dyDescent="0.35">
      <c r="A31" s="4" t="s">
        <v>53</v>
      </c>
      <c r="B31" s="4" t="s">
        <v>24</v>
      </c>
      <c r="C31" s="4" t="s">
        <v>21</v>
      </c>
      <c r="D31" s="4" t="s">
        <v>22</v>
      </c>
      <c r="E31" s="4">
        <v>801.21</v>
      </c>
      <c r="F31" s="4">
        <v>3</v>
      </c>
      <c r="G31" s="4">
        <v>0.2</v>
      </c>
      <c r="H31" s="5">
        <v>45426</v>
      </c>
      <c r="I31" s="5" t="str">
        <f t="shared" si="0"/>
        <v>May-2024</v>
      </c>
      <c r="J31" s="5"/>
      <c r="L31" s="4">
        <v>160.24</v>
      </c>
      <c r="O31" s="9" t="s">
        <v>78</v>
      </c>
    </row>
    <row r="32" spans="1:15" ht="15.75" customHeight="1" x14ac:dyDescent="0.35">
      <c r="A32" s="4" t="s">
        <v>55</v>
      </c>
      <c r="B32" s="4" t="s">
        <v>56</v>
      </c>
      <c r="C32" s="4" t="s">
        <v>25</v>
      </c>
      <c r="D32" s="4" t="s">
        <v>22</v>
      </c>
      <c r="E32" s="4">
        <v>1450.71</v>
      </c>
      <c r="F32" s="4">
        <v>5</v>
      </c>
      <c r="G32" s="4">
        <v>0.1</v>
      </c>
      <c r="H32" s="5">
        <v>45427</v>
      </c>
      <c r="I32" s="5" t="str">
        <f t="shared" si="0"/>
        <v>May-2024</v>
      </c>
      <c r="J32" s="5"/>
      <c r="L32" s="4">
        <v>326.41000000000003</v>
      </c>
      <c r="O32" s="57" t="s">
        <v>176</v>
      </c>
    </row>
    <row r="33" spans="1:15" ht="15.75" customHeight="1" x14ac:dyDescent="0.35">
      <c r="A33" s="4" t="s">
        <v>50</v>
      </c>
      <c r="B33" s="4" t="s">
        <v>57</v>
      </c>
      <c r="C33" s="4" t="s">
        <v>35</v>
      </c>
      <c r="D33" s="4" t="s">
        <v>13</v>
      </c>
      <c r="E33" s="4">
        <v>1023.21</v>
      </c>
      <c r="F33" s="4">
        <v>18</v>
      </c>
      <c r="G33" s="4">
        <v>0.05</v>
      </c>
      <c r="H33" s="5">
        <v>45428</v>
      </c>
      <c r="I33" s="5" t="str">
        <f t="shared" si="0"/>
        <v>May-2024</v>
      </c>
      <c r="J33" s="5"/>
      <c r="L33" s="4">
        <v>388.82</v>
      </c>
      <c r="O33" s="46"/>
    </row>
    <row r="34" spans="1:15" ht="15.75" customHeight="1" x14ac:dyDescent="0.35">
      <c r="A34" s="4" t="s">
        <v>29</v>
      </c>
      <c r="B34" s="4" t="s">
        <v>48</v>
      </c>
      <c r="C34" s="4" t="s">
        <v>12</v>
      </c>
      <c r="D34" s="4" t="s">
        <v>28</v>
      </c>
      <c r="E34" s="4">
        <v>853.72</v>
      </c>
      <c r="F34" s="4">
        <v>5</v>
      </c>
      <c r="G34" s="4">
        <v>0.15</v>
      </c>
      <c r="H34" s="5">
        <v>45428</v>
      </c>
      <c r="I34" s="5" t="str">
        <f t="shared" si="0"/>
        <v>May-2024</v>
      </c>
      <c r="J34" s="5"/>
      <c r="L34" s="4">
        <v>253.98</v>
      </c>
    </row>
    <row r="35" spans="1:15" ht="15.75" customHeight="1" x14ac:dyDescent="0.35">
      <c r="A35" s="4" t="s">
        <v>58</v>
      </c>
      <c r="B35" s="4" t="s">
        <v>44</v>
      </c>
      <c r="C35" s="4" t="s">
        <v>21</v>
      </c>
      <c r="D35" s="4" t="s">
        <v>22</v>
      </c>
      <c r="E35" s="4">
        <v>967.89</v>
      </c>
      <c r="F35" s="4">
        <v>10</v>
      </c>
      <c r="G35" s="4">
        <v>0.1</v>
      </c>
      <c r="H35" s="5">
        <v>45429</v>
      </c>
      <c r="I35" s="5" t="str">
        <f t="shared" si="0"/>
        <v>May-2024</v>
      </c>
      <c r="J35" s="5"/>
      <c r="L35" s="4">
        <v>217.78</v>
      </c>
    </row>
    <row r="36" spans="1:15" ht="15.75" customHeight="1" x14ac:dyDescent="0.35">
      <c r="A36" s="4" t="s">
        <v>59</v>
      </c>
      <c r="B36" s="4" t="s">
        <v>54</v>
      </c>
      <c r="C36" s="4" t="s">
        <v>25</v>
      </c>
      <c r="D36" s="4" t="s">
        <v>40</v>
      </c>
      <c r="E36" s="4">
        <v>1200.9000000000001</v>
      </c>
      <c r="F36" s="4">
        <v>14</v>
      </c>
      <c r="G36" s="4">
        <v>0.05</v>
      </c>
      <c r="H36" s="5">
        <v>45429</v>
      </c>
      <c r="I36" s="5" t="str">
        <f t="shared" si="0"/>
        <v>May-2024</v>
      </c>
      <c r="J36" s="5"/>
      <c r="L36" s="4">
        <v>513.38</v>
      </c>
    </row>
    <row r="37" spans="1:15" ht="15.75" customHeight="1" x14ac:dyDescent="0.35">
      <c r="A37" s="4" t="s">
        <v>14</v>
      </c>
      <c r="B37" s="4" t="s">
        <v>27</v>
      </c>
      <c r="C37" s="4" t="s">
        <v>12</v>
      </c>
      <c r="D37" s="4" t="s">
        <v>13</v>
      </c>
      <c r="E37" s="4">
        <v>472.38</v>
      </c>
      <c r="F37" s="4">
        <v>12</v>
      </c>
      <c r="G37" s="4">
        <v>0.2</v>
      </c>
      <c r="H37" s="5">
        <v>45429</v>
      </c>
      <c r="I37" s="5" t="str">
        <f t="shared" si="0"/>
        <v>May-2024</v>
      </c>
      <c r="J37" s="5"/>
      <c r="L37" s="4">
        <v>151.16</v>
      </c>
    </row>
    <row r="38" spans="1:15" ht="15.75" customHeight="1" x14ac:dyDescent="0.35">
      <c r="A38" s="4" t="s">
        <v>10</v>
      </c>
      <c r="B38" s="4" t="s">
        <v>56</v>
      </c>
      <c r="C38" s="4" t="s">
        <v>19</v>
      </c>
      <c r="D38" s="4" t="s">
        <v>40</v>
      </c>
      <c r="E38" s="4">
        <v>840.92</v>
      </c>
      <c r="F38" s="4">
        <v>9</v>
      </c>
      <c r="G38" s="4">
        <v>0.05</v>
      </c>
      <c r="H38" s="5">
        <v>45429</v>
      </c>
      <c r="I38" s="5" t="str">
        <f t="shared" si="0"/>
        <v>May-2024</v>
      </c>
      <c r="J38" s="5"/>
      <c r="L38" s="4">
        <v>359.49</v>
      </c>
    </row>
    <row r="39" spans="1:15" ht="15.75" customHeight="1" x14ac:dyDescent="0.35">
      <c r="A39" s="4" t="s">
        <v>53</v>
      </c>
      <c r="B39" s="4" t="s">
        <v>49</v>
      </c>
      <c r="C39" s="4" t="s">
        <v>35</v>
      </c>
      <c r="D39" s="4" t="s">
        <v>28</v>
      </c>
      <c r="E39" s="4">
        <v>1410.06</v>
      </c>
      <c r="F39" s="4">
        <v>11</v>
      </c>
      <c r="G39" s="4">
        <v>0.05</v>
      </c>
      <c r="H39" s="5">
        <v>45434</v>
      </c>
      <c r="I39" s="5" t="str">
        <f t="shared" si="0"/>
        <v>May-2024</v>
      </c>
      <c r="J39" s="5"/>
      <c r="L39" s="4">
        <v>468.84</v>
      </c>
    </row>
    <row r="40" spans="1:15" ht="15.75" customHeight="1" x14ac:dyDescent="0.35">
      <c r="A40" s="4" t="s">
        <v>45</v>
      </c>
      <c r="B40" s="4" t="s">
        <v>60</v>
      </c>
      <c r="C40" s="4" t="s">
        <v>35</v>
      </c>
      <c r="D40" s="4" t="s">
        <v>28</v>
      </c>
      <c r="E40" s="4">
        <v>773.09</v>
      </c>
      <c r="F40" s="4">
        <v>13</v>
      </c>
      <c r="G40" s="4">
        <v>0.15</v>
      </c>
      <c r="H40" s="5">
        <v>45434</v>
      </c>
      <c r="I40" s="5" t="str">
        <f t="shared" si="0"/>
        <v>May-2024</v>
      </c>
      <c r="J40" s="5"/>
      <c r="L40" s="4">
        <v>229.99</v>
      </c>
    </row>
    <row r="41" spans="1:15" ht="15.75" customHeight="1" x14ac:dyDescent="0.35">
      <c r="A41" s="4" t="s">
        <v>61</v>
      </c>
      <c r="B41" s="4" t="s">
        <v>62</v>
      </c>
      <c r="C41" s="4" t="s">
        <v>19</v>
      </c>
      <c r="D41" s="4" t="s">
        <v>13</v>
      </c>
      <c r="E41" s="4">
        <v>580.42999999999995</v>
      </c>
      <c r="F41" s="4">
        <v>19</v>
      </c>
      <c r="G41" s="4">
        <v>0.15</v>
      </c>
      <c r="H41" s="5">
        <v>45435</v>
      </c>
      <c r="I41" s="5" t="str">
        <f t="shared" si="0"/>
        <v>May-2024</v>
      </c>
      <c r="J41" s="5"/>
      <c r="L41" s="4">
        <v>197.35</v>
      </c>
    </row>
    <row r="42" spans="1:15" ht="15.75" customHeight="1" x14ac:dyDescent="0.35">
      <c r="A42" s="4" t="s">
        <v>20</v>
      </c>
      <c r="B42" s="4" t="s">
        <v>43</v>
      </c>
      <c r="C42" s="4" t="s">
        <v>21</v>
      </c>
      <c r="D42" s="4" t="s">
        <v>13</v>
      </c>
      <c r="E42" s="4">
        <v>1151.21</v>
      </c>
      <c r="F42" s="4">
        <v>15</v>
      </c>
      <c r="G42" s="4">
        <v>0.1</v>
      </c>
      <c r="H42" s="5">
        <v>45445</v>
      </c>
      <c r="I42" s="5" t="str">
        <f t="shared" si="0"/>
        <v>Jun-2024</v>
      </c>
      <c r="J42" s="5"/>
      <c r="L42" s="4">
        <v>414.44</v>
      </c>
    </row>
    <row r="43" spans="1:15" ht="15.75" customHeight="1" x14ac:dyDescent="0.35">
      <c r="A43" s="4" t="s">
        <v>53</v>
      </c>
      <c r="B43" s="4" t="s">
        <v>24</v>
      </c>
      <c r="C43" s="4" t="s">
        <v>35</v>
      </c>
      <c r="D43" s="4" t="s">
        <v>40</v>
      </c>
      <c r="E43" s="4">
        <v>1025.98</v>
      </c>
      <c r="F43" s="4">
        <v>5</v>
      </c>
      <c r="G43" s="4">
        <v>0.2</v>
      </c>
      <c r="H43" s="5">
        <v>45447</v>
      </c>
      <c r="I43" s="5" t="str">
        <f t="shared" si="0"/>
        <v>Jun-2024</v>
      </c>
      <c r="J43" s="5"/>
      <c r="L43" s="4">
        <v>369.35</v>
      </c>
    </row>
    <row r="44" spans="1:15" ht="15.75" customHeight="1" x14ac:dyDescent="0.35">
      <c r="A44" s="4" t="s">
        <v>41</v>
      </c>
      <c r="B44" s="4" t="s">
        <v>57</v>
      </c>
      <c r="C44" s="4" t="s">
        <v>19</v>
      </c>
      <c r="D44" s="4" t="s">
        <v>40</v>
      </c>
      <c r="E44" s="4">
        <v>556.41999999999996</v>
      </c>
      <c r="F44" s="4">
        <v>11</v>
      </c>
      <c r="G44" s="4">
        <v>0.15</v>
      </c>
      <c r="H44" s="5">
        <v>45447</v>
      </c>
      <c r="I44" s="5" t="str">
        <f t="shared" si="0"/>
        <v>Jun-2024</v>
      </c>
      <c r="J44" s="5"/>
      <c r="L44" s="4">
        <v>212.83</v>
      </c>
    </row>
    <row r="45" spans="1:15" ht="15.75" customHeight="1" x14ac:dyDescent="0.35">
      <c r="A45" s="4" t="s">
        <v>58</v>
      </c>
      <c r="B45" s="4" t="s">
        <v>24</v>
      </c>
      <c r="C45" s="4" t="s">
        <v>35</v>
      </c>
      <c r="D45" s="4" t="s">
        <v>13</v>
      </c>
      <c r="E45" s="4">
        <v>840.85</v>
      </c>
      <c r="F45" s="4">
        <v>19</v>
      </c>
      <c r="G45" s="4">
        <v>0.1</v>
      </c>
      <c r="H45" s="5">
        <v>45448</v>
      </c>
      <c r="I45" s="5" t="str">
        <f t="shared" si="0"/>
        <v>Jun-2024</v>
      </c>
      <c r="J45" s="5"/>
      <c r="L45" s="4">
        <v>302.70999999999998</v>
      </c>
    </row>
    <row r="46" spans="1:15" ht="15.75" customHeight="1" x14ac:dyDescent="0.35">
      <c r="A46" s="4" t="s">
        <v>31</v>
      </c>
      <c r="B46" s="4" t="s">
        <v>62</v>
      </c>
      <c r="C46" s="4" t="s">
        <v>25</v>
      </c>
      <c r="D46" s="4" t="s">
        <v>28</v>
      </c>
      <c r="E46" s="4">
        <v>1227.25</v>
      </c>
      <c r="F46" s="4">
        <v>12</v>
      </c>
      <c r="G46" s="4">
        <v>0.15</v>
      </c>
      <c r="H46" s="5">
        <v>45448</v>
      </c>
      <c r="I46" s="5" t="str">
        <f t="shared" si="0"/>
        <v>Jun-2024</v>
      </c>
      <c r="J46" s="5"/>
      <c r="L46" s="4">
        <v>365.11</v>
      </c>
    </row>
    <row r="47" spans="1:15" ht="15.75" customHeight="1" x14ac:dyDescent="0.35">
      <c r="A47" s="4" t="s">
        <v>17</v>
      </c>
      <c r="B47" s="4" t="s">
        <v>63</v>
      </c>
      <c r="C47" s="4" t="s">
        <v>35</v>
      </c>
      <c r="D47" s="4" t="s">
        <v>22</v>
      </c>
      <c r="E47" s="4">
        <v>856.7</v>
      </c>
      <c r="F47" s="4">
        <v>2</v>
      </c>
      <c r="G47" s="4">
        <v>0</v>
      </c>
      <c r="H47" s="5">
        <v>45449</v>
      </c>
      <c r="I47" s="5" t="str">
        <f t="shared" si="0"/>
        <v>Jun-2024</v>
      </c>
      <c r="J47" s="5"/>
      <c r="L47" s="4">
        <v>214.18</v>
      </c>
    </row>
    <row r="48" spans="1:15" ht="15.75" customHeight="1" x14ac:dyDescent="0.35">
      <c r="A48" s="4" t="s">
        <v>55</v>
      </c>
      <c r="B48" s="4" t="s">
        <v>57</v>
      </c>
      <c r="C48" s="4" t="s">
        <v>35</v>
      </c>
      <c r="D48" s="4" t="s">
        <v>40</v>
      </c>
      <c r="E48" s="4">
        <v>1225.42</v>
      </c>
      <c r="F48" s="4">
        <v>8</v>
      </c>
      <c r="G48" s="4">
        <v>0.15</v>
      </c>
      <c r="H48" s="5">
        <v>45449</v>
      </c>
      <c r="I48" s="5" t="str">
        <f t="shared" si="0"/>
        <v>Jun-2024</v>
      </c>
      <c r="J48" s="5"/>
      <c r="L48" s="4">
        <v>468.72</v>
      </c>
    </row>
    <row r="49" spans="1:12" ht="15.75" customHeight="1" x14ac:dyDescent="0.35">
      <c r="A49" s="4" t="s">
        <v>64</v>
      </c>
      <c r="B49" s="4" t="s">
        <v>32</v>
      </c>
      <c r="C49" s="4" t="s">
        <v>25</v>
      </c>
      <c r="D49" s="4" t="s">
        <v>40</v>
      </c>
      <c r="E49" s="4">
        <v>1001.57</v>
      </c>
      <c r="F49" s="4">
        <v>12</v>
      </c>
      <c r="G49" s="4">
        <v>0</v>
      </c>
      <c r="H49" s="5">
        <v>45450</v>
      </c>
      <c r="I49" s="5" t="str">
        <f t="shared" si="0"/>
        <v>Jun-2024</v>
      </c>
      <c r="J49" s="5"/>
      <c r="L49" s="4">
        <v>450.71</v>
      </c>
    </row>
    <row r="50" spans="1:12" ht="15.75" customHeight="1" x14ac:dyDescent="0.35">
      <c r="A50" s="4" t="s">
        <v>58</v>
      </c>
      <c r="B50" s="4" t="s">
        <v>27</v>
      </c>
      <c r="C50" s="4" t="s">
        <v>19</v>
      </c>
      <c r="D50" s="4" t="s">
        <v>28</v>
      </c>
      <c r="E50" s="4">
        <v>1186.8499999999999</v>
      </c>
      <c r="F50" s="4">
        <v>19</v>
      </c>
      <c r="G50" s="4">
        <v>0.2</v>
      </c>
      <c r="H50" s="5">
        <v>45451</v>
      </c>
      <c r="I50" s="5" t="str">
        <f t="shared" si="0"/>
        <v>Jun-2024</v>
      </c>
      <c r="J50" s="5"/>
      <c r="L50" s="4">
        <v>332.32</v>
      </c>
    </row>
    <row r="51" spans="1:12" ht="15.75" customHeight="1" x14ac:dyDescent="0.35">
      <c r="A51" s="4" t="s">
        <v>45</v>
      </c>
      <c r="B51" s="4" t="s">
        <v>52</v>
      </c>
      <c r="C51" s="4" t="s">
        <v>21</v>
      </c>
      <c r="D51" s="4" t="s">
        <v>22</v>
      </c>
      <c r="E51" s="4">
        <v>775.45</v>
      </c>
      <c r="F51" s="4">
        <v>6</v>
      </c>
      <c r="G51" s="4">
        <v>0.1</v>
      </c>
      <c r="H51" s="5">
        <v>45457</v>
      </c>
      <c r="I51" s="5" t="str">
        <f t="shared" si="0"/>
        <v>Jun-2024</v>
      </c>
      <c r="J51" s="5"/>
      <c r="L51" s="4">
        <v>174.48</v>
      </c>
    </row>
    <row r="52" spans="1:12" ht="15.75" customHeight="1" x14ac:dyDescent="0.35">
      <c r="A52" s="4" t="s">
        <v>26</v>
      </c>
      <c r="B52" s="4" t="s">
        <v>34</v>
      </c>
      <c r="C52" s="4" t="s">
        <v>21</v>
      </c>
      <c r="D52" s="4" t="s">
        <v>22</v>
      </c>
      <c r="E52" s="4">
        <v>1021.47</v>
      </c>
      <c r="F52" s="4">
        <v>6</v>
      </c>
      <c r="G52" s="4">
        <v>0.05</v>
      </c>
      <c r="H52" s="5">
        <v>45461</v>
      </c>
      <c r="I52" s="5" t="str">
        <f t="shared" si="0"/>
        <v>Jun-2024</v>
      </c>
      <c r="J52" s="5"/>
      <c r="L52" s="4">
        <v>242.6</v>
      </c>
    </row>
    <row r="53" spans="1:12" ht="15.75" customHeight="1" x14ac:dyDescent="0.35">
      <c r="A53" s="4" t="s">
        <v>59</v>
      </c>
      <c r="B53" s="4" t="s">
        <v>24</v>
      </c>
      <c r="C53" s="4" t="s">
        <v>21</v>
      </c>
      <c r="D53" s="4" t="s">
        <v>16</v>
      </c>
      <c r="E53" s="4">
        <v>1226.6199999999999</v>
      </c>
      <c r="F53" s="4">
        <v>7</v>
      </c>
      <c r="G53" s="4">
        <v>0.1</v>
      </c>
      <c r="H53" s="5">
        <v>45463</v>
      </c>
      <c r="I53" s="5" t="str">
        <f t="shared" si="0"/>
        <v>Jun-2024</v>
      </c>
      <c r="J53" s="5"/>
      <c r="L53" s="4">
        <v>551.98</v>
      </c>
    </row>
    <row r="54" spans="1:12" ht="15.75" customHeight="1" x14ac:dyDescent="0.35">
      <c r="A54" s="4" t="s">
        <v>23</v>
      </c>
      <c r="B54" s="4" t="s">
        <v>65</v>
      </c>
      <c r="C54" s="4" t="s">
        <v>21</v>
      </c>
      <c r="D54" s="4" t="s">
        <v>28</v>
      </c>
      <c r="E54" s="4">
        <v>1086.93</v>
      </c>
      <c r="F54" s="4">
        <v>2</v>
      </c>
      <c r="G54" s="4">
        <v>0</v>
      </c>
      <c r="H54" s="5">
        <v>45464</v>
      </c>
      <c r="I54" s="5" t="str">
        <f t="shared" si="0"/>
        <v>Jun-2024</v>
      </c>
      <c r="J54" s="5"/>
      <c r="L54" s="4">
        <v>380.43</v>
      </c>
    </row>
    <row r="55" spans="1:12" ht="15.75" customHeight="1" x14ac:dyDescent="0.35">
      <c r="A55" s="4" t="s">
        <v>66</v>
      </c>
      <c r="B55" s="4" t="s">
        <v>49</v>
      </c>
      <c r="C55" s="4" t="s">
        <v>12</v>
      </c>
      <c r="D55" s="4" t="s">
        <v>13</v>
      </c>
      <c r="E55" s="4">
        <v>942.9</v>
      </c>
      <c r="F55" s="4">
        <v>18</v>
      </c>
      <c r="G55" s="4">
        <v>0.1</v>
      </c>
      <c r="H55" s="5">
        <v>45466</v>
      </c>
      <c r="I55" s="5" t="str">
        <f t="shared" si="0"/>
        <v>Jun-2024</v>
      </c>
      <c r="J55" s="5"/>
      <c r="L55" s="4">
        <v>339.44</v>
      </c>
    </row>
    <row r="56" spans="1:12" ht="15.75" customHeight="1" x14ac:dyDescent="0.35">
      <c r="A56" s="4" t="s">
        <v>33</v>
      </c>
      <c r="B56" s="4" t="s">
        <v>39</v>
      </c>
      <c r="C56" s="4" t="s">
        <v>25</v>
      </c>
      <c r="D56" s="4" t="s">
        <v>22</v>
      </c>
      <c r="E56" s="4">
        <v>818.8</v>
      </c>
      <c r="F56" s="4">
        <v>15</v>
      </c>
      <c r="G56" s="4">
        <v>0.15</v>
      </c>
      <c r="H56" s="5">
        <v>45468</v>
      </c>
      <c r="I56" s="5" t="str">
        <f t="shared" si="0"/>
        <v>Jun-2024</v>
      </c>
      <c r="J56" s="5"/>
      <c r="L56" s="4">
        <v>173.99</v>
      </c>
    </row>
    <row r="57" spans="1:12" ht="15.75" customHeight="1" x14ac:dyDescent="0.35">
      <c r="A57" s="4" t="s">
        <v>20</v>
      </c>
      <c r="B57" s="4" t="s">
        <v>15</v>
      </c>
      <c r="C57" s="4" t="s">
        <v>21</v>
      </c>
      <c r="D57" s="4" t="s">
        <v>28</v>
      </c>
      <c r="E57" s="4">
        <v>919.04</v>
      </c>
      <c r="F57" s="4">
        <v>10</v>
      </c>
      <c r="G57" s="4">
        <v>0.2</v>
      </c>
      <c r="H57" s="5">
        <v>45468</v>
      </c>
      <c r="I57" s="5" t="str">
        <f t="shared" si="0"/>
        <v>Jun-2024</v>
      </c>
      <c r="J57" s="5"/>
      <c r="L57" s="4">
        <v>257.33</v>
      </c>
    </row>
    <row r="58" spans="1:12" ht="15.75" customHeight="1" x14ac:dyDescent="0.35">
      <c r="A58" s="4" t="s">
        <v>23</v>
      </c>
      <c r="B58" s="4" t="s">
        <v>67</v>
      </c>
      <c r="C58" s="4" t="s">
        <v>35</v>
      </c>
      <c r="D58" s="4" t="s">
        <v>13</v>
      </c>
      <c r="E58" s="4">
        <v>973.26</v>
      </c>
      <c r="F58" s="4">
        <v>11</v>
      </c>
      <c r="G58" s="4">
        <v>0</v>
      </c>
      <c r="H58" s="5">
        <v>45470</v>
      </c>
      <c r="I58" s="5" t="str">
        <f t="shared" si="0"/>
        <v>Jun-2024</v>
      </c>
      <c r="J58" s="5"/>
      <c r="L58" s="4">
        <v>389.3</v>
      </c>
    </row>
    <row r="59" spans="1:12" ht="15.75" customHeight="1" x14ac:dyDescent="0.35">
      <c r="A59" s="4" t="s">
        <v>42</v>
      </c>
      <c r="B59" s="4" t="s">
        <v>65</v>
      </c>
      <c r="C59" s="4" t="s">
        <v>25</v>
      </c>
      <c r="D59" s="4" t="s">
        <v>22</v>
      </c>
      <c r="E59" s="4">
        <v>741.61</v>
      </c>
      <c r="F59" s="4">
        <v>1</v>
      </c>
      <c r="G59" s="4">
        <v>0.2</v>
      </c>
      <c r="H59" s="5">
        <v>45471</v>
      </c>
      <c r="I59" s="5" t="str">
        <f t="shared" si="0"/>
        <v>Jun-2024</v>
      </c>
      <c r="J59" s="5"/>
      <c r="L59" s="4">
        <v>148.32</v>
      </c>
    </row>
    <row r="60" spans="1:12" ht="15.75" customHeight="1" x14ac:dyDescent="0.35">
      <c r="A60" s="4" t="s">
        <v>68</v>
      </c>
      <c r="B60" s="4" t="s">
        <v>39</v>
      </c>
      <c r="C60" s="4" t="s">
        <v>25</v>
      </c>
      <c r="D60" s="4" t="s">
        <v>13</v>
      </c>
      <c r="E60" s="4">
        <v>1248.82</v>
      </c>
      <c r="F60" s="4">
        <v>2</v>
      </c>
      <c r="G60" s="4">
        <v>0.1</v>
      </c>
      <c r="H60" s="5">
        <v>45473</v>
      </c>
      <c r="I60" s="5" t="str">
        <f t="shared" si="0"/>
        <v>Jun-2024</v>
      </c>
      <c r="J60" s="5"/>
      <c r="L60" s="4">
        <v>449.58</v>
      </c>
    </row>
    <row r="61" spans="1:12" ht="15.75" customHeight="1" x14ac:dyDescent="0.35">
      <c r="A61" s="4" t="s">
        <v>14</v>
      </c>
      <c r="B61" s="4" t="s">
        <v>60</v>
      </c>
      <c r="C61" s="4" t="s">
        <v>12</v>
      </c>
      <c r="D61" s="4" t="s">
        <v>16</v>
      </c>
      <c r="E61" s="4">
        <v>1360.36</v>
      </c>
      <c r="F61" s="4">
        <v>17</v>
      </c>
      <c r="G61" s="4">
        <v>0</v>
      </c>
      <c r="H61" s="5">
        <v>45473</v>
      </c>
      <c r="I61" s="5" t="str">
        <f t="shared" si="0"/>
        <v>Jun-2024</v>
      </c>
      <c r="J61" s="5"/>
      <c r="L61" s="4">
        <v>680.18</v>
      </c>
    </row>
    <row r="62" spans="1:12" ht="15.75" customHeight="1" x14ac:dyDescent="0.35">
      <c r="A62" s="4" t="s">
        <v>58</v>
      </c>
      <c r="B62" s="4" t="s">
        <v>32</v>
      </c>
      <c r="C62" s="4" t="s">
        <v>19</v>
      </c>
      <c r="D62" s="4" t="s">
        <v>13</v>
      </c>
      <c r="E62" s="4">
        <v>1383.3</v>
      </c>
      <c r="F62" s="4">
        <v>8</v>
      </c>
      <c r="G62" s="4">
        <v>0.1</v>
      </c>
      <c r="H62" s="5">
        <v>45478</v>
      </c>
      <c r="I62" s="5" t="str">
        <f t="shared" si="0"/>
        <v>Jul-2024</v>
      </c>
      <c r="J62" s="5"/>
      <c r="L62" s="4">
        <v>497.99</v>
      </c>
    </row>
    <row r="63" spans="1:12" ht="15.75" customHeight="1" x14ac:dyDescent="0.35">
      <c r="A63" s="4" t="s">
        <v>36</v>
      </c>
      <c r="B63" s="4" t="s">
        <v>56</v>
      </c>
      <c r="C63" s="4" t="s">
        <v>35</v>
      </c>
      <c r="D63" s="4" t="s">
        <v>40</v>
      </c>
      <c r="E63" s="4">
        <v>488.99</v>
      </c>
      <c r="F63" s="4">
        <v>9</v>
      </c>
      <c r="G63" s="4">
        <v>0</v>
      </c>
      <c r="H63" s="5">
        <v>45479</v>
      </c>
      <c r="I63" s="5" t="str">
        <f t="shared" si="0"/>
        <v>Jul-2024</v>
      </c>
      <c r="J63" s="5"/>
      <c r="L63" s="4">
        <v>220.05</v>
      </c>
    </row>
    <row r="64" spans="1:12" ht="15.75" customHeight="1" x14ac:dyDescent="0.35">
      <c r="A64" s="4" t="s">
        <v>31</v>
      </c>
      <c r="B64" s="4" t="s">
        <v>32</v>
      </c>
      <c r="C64" s="4" t="s">
        <v>19</v>
      </c>
      <c r="D64" s="4" t="s">
        <v>28</v>
      </c>
      <c r="E64" s="4">
        <v>933.71</v>
      </c>
      <c r="F64" s="4">
        <v>17</v>
      </c>
      <c r="G64" s="4">
        <v>0.1</v>
      </c>
      <c r="H64" s="5">
        <v>45481</v>
      </c>
      <c r="I64" s="5" t="str">
        <f t="shared" si="0"/>
        <v>Jul-2024</v>
      </c>
      <c r="J64" s="5"/>
      <c r="L64" s="4">
        <v>294.12</v>
      </c>
    </row>
    <row r="65" spans="1:12" ht="15.75" customHeight="1" x14ac:dyDescent="0.35">
      <c r="A65" s="4" t="s">
        <v>68</v>
      </c>
      <c r="B65" s="4" t="s">
        <v>11</v>
      </c>
      <c r="C65" s="4" t="s">
        <v>12</v>
      </c>
      <c r="D65" s="4" t="s">
        <v>22</v>
      </c>
      <c r="E65" s="4">
        <v>1005.53</v>
      </c>
      <c r="F65" s="4">
        <v>17</v>
      </c>
      <c r="G65" s="4">
        <v>0.2</v>
      </c>
      <c r="H65" s="5">
        <v>45481</v>
      </c>
      <c r="I65" s="5" t="str">
        <f t="shared" si="0"/>
        <v>Jul-2024</v>
      </c>
      <c r="J65" s="5"/>
      <c r="L65" s="4">
        <v>201.11</v>
      </c>
    </row>
    <row r="66" spans="1:12" ht="15.75" customHeight="1" x14ac:dyDescent="0.35">
      <c r="A66" s="4" t="s">
        <v>42</v>
      </c>
      <c r="B66" s="4" t="s">
        <v>62</v>
      </c>
      <c r="C66" s="4" t="s">
        <v>21</v>
      </c>
      <c r="D66" s="4" t="s">
        <v>22</v>
      </c>
      <c r="E66" s="4">
        <v>1100.0999999999999</v>
      </c>
      <c r="F66" s="4">
        <v>5</v>
      </c>
      <c r="G66" s="4">
        <v>0.05</v>
      </c>
      <c r="H66" s="5">
        <v>45482</v>
      </c>
      <c r="I66" s="5" t="str">
        <f t="shared" si="0"/>
        <v>Jul-2024</v>
      </c>
      <c r="J66" s="5"/>
      <c r="L66" s="4">
        <v>261.27</v>
      </c>
    </row>
    <row r="67" spans="1:12" ht="15.75" customHeight="1" x14ac:dyDescent="0.35">
      <c r="A67" s="4" t="s">
        <v>68</v>
      </c>
      <c r="B67" s="4" t="s">
        <v>24</v>
      </c>
      <c r="C67" s="4" t="s">
        <v>25</v>
      </c>
      <c r="D67" s="4" t="s">
        <v>28</v>
      </c>
      <c r="E67" s="4">
        <v>1034.7</v>
      </c>
      <c r="F67" s="4">
        <v>15</v>
      </c>
      <c r="G67" s="4">
        <v>0.15</v>
      </c>
      <c r="H67" s="5">
        <v>45487</v>
      </c>
      <c r="I67" s="5" t="str">
        <f t="shared" ref="I67:I130" si="2">TEXT(H67,"mmm-yyyy")</f>
        <v>Jul-2024</v>
      </c>
      <c r="J67" s="5"/>
      <c r="L67" s="4">
        <v>307.82</v>
      </c>
    </row>
    <row r="68" spans="1:12" ht="15.75" customHeight="1" x14ac:dyDescent="0.35">
      <c r="A68" s="4" t="s">
        <v>66</v>
      </c>
      <c r="B68" s="4" t="s">
        <v>32</v>
      </c>
      <c r="C68" s="4" t="s">
        <v>21</v>
      </c>
      <c r="D68" s="4" t="s">
        <v>13</v>
      </c>
      <c r="E68" s="4">
        <v>876.44</v>
      </c>
      <c r="F68" s="4">
        <v>12</v>
      </c>
      <c r="G68" s="4">
        <v>0.05</v>
      </c>
      <c r="H68" s="5">
        <v>45488</v>
      </c>
      <c r="I68" s="5" t="str">
        <f t="shared" si="2"/>
        <v>Jul-2024</v>
      </c>
      <c r="J68" s="5"/>
      <c r="L68" s="4">
        <v>333.05</v>
      </c>
    </row>
    <row r="69" spans="1:12" ht="15.75" customHeight="1" x14ac:dyDescent="0.35">
      <c r="A69" s="4" t="s">
        <v>69</v>
      </c>
      <c r="B69" s="4" t="s">
        <v>56</v>
      </c>
      <c r="C69" s="4" t="s">
        <v>12</v>
      </c>
      <c r="D69" s="4" t="s">
        <v>28</v>
      </c>
      <c r="E69" s="4">
        <v>1371.34</v>
      </c>
      <c r="F69" s="4">
        <v>5</v>
      </c>
      <c r="G69" s="4">
        <v>0.05</v>
      </c>
      <c r="H69" s="5">
        <v>45488</v>
      </c>
      <c r="I69" s="5" t="str">
        <f t="shared" si="2"/>
        <v>Jul-2024</v>
      </c>
      <c r="J69" s="5"/>
      <c r="L69" s="4">
        <v>455.97</v>
      </c>
    </row>
    <row r="70" spans="1:12" ht="15.75" customHeight="1" x14ac:dyDescent="0.35">
      <c r="A70" s="4" t="s">
        <v>58</v>
      </c>
      <c r="B70" s="4" t="s">
        <v>48</v>
      </c>
      <c r="C70" s="4" t="s">
        <v>25</v>
      </c>
      <c r="D70" s="4" t="s">
        <v>22</v>
      </c>
      <c r="E70" s="4">
        <v>1020.26</v>
      </c>
      <c r="F70" s="4">
        <v>11</v>
      </c>
      <c r="G70" s="4">
        <v>0.05</v>
      </c>
      <c r="H70" s="5">
        <v>45494</v>
      </c>
      <c r="I70" s="5" t="str">
        <f t="shared" si="2"/>
        <v>Jul-2024</v>
      </c>
      <c r="J70" s="5"/>
      <c r="L70" s="4">
        <v>242.31</v>
      </c>
    </row>
    <row r="71" spans="1:12" ht="15.75" customHeight="1" x14ac:dyDescent="0.35">
      <c r="A71" s="4" t="s">
        <v>45</v>
      </c>
      <c r="B71" s="4" t="s">
        <v>11</v>
      </c>
      <c r="C71" s="4" t="s">
        <v>35</v>
      </c>
      <c r="D71" s="4" t="s">
        <v>40</v>
      </c>
      <c r="E71" s="4">
        <v>804.81</v>
      </c>
      <c r="F71" s="4">
        <v>1</v>
      </c>
      <c r="G71" s="4">
        <v>0.05</v>
      </c>
      <c r="H71" s="5">
        <v>45502</v>
      </c>
      <c r="I71" s="5" t="str">
        <f t="shared" si="2"/>
        <v>Jul-2024</v>
      </c>
      <c r="J71" s="5"/>
      <c r="L71" s="4">
        <v>344.06</v>
      </c>
    </row>
    <row r="72" spans="1:12" ht="15.75" customHeight="1" x14ac:dyDescent="0.35">
      <c r="A72" s="4" t="s">
        <v>23</v>
      </c>
      <c r="B72" s="4" t="s">
        <v>56</v>
      </c>
      <c r="C72" s="4" t="s">
        <v>35</v>
      </c>
      <c r="D72" s="4" t="s">
        <v>22</v>
      </c>
      <c r="E72" s="4">
        <v>608.66</v>
      </c>
      <c r="F72" s="4">
        <v>1</v>
      </c>
      <c r="G72" s="4">
        <v>0.05</v>
      </c>
      <c r="H72" s="5">
        <v>45503</v>
      </c>
      <c r="I72" s="5" t="str">
        <f t="shared" si="2"/>
        <v>Jul-2024</v>
      </c>
      <c r="J72" s="5"/>
      <c r="L72" s="4">
        <v>144.56</v>
      </c>
    </row>
    <row r="73" spans="1:12" ht="15.75" customHeight="1" x14ac:dyDescent="0.35">
      <c r="A73" s="4" t="s">
        <v>69</v>
      </c>
      <c r="B73" s="4" t="s">
        <v>70</v>
      </c>
      <c r="C73" s="4" t="s">
        <v>21</v>
      </c>
      <c r="D73" s="4" t="s">
        <v>40</v>
      </c>
      <c r="E73" s="4">
        <v>981.2</v>
      </c>
      <c r="F73" s="4">
        <v>19</v>
      </c>
      <c r="G73" s="4">
        <v>0</v>
      </c>
      <c r="H73" s="5">
        <v>45504</v>
      </c>
      <c r="I73" s="5" t="str">
        <f t="shared" si="2"/>
        <v>Jul-2024</v>
      </c>
      <c r="J73" s="5"/>
      <c r="L73" s="4">
        <v>441.54</v>
      </c>
    </row>
    <row r="74" spans="1:12" ht="15.75" customHeight="1" x14ac:dyDescent="0.35">
      <c r="A74" s="4" t="s">
        <v>71</v>
      </c>
      <c r="B74" s="4" t="s">
        <v>56</v>
      </c>
      <c r="C74" s="4" t="s">
        <v>19</v>
      </c>
      <c r="D74" s="4" t="s">
        <v>22</v>
      </c>
      <c r="E74" s="4">
        <v>539.77</v>
      </c>
      <c r="F74" s="4">
        <v>10</v>
      </c>
      <c r="G74" s="4">
        <v>0.15</v>
      </c>
      <c r="H74" s="5">
        <v>45509</v>
      </c>
      <c r="I74" s="5" t="str">
        <f t="shared" si="2"/>
        <v>Aug-2024</v>
      </c>
      <c r="J74" s="5"/>
      <c r="L74" s="4">
        <v>114.7</v>
      </c>
    </row>
    <row r="75" spans="1:12" ht="15.75" customHeight="1" x14ac:dyDescent="0.35">
      <c r="A75" s="4" t="s">
        <v>14</v>
      </c>
      <c r="B75" s="4" t="s">
        <v>72</v>
      </c>
      <c r="C75" s="4" t="s">
        <v>21</v>
      </c>
      <c r="D75" s="4" t="s">
        <v>13</v>
      </c>
      <c r="E75" s="4">
        <v>804.45</v>
      </c>
      <c r="F75" s="4">
        <v>5</v>
      </c>
      <c r="G75" s="4">
        <v>0.2</v>
      </c>
      <c r="H75" s="5">
        <v>45509</v>
      </c>
      <c r="I75" s="5" t="str">
        <f t="shared" si="2"/>
        <v>Aug-2024</v>
      </c>
      <c r="J75" s="5"/>
      <c r="L75" s="4">
        <v>257.42</v>
      </c>
    </row>
    <row r="76" spans="1:12" ht="15.75" customHeight="1" x14ac:dyDescent="0.35">
      <c r="A76" s="4" t="s">
        <v>71</v>
      </c>
      <c r="B76" s="4" t="s">
        <v>39</v>
      </c>
      <c r="C76" s="4" t="s">
        <v>12</v>
      </c>
      <c r="D76" s="4" t="s">
        <v>22</v>
      </c>
      <c r="E76" s="4">
        <v>1526.6</v>
      </c>
      <c r="F76" s="4">
        <v>13</v>
      </c>
      <c r="G76" s="4">
        <v>0.2</v>
      </c>
      <c r="H76" s="5">
        <v>45512</v>
      </c>
      <c r="I76" s="5" t="str">
        <f t="shared" si="2"/>
        <v>Aug-2024</v>
      </c>
      <c r="J76" s="5"/>
      <c r="L76" s="4">
        <v>305.32</v>
      </c>
    </row>
    <row r="77" spans="1:12" ht="15.75" customHeight="1" x14ac:dyDescent="0.35">
      <c r="A77" s="4" t="s">
        <v>14</v>
      </c>
      <c r="B77" s="4" t="s">
        <v>30</v>
      </c>
      <c r="C77" s="4" t="s">
        <v>12</v>
      </c>
      <c r="D77" s="4" t="s">
        <v>22</v>
      </c>
      <c r="E77" s="4">
        <v>1215.26</v>
      </c>
      <c r="F77" s="4">
        <v>5</v>
      </c>
      <c r="G77" s="4">
        <v>0.15</v>
      </c>
      <c r="H77" s="5">
        <v>45513</v>
      </c>
      <c r="I77" s="5" t="str">
        <f t="shared" si="2"/>
        <v>Aug-2024</v>
      </c>
      <c r="J77" s="5"/>
      <c r="L77" s="4">
        <v>258.24</v>
      </c>
    </row>
    <row r="78" spans="1:12" ht="15.75" customHeight="1" x14ac:dyDescent="0.35">
      <c r="A78" s="4" t="s">
        <v>20</v>
      </c>
      <c r="B78" s="4" t="s">
        <v>54</v>
      </c>
      <c r="C78" s="4" t="s">
        <v>35</v>
      </c>
      <c r="D78" s="4" t="s">
        <v>28</v>
      </c>
      <c r="E78" s="4">
        <v>1261.3399999999999</v>
      </c>
      <c r="F78" s="4">
        <v>3</v>
      </c>
      <c r="G78" s="4">
        <v>0</v>
      </c>
      <c r="H78" s="5">
        <v>45519</v>
      </c>
      <c r="I78" s="5" t="str">
        <f t="shared" si="2"/>
        <v>Aug-2024</v>
      </c>
      <c r="J78" s="5"/>
      <c r="L78" s="4">
        <v>441.47</v>
      </c>
    </row>
    <row r="79" spans="1:12" ht="15.75" customHeight="1" x14ac:dyDescent="0.35">
      <c r="A79" s="4" t="s">
        <v>73</v>
      </c>
      <c r="B79" s="4" t="s">
        <v>46</v>
      </c>
      <c r="C79" s="4" t="s">
        <v>25</v>
      </c>
      <c r="D79" s="4" t="s">
        <v>28</v>
      </c>
      <c r="E79" s="4">
        <v>518.07000000000005</v>
      </c>
      <c r="F79" s="4">
        <v>7</v>
      </c>
      <c r="G79" s="4">
        <v>0.05</v>
      </c>
      <c r="H79" s="5">
        <v>45522</v>
      </c>
      <c r="I79" s="5" t="str">
        <f t="shared" si="2"/>
        <v>Aug-2024</v>
      </c>
      <c r="J79" s="5"/>
      <c r="L79" s="4">
        <v>172.26</v>
      </c>
    </row>
    <row r="80" spans="1:12" ht="15.75" customHeight="1" x14ac:dyDescent="0.35">
      <c r="A80" s="4" t="s">
        <v>31</v>
      </c>
      <c r="B80" s="4" t="s">
        <v>30</v>
      </c>
      <c r="C80" s="4" t="s">
        <v>12</v>
      </c>
      <c r="D80" s="4" t="s">
        <v>40</v>
      </c>
      <c r="E80" s="4">
        <v>1111.3399999999999</v>
      </c>
      <c r="F80" s="4">
        <v>1</v>
      </c>
      <c r="G80" s="4">
        <v>0</v>
      </c>
      <c r="H80" s="5">
        <v>45523</v>
      </c>
      <c r="I80" s="5" t="str">
        <f t="shared" si="2"/>
        <v>Aug-2024</v>
      </c>
      <c r="J80" s="5"/>
      <c r="L80" s="4">
        <v>500.1</v>
      </c>
    </row>
    <row r="81" spans="1:12" ht="15.75" customHeight="1" x14ac:dyDescent="0.35">
      <c r="A81" s="4" t="s">
        <v>23</v>
      </c>
      <c r="B81" s="4" t="s">
        <v>32</v>
      </c>
      <c r="C81" s="4" t="s">
        <v>19</v>
      </c>
      <c r="D81" s="4" t="s">
        <v>16</v>
      </c>
      <c r="E81" s="4">
        <v>1291.47</v>
      </c>
      <c r="F81" s="4">
        <v>18</v>
      </c>
      <c r="G81" s="4">
        <v>0.1</v>
      </c>
      <c r="H81" s="5">
        <v>45526</v>
      </c>
      <c r="I81" s="5" t="str">
        <f t="shared" si="2"/>
        <v>Aug-2024</v>
      </c>
      <c r="J81" s="5"/>
      <c r="L81" s="4">
        <v>581.16</v>
      </c>
    </row>
    <row r="82" spans="1:12" ht="15.75" customHeight="1" x14ac:dyDescent="0.35">
      <c r="A82" s="4" t="s">
        <v>26</v>
      </c>
      <c r="B82" s="4" t="s">
        <v>56</v>
      </c>
      <c r="C82" s="4" t="s">
        <v>25</v>
      </c>
      <c r="D82" s="4" t="s">
        <v>13</v>
      </c>
      <c r="E82" s="4">
        <v>679.71</v>
      </c>
      <c r="F82" s="4">
        <v>19</v>
      </c>
      <c r="G82" s="4">
        <v>0</v>
      </c>
      <c r="H82" s="5">
        <v>45534</v>
      </c>
      <c r="I82" s="5" t="str">
        <f t="shared" si="2"/>
        <v>Aug-2024</v>
      </c>
      <c r="J82" s="5"/>
      <c r="L82" s="4">
        <v>271.88</v>
      </c>
    </row>
    <row r="83" spans="1:12" ht="15.75" customHeight="1" x14ac:dyDescent="0.35">
      <c r="A83" s="4" t="s">
        <v>69</v>
      </c>
      <c r="B83" s="4" t="s">
        <v>34</v>
      </c>
      <c r="C83" s="4" t="s">
        <v>19</v>
      </c>
      <c r="D83" s="4" t="s">
        <v>28</v>
      </c>
      <c r="E83" s="4">
        <v>1143.69</v>
      </c>
      <c r="F83" s="4">
        <v>17</v>
      </c>
      <c r="G83" s="4">
        <v>0</v>
      </c>
      <c r="H83" s="5">
        <v>45534</v>
      </c>
      <c r="I83" s="5" t="str">
        <f t="shared" si="2"/>
        <v>Aug-2024</v>
      </c>
      <c r="J83" s="5"/>
      <c r="L83" s="4">
        <v>400.29</v>
      </c>
    </row>
    <row r="84" spans="1:12" ht="15.75" customHeight="1" x14ac:dyDescent="0.35">
      <c r="A84" s="4" t="s">
        <v>53</v>
      </c>
      <c r="B84" s="4" t="s">
        <v>51</v>
      </c>
      <c r="C84" s="4" t="s">
        <v>35</v>
      </c>
      <c r="D84" s="4" t="s">
        <v>22</v>
      </c>
      <c r="E84" s="4">
        <v>790.08</v>
      </c>
      <c r="F84" s="4">
        <v>7</v>
      </c>
      <c r="G84" s="4">
        <v>0.1</v>
      </c>
      <c r="H84" s="5">
        <v>45536</v>
      </c>
      <c r="I84" s="5" t="str">
        <f t="shared" si="2"/>
        <v>Sep-2024</v>
      </c>
      <c r="J84" s="5"/>
      <c r="L84" s="4">
        <v>177.77</v>
      </c>
    </row>
    <row r="85" spans="1:12" ht="15.75" customHeight="1" x14ac:dyDescent="0.35">
      <c r="A85" s="4" t="s">
        <v>20</v>
      </c>
      <c r="B85" s="4" t="s">
        <v>49</v>
      </c>
      <c r="C85" s="4" t="s">
        <v>35</v>
      </c>
      <c r="D85" s="4" t="s">
        <v>13</v>
      </c>
      <c r="E85" s="4">
        <v>1070.68</v>
      </c>
      <c r="F85" s="4">
        <v>7</v>
      </c>
      <c r="G85" s="4">
        <v>0.05</v>
      </c>
      <c r="H85" s="5">
        <v>45536</v>
      </c>
      <c r="I85" s="5" t="str">
        <f t="shared" si="2"/>
        <v>Sep-2024</v>
      </c>
      <c r="J85" s="5"/>
      <c r="L85" s="4">
        <v>406.86</v>
      </c>
    </row>
    <row r="86" spans="1:12" ht="15.75" customHeight="1" x14ac:dyDescent="0.35">
      <c r="A86" s="4" t="s">
        <v>59</v>
      </c>
      <c r="B86" s="4" t="s">
        <v>37</v>
      </c>
      <c r="C86" s="4" t="s">
        <v>12</v>
      </c>
      <c r="D86" s="4" t="s">
        <v>16</v>
      </c>
      <c r="E86" s="4">
        <v>1168.8900000000001</v>
      </c>
      <c r="F86" s="4">
        <v>4</v>
      </c>
      <c r="G86" s="4">
        <v>0.1</v>
      </c>
      <c r="H86" s="5">
        <v>45544</v>
      </c>
      <c r="I86" s="5" t="str">
        <f t="shared" si="2"/>
        <v>Sep-2024</v>
      </c>
      <c r="J86" s="5"/>
      <c r="L86" s="4">
        <v>526</v>
      </c>
    </row>
    <row r="87" spans="1:12" ht="15.75" customHeight="1" x14ac:dyDescent="0.35">
      <c r="A87" s="4" t="s">
        <v>68</v>
      </c>
      <c r="B87" s="4" t="s">
        <v>11</v>
      </c>
      <c r="C87" s="4" t="s">
        <v>21</v>
      </c>
      <c r="D87" s="4" t="s">
        <v>22</v>
      </c>
      <c r="E87" s="4">
        <v>1335.87</v>
      </c>
      <c r="F87" s="4">
        <v>17</v>
      </c>
      <c r="G87" s="4">
        <v>0</v>
      </c>
      <c r="H87" s="5">
        <v>45544</v>
      </c>
      <c r="I87" s="5" t="str">
        <f t="shared" si="2"/>
        <v>Sep-2024</v>
      </c>
      <c r="J87" s="5"/>
      <c r="L87" s="4">
        <v>333.97</v>
      </c>
    </row>
    <row r="88" spans="1:12" ht="15.75" customHeight="1" x14ac:dyDescent="0.35">
      <c r="A88" s="4" t="s">
        <v>41</v>
      </c>
      <c r="B88" s="4" t="s">
        <v>56</v>
      </c>
      <c r="C88" s="4" t="s">
        <v>19</v>
      </c>
      <c r="D88" s="4" t="s">
        <v>28</v>
      </c>
      <c r="E88" s="4">
        <v>873.7</v>
      </c>
      <c r="F88" s="4">
        <v>9</v>
      </c>
      <c r="G88" s="4">
        <v>0</v>
      </c>
      <c r="H88" s="5">
        <v>45546</v>
      </c>
      <c r="I88" s="5" t="str">
        <f t="shared" si="2"/>
        <v>Sep-2024</v>
      </c>
      <c r="J88" s="5"/>
      <c r="L88" s="4">
        <v>305.8</v>
      </c>
    </row>
    <row r="89" spans="1:12" ht="15.75" customHeight="1" x14ac:dyDescent="0.35">
      <c r="A89" s="4" t="s">
        <v>73</v>
      </c>
      <c r="B89" s="4" t="s">
        <v>65</v>
      </c>
      <c r="C89" s="4" t="s">
        <v>12</v>
      </c>
      <c r="D89" s="4" t="s">
        <v>40</v>
      </c>
      <c r="E89" s="4">
        <v>1443.98</v>
      </c>
      <c r="F89" s="4">
        <v>19</v>
      </c>
      <c r="G89" s="4">
        <v>0</v>
      </c>
      <c r="H89" s="5">
        <v>45547</v>
      </c>
      <c r="I89" s="5" t="str">
        <f t="shared" si="2"/>
        <v>Sep-2024</v>
      </c>
      <c r="J89" s="5"/>
      <c r="L89" s="4">
        <v>649.79</v>
      </c>
    </row>
    <row r="90" spans="1:12" ht="15.75" customHeight="1" x14ac:dyDescent="0.35">
      <c r="A90" s="4" t="s">
        <v>41</v>
      </c>
      <c r="B90" s="4" t="s">
        <v>24</v>
      </c>
      <c r="C90" s="4" t="s">
        <v>19</v>
      </c>
      <c r="D90" s="4" t="s">
        <v>40</v>
      </c>
      <c r="E90" s="4">
        <v>1154.33</v>
      </c>
      <c r="F90" s="4">
        <v>11</v>
      </c>
      <c r="G90" s="4">
        <v>0.15</v>
      </c>
      <c r="H90" s="5">
        <v>45549</v>
      </c>
      <c r="I90" s="5" t="str">
        <f t="shared" si="2"/>
        <v>Sep-2024</v>
      </c>
      <c r="J90" s="5"/>
      <c r="L90" s="4">
        <v>441.53</v>
      </c>
    </row>
    <row r="91" spans="1:12" ht="15.75" customHeight="1" x14ac:dyDescent="0.35">
      <c r="A91" s="4" t="s">
        <v>50</v>
      </c>
      <c r="B91" s="4" t="s">
        <v>51</v>
      </c>
      <c r="C91" s="4" t="s">
        <v>21</v>
      </c>
      <c r="D91" s="4" t="s">
        <v>13</v>
      </c>
      <c r="E91" s="4">
        <v>1264.49</v>
      </c>
      <c r="F91" s="4">
        <v>16</v>
      </c>
      <c r="G91" s="4">
        <v>0.05</v>
      </c>
      <c r="H91" s="5">
        <v>45549</v>
      </c>
      <c r="I91" s="5" t="str">
        <f t="shared" si="2"/>
        <v>Sep-2024</v>
      </c>
      <c r="J91" s="5"/>
      <c r="L91" s="4">
        <v>480.51</v>
      </c>
    </row>
    <row r="92" spans="1:12" ht="15.75" customHeight="1" x14ac:dyDescent="0.35">
      <c r="A92" s="4" t="s">
        <v>26</v>
      </c>
      <c r="B92" s="4" t="s">
        <v>67</v>
      </c>
      <c r="C92" s="4" t="s">
        <v>12</v>
      </c>
      <c r="D92" s="4" t="s">
        <v>28</v>
      </c>
      <c r="E92" s="4">
        <v>1101.55</v>
      </c>
      <c r="F92" s="4">
        <v>4</v>
      </c>
      <c r="G92" s="4">
        <v>0.1</v>
      </c>
      <c r="H92" s="5">
        <v>45551</v>
      </c>
      <c r="I92" s="5" t="str">
        <f t="shared" si="2"/>
        <v>Sep-2024</v>
      </c>
      <c r="J92" s="5"/>
      <c r="L92" s="4">
        <v>346.99</v>
      </c>
    </row>
    <row r="93" spans="1:12" ht="15.75" customHeight="1" x14ac:dyDescent="0.35">
      <c r="A93" s="4" t="s">
        <v>74</v>
      </c>
      <c r="B93" s="4" t="s">
        <v>15</v>
      </c>
      <c r="C93" s="4" t="s">
        <v>21</v>
      </c>
      <c r="D93" s="4" t="s">
        <v>28</v>
      </c>
      <c r="E93" s="4">
        <v>727.73</v>
      </c>
      <c r="F93" s="4">
        <v>1</v>
      </c>
      <c r="G93" s="4">
        <v>0.1</v>
      </c>
      <c r="H93" s="5">
        <v>45552</v>
      </c>
      <c r="I93" s="5" t="str">
        <f t="shared" si="2"/>
        <v>Sep-2024</v>
      </c>
      <c r="J93" s="5"/>
      <c r="L93" s="4">
        <v>229.23</v>
      </c>
    </row>
    <row r="94" spans="1:12" ht="15.75" customHeight="1" x14ac:dyDescent="0.35">
      <c r="A94" s="4" t="s">
        <v>75</v>
      </c>
      <c r="B94" s="4" t="s">
        <v>39</v>
      </c>
      <c r="C94" s="4" t="s">
        <v>19</v>
      </c>
      <c r="D94" s="4" t="s">
        <v>40</v>
      </c>
      <c r="E94" s="4">
        <v>875.41</v>
      </c>
      <c r="F94" s="4">
        <v>13</v>
      </c>
      <c r="G94" s="4">
        <v>0.15</v>
      </c>
      <c r="H94" s="5">
        <v>45552</v>
      </c>
      <c r="I94" s="5" t="str">
        <f t="shared" si="2"/>
        <v>Sep-2024</v>
      </c>
      <c r="J94" s="5"/>
      <c r="L94" s="4">
        <v>334.84</v>
      </c>
    </row>
    <row r="95" spans="1:12" ht="15.75" customHeight="1" x14ac:dyDescent="0.35">
      <c r="A95" s="4" t="s">
        <v>68</v>
      </c>
      <c r="B95" s="4" t="s">
        <v>24</v>
      </c>
      <c r="C95" s="4" t="s">
        <v>12</v>
      </c>
      <c r="D95" s="4" t="s">
        <v>22</v>
      </c>
      <c r="E95" s="4">
        <v>1158.94</v>
      </c>
      <c r="F95" s="4">
        <v>19</v>
      </c>
      <c r="G95" s="4">
        <v>0.2</v>
      </c>
      <c r="H95" s="5">
        <v>45553</v>
      </c>
      <c r="I95" s="5" t="str">
        <f t="shared" si="2"/>
        <v>Sep-2024</v>
      </c>
      <c r="J95" s="5"/>
      <c r="L95" s="4">
        <v>231.79</v>
      </c>
    </row>
    <row r="96" spans="1:12" ht="15.75" customHeight="1" x14ac:dyDescent="0.35">
      <c r="A96" s="4" t="s">
        <v>76</v>
      </c>
      <c r="B96" s="4" t="s">
        <v>48</v>
      </c>
      <c r="C96" s="4" t="s">
        <v>21</v>
      </c>
      <c r="D96" s="4" t="s">
        <v>13</v>
      </c>
      <c r="E96" s="4">
        <v>966.3</v>
      </c>
      <c r="F96" s="4">
        <v>2</v>
      </c>
      <c r="G96" s="4">
        <v>0.15</v>
      </c>
      <c r="H96" s="5">
        <v>45557</v>
      </c>
      <c r="I96" s="5" t="str">
        <f t="shared" si="2"/>
        <v>Sep-2024</v>
      </c>
      <c r="J96" s="5"/>
      <c r="L96" s="4">
        <v>328.54</v>
      </c>
    </row>
    <row r="97" spans="1:12" ht="15.75" customHeight="1" x14ac:dyDescent="0.35">
      <c r="A97" s="4" t="s">
        <v>69</v>
      </c>
      <c r="B97" s="4" t="s">
        <v>18</v>
      </c>
      <c r="C97" s="4" t="s">
        <v>21</v>
      </c>
      <c r="D97" s="4" t="s">
        <v>13</v>
      </c>
      <c r="E97" s="4">
        <v>917.48</v>
      </c>
      <c r="F97" s="4">
        <v>6</v>
      </c>
      <c r="G97" s="4">
        <v>0</v>
      </c>
      <c r="H97" s="5">
        <v>45558</v>
      </c>
      <c r="I97" s="5" t="str">
        <f t="shared" si="2"/>
        <v>Sep-2024</v>
      </c>
      <c r="J97" s="5"/>
      <c r="L97" s="4">
        <v>366.99</v>
      </c>
    </row>
    <row r="98" spans="1:12" ht="15.75" customHeight="1" x14ac:dyDescent="0.35">
      <c r="A98" s="4" t="s">
        <v>42</v>
      </c>
      <c r="B98" s="4" t="s">
        <v>62</v>
      </c>
      <c r="C98" s="4" t="s">
        <v>12</v>
      </c>
      <c r="D98" s="4" t="s">
        <v>28</v>
      </c>
      <c r="E98" s="4">
        <v>1172.97</v>
      </c>
      <c r="F98" s="4">
        <v>7</v>
      </c>
      <c r="G98" s="4">
        <v>0.15</v>
      </c>
      <c r="H98" s="5">
        <v>45559</v>
      </c>
      <c r="I98" s="5" t="str">
        <f t="shared" si="2"/>
        <v>Sep-2024</v>
      </c>
      <c r="J98" s="5"/>
      <c r="L98" s="4">
        <v>348.96</v>
      </c>
    </row>
    <row r="99" spans="1:12" ht="15.75" customHeight="1" x14ac:dyDescent="0.35">
      <c r="A99" s="4" t="s">
        <v>58</v>
      </c>
      <c r="B99" s="4" t="s">
        <v>24</v>
      </c>
      <c r="C99" s="4" t="s">
        <v>25</v>
      </c>
      <c r="D99" s="4" t="s">
        <v>16</v>
      </c>
      <c r="E99" s="4">
        <v>1205.82</v>
      </c>
      <c r="F99" s="4">
        <v>11</v>
      </c>
      <c r="G99" s="4">
        <v>0.1</v>
      </c>
      <c r="H99" s="5">
        <v>45559</v>
      </c>
      <c r="I99" s="5" t="str">
        <f t="shared" si="2"/>
        <v>Sep-2024</v>
      </c>
      <c r="J99" s="5"/>
      <c r="L99" s="4">
        <v>542.62</v>
      </c>
    </row>
    <row r="100" spans="1:12" ht="15.75" customHeight="1" x14ac:dyDescent="0.35">
      <c r="A100" s="4" t="s">
        <v>17</v>
      </c>
      <c r="B100" s="4" t="s">
        <v>65</v>
      </c>
      <c r="C100" s="4" t="s">
        <v>12</v>
      </c>
      <c r="D100" s="4" t="s">
        <v>40</v>
      </c>
      <c r="E100" s="4">
        <v>826.93</v>
      </c>
      <c r="F100" s="4">
        <v>10</v>
      </c>
      <c r="G100" s="4">
        <v>0.2</v>
      </c>
      <c r="H100" s="5">
        <v>45564</v>
      </c>
      <c r="I100" s="5" t="str">
        <f t="shared" si="2"/>
        <v>Sep-2024</v>
      </c>
      <c r="J100" s="5"/>
      <c r="L100" s="4">
        <v>297.69</v>
      </c>
    </row>
    <row r="101" spans="1:12" ht="15.75" customHeight="1" x14ac:dyDescent="0.35">
      <c r="A101" s="4" t="s">
        <v>68</v>
      </c>
      <c r="B101" s="4" t="s">
        <v>24</v>
      </c>
      <c r="C101" s="4" t="s">
        <v>35</v>
      </c>
      <c r="D101" s="4" t="s">
        <v>16</v>
      </c>
      <c r="E101" s="4">
        <v>902.19</v>
      </c>
      <c r="F101" s="4">
        <v>12</v>
      </c>
      <c r="G101" s="4">
        <v>0</v>
      </c>
      <c r="H101" s="5">
        <v>45564</v>
      </c>
      <c r="I101" s="5" t="str">
        <f t="shared" si="2"/>
        <v>Sep-2024</v>
      </c>
      <c r="J101" s="5"/>
      <c r="L101" s="4">
        <v>451.1</v>
      </c>
    </row>
    <row r="102" spans="1:12" ht="15.75" customHeight="1" x14ac:dyDescent="0.35">
      <c r="A102" s="4" t="s">
        <v>75</v>
      </c>
      <c r="B102" s="4" t="s">
        <v>39</v>
      </c>
      <c r="C102" s="4" t="s">
        <v>25</v>
      </c>
      <c r="D102" s="4" t="s">
        <v>13</v>
      </c>
      <c r="E102" s="4">
        <v>585.97</v>
      </c>
      <c r="F102" s="4">
        <v>17</v>
      </c>
      <c r="G102" s="4">
        <v>0.1</v>
      </c>
      <c r="H102" s="5">
        <v>45565</v>
      </c>
      <c r="I102" s="5" t="str">
        <f t="shared" si="2"/>
        <v>Sep-2024</v>
      </c>
      <c r="J102" s="5"/>
      <c r="L102" s="4">
        <v>210.95</v>
      </c>
    </row>
    <row r="103" spans="1:12" ht="15.75" customHeight="1" x14ac:dyDescent="0.35">
      <c r="A103" s="4" t="s">
        <v>61</v>
      </c>
      <c r="B103" s="4" t="s">
        <v>27</v>
      </c>
      <c r="C103" s="4" t="s">
        <v>25</v>
      </c>
      <c r="D103" s="4" t="s">
        <v>16</v>
      </c>
      <c r="E103" s="4">
        <v>990.19</v>
      </c>
      <c r="F103" s="4">
        <v>8</v>
      </c>
      <c r="G103" s="4">
        <v>0.1</v>
      </c>
      <c r="H103" s="5">
        <v>45565</v>
      </c>
      <c r="I103" s="5" t="str">
        <f t="shared" si="2"/>
        <v>Sep-2024</v>
      </c>
      <c r="J103" s="5"/>
      <c r="L103" s="4">
        <v>445.59</v>
      </c>
    </row>
    <row r="104" spans="1:12" ht="15.75" customHeight="1" x14ac:dyDescent="0.35">
      <c r="A104" s="4" t="s">
        <v>45</v>
      </c>
      <c r="B104" s="4" t="s">
        <v>57</v>
      </c>
      <c r="C104" s="4" t="s">
        <v>35</v>
      </c>
      <c r="D104" s="4" t="s">
        <v>22</v>
      </c>
      <c r="E104" s="4">
        <v>1014.09</v>
      </c>
      <c r="F104" s="4">
        <v>13</v>
      </c>
      <c r="G104" s="4">
        <v>0.2</v>
      </c>
      <c r="H104" s="5">
        <v>45567</v>
      </c>
      <c r="I104" s="5" t="str">
        <f t="shared" si="2"/>
        <v>Oct-2024</v>
      </c>
      <c r="J104" s="5"/>
      <c r="L104" s="4">
        <v>202.82</v>
      </c>
    </row>
    <row r="105" spans="1:12" ht="15.75" customHeight="1" x14ac:dyDescent="0.35">
      <c r="A105" s="4" t="s">
        <v>14</v>
      </c>
      <c r="B105" s="4" t="s">
        <v>49</v>
      </c>
      <c r="C105" s="4" t="s">
        <v>25</v>
      </c>
      <c r="D105" s="4" t="s">
        <v>22</v>
      </c>
      <c r="E105" s="4">
        <v>925.29</v>
      </c>
      <c r="F105" s="4">
        <v>17</v>
      </c>
      <c r="G105" s="4">
        <v>0</v>
      </c>
      <c r="H105" s="5">
        <v>45570</v>
      </c>
      <c r="I105" s="5" t="str">
        <f t="shared" si="2"/>
        <v>Oct-2024</v>
      </c>
      <c r="J105" s="5"/>
      <c r="L105" s="4">
        <v>231.32</v>
      </c>
    </row>
    <row r="106" spans="1:12" ht="15.75" customHeight="1" x14ac:dyDescent="0.35">
      <c r="A106" s="4" t="s">
        <v>55</v>
      </c>
      <c r="B106" s="4" t="s">
        <v>48</v>
      </c>
      <c r="C106" s="4" t="s">
        <v>19</v>
      </c>
      <c r="D106" s="4" t="s">
        <v>28</v>
      </c>
      <c r="E106" s="4">
        <v>1286.54</v>
      </c>
      <c r="F106" s="4">
        <v>8</v>
      </c>
      <c r="G106" s="4">
        <v>0</v>
      </c>
      <c r="H106" s="5">
        <v>45575</v>
      </c>
      <c r="I106" s="5" t="str">
        <f t="shared" si="2"/>
        <v>Oct-2024</v>
      </c>
      <c r="J106" s="5"/>
      <c r="L106" s="4">
        <v>450.29</v>
      </c>
    </row>
    <row r="107" spans="1:12" ht="15.75" customHeight="1" x14ac:dyDescent="0.35">
      <c r="A107" s="4" t="s">
        <v>38</v>
      </c>
      <c r="B107" s="4" t="s">
        <v>65</v>
      </c>
      <c r="C107" s="4" t="s">
        <v>21</v>
      </c>
      <c r="D107" s="4" t="s">
        <v>13</v>
      </c>
      <c r="E107" s="4">
        <v>961.62</v>
      </c>
      <c r="F107" s="4">
        <v>8</v>
      </c>
      <c r="G107" s="4">
        <v>0.2</v>
      </c>
      <c r="H107" s="5">
        <v>45577</v>
      </c>
      <c r="I107" s="5" t="str">
        <f t="shared" si="2"/>
        <v>Oct-2024</v>
      </c>
      <c r="J107" s="5"/>
      <c r="L107" s="4">
        <v>307.72000000000003</v>
      </c>
    </row>
    <row r="108" spans="1:12" ht="15.75" customHeight="1" x14ac:dyDescent="0.35">
      <c r="A108" s="4" t="s">
        <v>45</v>
      </c>
      <c r="B108" s="4" t="s">
        <v>24</v>
      </c>
      <c r="C108" s="4" t="s">
        <v>19</v>
      </c>
      <c r="D108" s="4" t="s">
        <v>13</v>
      </c>
      <c r="E108" s="4">
        <v>1081.1400000000001</v>
      </c>
      <c r="F108" s="4">
        <v>19</v>
      </c>
      <c r="G108" s="4">
        <v>0.15</v>
      </c>
      <c r="H108" s="5">
        <v>45577</v>
      </c>
      <c r="I108" s="5" t="str">
        <f t="shared" si="2"/>
        <v>Oct-2024</v>
      </c>
      <c r="J108" s="5"/>
      <c r="L108" s="4">
        <v>367.59</v>
      </c>
    </row>
    <row r="109" spans="1:12" ht="15.75" customHeight="1" x14ac:dyDescent="0.35">
      <c r="A109" s="4" t="s">
        <v>59</v>
      </c>
      <c r="B109" s="4" t="s">
        <v>24</v>
      </c>
      <c r="C109" s="4" t="s">
        <v>12</v>
      </c>
      <c r="D109" s="4" t="s">
        <v>16</v>
      </c>
      <c r="E109" s="4">
        <v>1923.66</v>
      </c>
      <c r="F109" s="4">
        <v>9</v>
      </c>
      <c r="G109" s="4">
        <v>0.2</v>
      </c>
      <c r="H109" s="5">
        <v>45580</v>
      </c>
      <c r="I109" s="5" t="str">
        <f t="shared" si="2"/>
        <v>Oct-2024</v>
      </c>
      <c r="J109" s="5"/>
      <c r="L109" s="4">
        <v>769.46</v>
      </c>
    </row>
    <row r="110" spans="1:12" ht="15.75" customHeight="1" x14ac:dyDescent="0.35">
      <c r="A110" s="4" t="s">
        <v>55</v>
      </c>
      <c r="B110" s="4" t="s">
        <v>67</v>
      </c>
      <c r="C110" s="4" t="s">
        <v>35</v>
      </c>
      <c r="D110" s="4" t="s">
        <v>16</v>
      </c>
      <c r="E110" s="4">
        <v>728.71</v>
      </c>
      <c r="F110" s="4">
        <v>14</v>
      </c>
      <c r="G110" s="4">
        <v>0.1</v>
      </c>
      <c r="H110" s="5">
        <v>45581</v>
      </c>
      <c r="I110" s="5" t="str">
        <f t="shared" si="2"/>
        <v>Oct-2024</v>
      </c>
      <c r="J110" s="5"/>
      <c r="L110" s="4">
        <v>327.92</v>
      </c>
    </row>
    <row r="111" spans="1:12" ht="15.75" customHeight="1" x14ac:dyDescent="0.35">
      <c r="A111" s="4" t="s">
        <v>10</v>
      </c>
      <c r="B111" s="4" t="s">
        <v>34</v>
      </c>
      <c r="C111" s="4" t="s">
        <v>35</v>
      </c>
      <c r="D111" s="4" t="s">
        <v>16</v>
      </c>
      <c r="E111" s="4">
        <v>1301.8900000000001</v>
      </c>
      <c r="F111" s="4">
        <v>7</v>
      </c>
      <c r="G111" s="4">
        <v>0.15</v>
      </c>
      <c r="H111" s="5">
        <v>45581</v>
      </c>
      <c r="I111" s="5" t="str">
        <f t="shared" si="2"/>
        <v>Oct-2024</v>
      </c>
      <c r="J111" s="5"/>
      <c r="L111" s="4">
        <v>553.29999999999995</v>
      </c>
    </row>
    <row r="112" spans="1:12" ht="15.75" customHeight="1" x14ac:dyDescent="0.35">
      <c r="A112" s="4" t="s">
        <v>71</v>
      </c>
      <c r="B112" s="4" t="s">
        <v>67</v>
      </c>
      <c r="C112" s="4" t="s">
        <v>19</v>
      </c>
      <c r="D112" s="4" t="s">
        <v>13</v>
      </c>
      <c r="E112" s="4">
        <v>980.18</v>
      </c>
      <c r="F112" s="4">
        <v>16</v>
      </c>
      <c r="G112" s="4">
        <v>0.1</v>
      </c>
      <c r="H112" s="5">
        <v>45582</v>
      </c>
      <c r="I112" s="5" t="str">
        <f t="shared" si="2"/>
        <v>Oct-2024</v>
      </c>
      <c r="J112" s="5"/>
      <c r="L112" s="4">
        <v>352.86</v>
      </c>
    </row>
    <row r="113" spans="1:12" ht="15.75" customHeight="1" x14ac:dyDescent="0.35">
      <c r="A113" s="4" t="s">
        <v>75</v>
      </c>
      <c r="B113" s="4" t="s">
        <v>24</v>
      </c>
      <c r="C113" s="4" t="s">
        <v>12</v>
      </c>
      <c r="D113" s="4" t="s">
        <v>16</v>
      </c>
      <c r="E113" s="4">
        <v>697.57</v>
      </c>
      <c r="F113" s="4">
        <v>17</v>
      </c>
      <c r="G113" s="4">
        <v>0.1</v>
      </c>
      <c r="H113" s="5">
        <v>45584</v>
      </c>
      <c r="I113" s="5" t="str">
        <f t="shared" si="2"/>
        <v>Oct-2024</v>
      </c>
      <c r="J113" s="5"/>
      <c r="L113" s="4">
        <v>313.91000000000003</v>
      </c>
    </row>
    <row r="114" spans="1:12" ht="15.75" customHeight="1" x14ac:dyDescent="0.35">
      <c r="A114" s="4" t="s">
        <v>47</v>
      </c>
      <c r="B114" s="4" t="s">
        <v>72</v>
      </c>
      <c r="C114" s="4" t="s">
        <v>12</v>
      </c>
      <c r="D114" s="4" t="s">
        <v>28</v>
      </c>
      <c r="E114" s="4">
        <v>1193.6099999999999</v>
      </c>
      <c r="F114" s="4">
        <v>1</v>
      </c>
      <c r="G114" s="4">
        <v>0.15</v>
      </c>
      <c r="H114" s="5">
        <v>45584</v>
      </c>
      <c r="I114" s="5" t="str">
        <f t="shared" si="2"/>
        <v>Oct-2024</v>
      </c>
      <c r="J114" s="5"/>
      <c r="L114" s="4">
        <v>355.1</v>
      </c>
    </row>
    <row r="115" spans="1:12" ht="15.75" customHeight="1" x14ac:dyDescent="0.35">
      <c r="A115" s="4" t="s">
        <v>33</v>
      </c>
      <c r="B115" s="4" t="s">
        <v>39</v>
      </c>
      <c r="C115" s="4" t="s">
        <v>21</v>
      </c>
      <c r="D115" s="4" t="s">
        <v>22</v>
      </c>
      <c r="E115" s="4">
        <v>771.02</v>
      </c>
      <c r="F115" s="4">
        <v>1</v>
      </c>
      <c r="G115" s="4">
        <v>0</v>
      </c>
      <c r="H115" s="5">
        <v>45585</v>
      </c>
      <c r="I115" s="5" t="str">
        <f t="shared" si="2"/>
        <v>Oct-2024</v>
      </c>
      <c r="J115" s="5"/>
      <c r="L115" s="4">
        <v>192.76</v>
      </c>
    </row>
    <row r="116" spans="1:12" ht="15.75" customHeight="1" x14ac:dyDescent="0.35">
      <c r="A116" s="4" t="s">
        <v>68</v>
      </c>
      <c r="B116" s="4" t="s">
        <v>70</v>
      </c>
      <c r="C116" s="4" t="s">
        <v>25</v>
      </c>
      <c r="D116" s="4" t="s">
        <v>16</v>
      </c>
      <c r="E116" s="4">
        <v>661.09</v>
      </c>
      <c r="F116" s="4">
        <v>1</v>
      </c>
      <c r="G116" s="4">
        <v>0.2</v>
      </c>
      <c r="H116" s="5">
        <v>45593</v>
      </c>
      <c r="I116" s="5" t="str">
        <f t="shared" si="2"/>
        <v>Oct-2024</v>
      </c>
      <c r="J116" s="5"/>
      <c r="L116" s="4">
        <v>264.44</v>
      </c>
    </row>
    <row r="117" spans="1:12" ht="15.75" customHeight="1" x14ac:dyDescent="0.35">
      <c r="A117" s="4" t="s">
        <v>14</v>
      </c>
      <c r="B117" s="4" t="s">
        <v>56</v>
      </c>
      <c r="C117" s="4" t="s">
        <v>12</v>
      </c>
      <c r="D117" s="4" t="s">
        <v>22</v>
      </c>
      <c r="E117" s="4">
        <v>688.83</v>
      </c>
      <c r="F117" s="4">
        <v>15</v>
      </c>
      <c r="G117" s="4">
        <v>0</v>
      </c>
      <c r="H117" s="5">
        <v>45595</v>
      </c>
      <c r="I117" s="5" t="str">
        <f t="shared" si="2"/>
        <v>Oct-2024</v>
      </c>
      <c r="J117" s="5"/>
      <c r="L117" s="4">
        <v>172.21</v>
      </c>
    </row>
    <row r="118" spans="1:12" ht="15.75" customHeight="1" x14ac:dyDescent="0.35">
      <c r="A118" s="4" t="s">
        <v>74</v>
      </c>
      <c r="B118" s="4" t="s">
        <v>30</v>
      </c>
      <c r="C118" s="4" t="s">
        <v>35</v>
      </c>
      <c r="D118" s="4" t="s">
        <v>13</v>
      </c>
      <c r="E118" s="4">
        <v>1249.0999999999999</v>
      </c>
      <c r="F118" s="4">
        <v>4</v>
      </c>
      <c r="G118" s="4">
        <v>0.05</v>
      </c>
      <c r="H118" s="5">
        <v>45597</v>
      </c>
      <c r="I118" s="5" t="str">
        <f t="shared" si="2"/>
        <v>Nov-2024</v>
      </c>
      <c r="J118" s="5"/>
      <c r="L118" s="4">
        <v>474.66</v>
      </c>
    </row>
    <row r="119" spans="1:12" ht="15.75" customHeight="1" x14ac:dyDescent="0.35">
      <c r="A119" s="4" t="s">
        <v>45</v>
      </c>
      <c r="B119" s="4" t="s">
        <v>24</v>
      </c>
      <c r="C119" s="4" t="s">
        <v>19</v>
      </c>
      <c r="D119" s="4" t="s">
        <v>40</v>
      </c>
      <c r="E119" s="4">
        <v>1014.22</v>
      </c>
      <c r="F119" s="4">
        <v>14</v>
      </c>
      <c r="G119" s="4">
        <v>0.05</v>
      </c>
      <c r="H119" s="5">
        <v>45599</v>
      </c>
      <c r="I119" s="5" t="str">
        <f t="shared" si="2"/>
        <v>Nov-2024</v>
      </c>
      <c r="J119" s="5"/>
      <c r="L119" s="4">
        <v>433.58</v>
      </c>
    </row>
    <row r="120" spans="1:12" ht="15.75" customHeight="1" x14ac:dyDescent="0.35">
      <c r="A120" s="4" t="s">
        <v>55</v>
      </c>
      <c r="B120" s="4" t="s">
        <v>49</v>
      </c>
      <c r="C120" s="4" t="s">
        <v>19</v>
      </c>
      <c r="D120" s="4" t="s">
        <v>13</v>
      </c>
      <c r="E120" s="4">
        <v>1010.58</v>
      </c>
      <c r="F120" s="4">
        <v>2</v>
      </c>
      <c r="G120" s="4">
        <v>0.15</v>
      </c>
      <c r="H120" s="5">
        <v>45605</v>
      </c>
      <c r="I120" s="5" t="str">
        <f t="shared" si="2"/>
        <v>Nov-2024</v>
      </c>
      <c r="J120" s="5"/>
      <c r="L120" s="4">
        <v>343.6</v>
      </c>
    </row>
    <row r="121" spans="1:12" ht="15.75" customHeight="1" x14ac:dyDescent="0.35">
      <c r="A121" s="4" t="s">
        <v>31</v>
      </c>
      <c r="B121" s="4" t="s">
        <v>60</v>
      </c>
      <c r="C121" s="4" t="s">
        <v>25</v>
      </c>
      <c r="D121" s="4" t="s">
        <v>28</v>
      </c>
      <c r="E121" s="4">
        <v>957.29</v>
      </c>
      <c r="F121" s="4">
        <v>4</v>
      </c>
      <c r="G121" s="4">
        <v>0.05</v>
      </c>
      <c r="H121" s="5">
        <v>45605</v>
      </c>
      <c r="I121" s="5" t="str">
        <f t="shared" si="2"/>
        <v>Nov-2024</v>
      </c>
      <c r="J121" s="5"/>
      <c r="L121" s="4">
        <v>318.3</v>
      </c>
    </row>
    <row r="122" spans="1:12" ht="15.75" customHeight="1" x14ac:dyDescent="0.35">
      <c r="A122" s="4" t="s">
        <v>29</v>
      </c>
      <c r="B122" s="4" t="s">
        <v>46</v>
      </c>
      <c r="C122" s="4" t="s">
        <v>25</v>
      </c>
      <c r="D122" s="4" t="s">
        <v>28</v>
      </c>
      <c r="E122" s="4">
        <v>1077.92</v>
      </c>
      <c r="F122" s="4">
        <v>3</v>
      </c>
      <c r="G122" s="4">
        <v>0.05</v>
      </c>
      <c r="H122" s="5">
        <v>45608</v>
      </c>
      <c r="I122" s="5" t="str">
        <f t="shared" si="2"/>
        <v>Nov-2024</v>
      </c>
      <c r="J122" s="5"/>
      <c r="L122" s="4">
        <v>358.41</v>
      </c>
    </row>
    <row r="123" spans="1:12" ht="15.75" customHeight="1" x14ac:dyDescent="0.35">
      <c r="A123" s="4" t="s">
        <v>53</v>
      </c>
      <c r="B123" s="4" t="s">
        <v>51</v>
      </c>
      <c r="C123" s="4" t="s">
        <v>21</v>
      </c>
      <c r="D123" s="4" t="s">
        <v>16</v>
      </c>
      <c r="E123" s="4">
        <v>1163.01</v>
      </c>
      <c r="F123" s="4">
        <v>5</v>
      </c>
      <c r="G123" s="4">
        <v>0</v>
      </c>
      <c r="H123" s="5">
        <v>45611</v>
      </c>
      <c r="I123" s="5" t="str">
        <f t="shared" si="2"/>
        <v>Nov-2024</v>
      </c>
      <c r="J123" s="5"/>
      <c r="L123" s="4">
        <v>581.5</v>
      </c>
    </row>
    <row r="124" spans="1:12" ht="15.75" customHeight="1" x14ac:dyDescent="0.35">
      <c r="A124" s="4" t="s">
        <v>55</v>
      </c>
      <c r="B124" s="4" t="s">
        <v>46</v>
      </c>
      <c r="C124" s="4" t="s">
        <v>19</v>
      </c>
      <c r="D124" s="4" t="s">
        <v>40</v>
      </c>
      <c r="E124" s="4">
        <v>1014.56</v>
      </c>
      <c r="F124" s="4">
        <v>10</v>
      </c>
      <c r="G124" s="4">
        <v>0.1</v>
      </c>
      <c r="H124" s="5">
        <v>45612</v>
      </c>
      <c r="I124" s="5" t="str">
        <f t="shared" si="2"/>
        <v>Nov-2024</v>
      </c>
      <c r="J124" s="5"/>
      <c r="L124" s="4">
        <v>410.9</v>
      </c>
    </row>
    <row r="125" spans="1:12" ht="15.75" customHeight="1" x14ac:dyDescent="0.35">
      <c r="A125" s="4" t="s">
        <v>10</v>
      </c>
      <c r="B125" s="4" t="s">
        <v>18</v>
      </c>
      <c r="C125" s="4" t="s">
        <v>21</v>
      </c>
      <c r="D125" s="4" t="s">
        <v>22</v>
      </c>
      <c r="E125" s="4">
        <v>718.04</v>
      </c>
      <c r="F125" s="4">
        <v>14</v>
      </c>
      <c r="G125" s="4">
        <v>0</v>
      </c>
      <c r="H125" s="5">
        <v>45613</v>
      </c>
      <c r="I125" s="5" t="str">
        <f t="shared" si="2"/>
        <v>Nov-2024</v>
      </c>
      <c r="J125" s="5"/>
      <c r="L125" s="4">
        <v>179.51</v>
      </c>
    </row>
    <row r="126" spans="1:12" ht="15.75" customHeight="1" x14ac:dyDescent="0.35">
      <c r="A126" s="4" t="s">
        <v>73</v>
      </c>
      <c r="B126" s="4" t="s">
        <v>18</v>
      </c>
      <c r="C126" s="4" t="s">
        <v>35</v>
      </c>
      <c r="D126" s="4" t="s">
        <v>16</v>
      </c>
      <c r="E126" s="4">
        <v>1277.8499999999999</v>
      </c>
      <c r="F126" s="4">
        <v>18</v>
      </c>
      <c r="G126" s="4">
        <v>0.2</v>
      </c>
      <c r="H126" s="5">
        <v>45613</v>
      </c>
      <c r="I126" s="5" t="str">
        <f t="shared" si="2"/>
        <v>Nov-2024</v>
      </c>
      <c r="J126" s="5"/>
      <c r="L126" s="4">
        <v>511.14</v>
      </c>
    </row>
    <row r="127" spans="1:12" ht="15.75" customHeight="1" x14ac:dyDescent="0.35">
      <c r="A127" s="4" t="s">
        <v>71</v>
      </c>
      <c r="B127" s="4" t="s">
        <v>24</v>
      </c>
      <c r="C127" s="4" t="s">
        <v>25</v>
      </c>
      <c r="D127" s="4" t="s">
        <v>22</v>
      </c>
      <c r="E127" s="4">
        <v>706.73</v>
      </c>
      <c r="F127" s="4">
        <v>1</v>
      </c>
      <c r="G127" s="4">
        <v>0.15</v>
      </c>
      <c r="H127" s="5">
        <v>45613</v>
      </c>
      <c r="I127" s="5" t="str">
        <f t="shared" si="2"/>
        <v>Nov-2024</v>
      </c>
      <c r="J127" s="5"/>
      <c r="L127" s="4">
        <v>150.18</v>
      </c>
    </row>
    <row r="128" spans="1:12" ht="15.75" customHeight="1" x14ac:dyDescent="0.35">
      <c r="A128" s="4" t="s">
        <v>66</v>
      </c>
      <c r="B128" s="4" t="s">
        <v>51</v>
      </c>
      <c r="C128" s="4" t="s">
        <v>19</v>
      </c>
      <c r="D128" s="4" t="s">
        <v>22</v>
      </c>
      <c r="E128" s="4">
        <v>1410.59</v>
      </c>
      <c r="F128" s="4">
        <v>15</v>
      </c>
      <c r="G128" s="4">
        <v>0</v>
      </c>
      <c r="H128" s="5">
        <v>45615</v>
      </c>
      <c r="I128" s="5" t="str">
        <f t="shared" si="2"/>
        <v>Nov-2024</v>
      </c>
      <c r="J128" s="5"/>
      <c r="L128" s="4">
        <v>352.65</v>
      </c>
    </row>
    <row r="129" spans="1:12" ht="15.75" customHeight="1" x14ac:dyDescent="0.35">
      <c r="A129" s="4" t="s">
        <v>33</v>
      </c>
      <c r="B129" s="4" t="s">
        <v>62</v>
      </c>
      <c r="C129" s="4" t="s">
        <v>21</v>
      </c>
      <c r="D129" s="4" t="s">
        <v>28</v>
      </c>
      <c r="E129" s="4">
        <v>1350.33</v>
      </c>
      <c r="F129" s="4">
        <v>10</v>
      </c>
      <c r="G129" s="4">
        <v>0</v>
      </c>
      <c r="H129" s="5">
        <v>45615</v>
      </c>
      <c r="I129" s="5" t="str">
        <f t="shared" si="2"/>
        <v>Nov-2024</v>
      </c>
      <c r="J129" s="5"/>
      <c r="L129" s="4">
        <v>472.62</v>
      </c>
    </row>
    <row r="130" spans="1:12" ht="15.75" customHeight="1" x14ac:dyDescent="0.35">
      <c r="A130" s="4" t="s">
        <v>42</v>
      </c>
      <c r="B130" s="4" t="s">
        <v>46</v>
      </c>
      <c r="C130" s="4" t="s">
        <v>19</v>
      </c>
      <c r="D130" s="4" t="s">
        <v>22</v>
      </c>
      <c r="E130" s="4">
        <v>919.18</v>
      </c>
      <c r="F130" s="4">
        <v>4</v>
      </c>
      <c r="G130" s="4">
        <v>0.15</v>
      </c>
      <c r="H130" s="5">
        <v>45615</v>
      </c>
      <c r="I130" s="5" t="str">
        <f t="shared" si="2"/>
        <v>Nov-2024</v>
      </c>
      <c r="J130" s="5"/>
      <c r="L130" s="4">
        <v>195.33</v>
      </c>
    </row>
    <row r="131" spans="1:12" ht="15.75" customHeight="1" x14ac:dyDescent="0.35">
      <c r="A131" s="4" t="s">
        <v>75</v>
      </c>
      <c r="B131" s="4" t="s">
        <v>24</v>
      </c>
      <c r="C131" s="4" t="s">
        <v>12</v>
      </c>
      <c r="D131" s="4" t="s">
        <v>22</v>
      </c>
      <c r="E131" s="4">
        <v>258.51</v>
      </c>
      <c r="F131" s="4">
        <v>19</v>
      </c>
      <c r="G131" s="4">
        <v>0</v>
      </c>
      <c r="H131" s="5">
        <v>45616</v>
      </c>
      <c r="I131" s="5" t="str">
        <f t="shared" ref="I131:I194" si="3">TEXT(H131,"mmm-yyyy")</f>
        <v>Nov-2024</v>
      </c>
      <c r="J131" s="5"/>
      <c r="L131" s="4">
        <v>64.63</v>
      </c>
    </row>
    <row r="132" spans="1:12" ht="15.75" customHeight="1" x14ac:dyDescent="0.35">
      <c r="A132" s="4" t="s">
        <v>64</v>
      </c>
      <c r="B132" s="4" t="s">
        <v>62</v>
      </c>
      <c r="C132" s="4" t="s">
        <v>19</v>
      </c>
      <c r="D132" s="4" t="s">
        <v>13</v>
      </c>
      <c r="E132" s="4">
        <v>1213.48</v>
      </c>
      <c r="F132" s="4">
        <v>5</v>
      </c>
      <c r="G132" s="4">
        <v>0.05</v>
      </c>
      <c r="H132" s="5">
        <v>45616</v>
      </c>
      <c r="I132" s="5" t="str">
        <f t="shared" si="3"/>
        <v>Nov-2024</v>
      </c>
      <c r="J132" s="5"/>
      <c r="L132" s="4">
        <v>461.12</v>
      </c>
    </row>
    <row r="133" spans="1:12" ht="15.75" customHeight="1" x14ac:dyDescent="0.35">
      <c r="A133" s="4" t="s">
        <v>58</v>
      </c>
      <c r="B133" s="4" t="s">
        <v>39</v>
      </c>
      <c r="C133" s="4" t="s">
        <v>35</v>
      </c>
      <c r="D133" s="4" t="s">
        <v>13</v>
      </c>
      <c r="E133" s="4">
        <v>1150.28</v>
      </c>
      <c r="F133" s="4">
        <v>8</v>
      </c>
      <c r="G133" s="4">
        <v>0.05</v>
      </c>
      <c r="H133" s="5">
        <v>45622</v>
      </c>
      <c r="I133" s="5" t="str">
        <f t="shared" si="3"/>
        <v>Nov-2024</v>
      </c>
      <c r="J133" s="5"/>
      <c r="L133" s="4">
        <v>437.11</v>
      </c>
    </row>
    <row r="134" spans="1:12" ht="15.75" customHeight="1" x14ac:dyDescent="0.35">
      <c r="A134" s="4" t="s">
        <v>38</v>
      </c>
      <c r="B134" s="4" t="s">
        <v>72</v>
      </c>
      <c r="C134" s="4" t="s">
        <v>21</v>
      </c>
      <c r="D134" s="4" t="s">
        <v>28</v>
      </c>
      <c r="E134" s="4">
        <v>853.86</v>
      </c>
      <c r="F134" s="4">
        <v>8</v>
      </c>
      <c r="G134" s="4">
        <v>0.1</v>
      </c>
      <c r="H134" s="5">
        <v>45622</v>
      </c>
      <c r="I134" s="5" t="str">
        <f t="shared" si="3"/>
        <v>Nov-2024</v>
      </c>
      <c r="J134" s="5"/>
      <c r="L134" s="4">
        <v>268.97000000000003</v>
      </c>
    </row>
    <row r="135" spans="1:12" ht="15.75" customHeight="1" x14ac:dyDescent="0.35">
      <c r="A135" s="4" t="s">
        <v>76</v>
      </c>
      <c r="B135" s="4" t="s">
        <v>46</v>
      </c>
      <c r="C135" s="4" t="s">
        <v>21</v>
      </c>
      <c r="D135" s="4" t="s">
        <v>22</v>
      </c>
      <c r="E135" s="4">
        <v>1061.04</v>
      </c>
      <c r="F135" s="4">
        <v>1</v>
      </c>
      <c r="G135" s="4">
        <v>0</v>
      </c>
      <c r="H135" s="5">
        <v>45624</v>
      </c>
      <c r="I135" s="5" t="str">
        <f t="shared" si="3"/>
        <v>Nov-2024</v>
      </c>
      <c r="J135" s="5"/>
      <c r="L135" s="4">
        <v>265.26</v>
      </c>
    </row>
    <row r="136" spans="1:12" ht="15.75" customHeight="1" x14ac:dyDescent="0.35">
      <c r="A136" s="4" t="s">
        <v>29</v>
      </c>
      <c r="B136" s="4" t="s">
        <v>44</v>
      </c>
      <c r="C136" s="4" t="s">
        <v>12</v>
      </c>
      <c r="D136" s="4" t="s">
        <v>22</v>
      </c>
      <c r="E136" s="4">
        <v>894.55</v>
      </c>
      <c r="F136" s="4">
        <v>19</v>
      </c>
      <c r="G136" s="4">
        <v>0.2</v>
      </c>
      <c r="H136" s="5">
        <v>45625</v>
      </c>
      <c r="I136" s="5" t="str">
        <f t="shared" si="3"/>
        <v>Nov-2024</v>
      </c>
      <c r="J136" s="5"/>
      <c r="L136" s="4">
        <v>178.91</v>
      </c>
    </row>
    <row r="137" spans="1:12" ht="15.75" customHeight="1" x14ac:dyDescent="0.35">
      <c r="A137" s="4" t="s">
        <v>26</v>
      </c>
      <c r="B137" s="4" t="s">
        <v>39</v>
      </c>
      <c r="C137" s="4" t="s">
        <v>25</v>
      </c>
      <c r="D137" s="4" t="s">
        <v>40</v>
      </c>
      <c r="E137" s="4">
        <v>833.91</v>
      </c>
      <c r="F137" s="4">
        <v>3</v>
      </c>
      <c r="G137" s="4">
        <v>0.05</v>
      </c>
      <c r="H137" s="5">
        <v>45626</v>
      </c>
      <c r="I137" s="5" t="str">
        <f t="shared" si="3"/>
        <v>Nov-2024</v>
      </c>
      <c r="J137" s="5"/>
      <c r="L137" s="4">
        <v>356.5</v>
      </c>
    </row>
    <row r="138" spans="1:12" ht="15.75" customHeight="1" x14ac:dyDescent="0.35">
      <c r="A138" s="4" t="s">
        <v>59</v>
      </c>
      <c r="B138" s="4" t="s">
        <v>72</v>
      </c>
      <c r="C138" s="4" t="s">
        <v>12</v>
      </c>
      <c r="D138" s="4" t="s">
        <v>28</v>
      </c>
      <c r="E138" s="4">
        <v>820.19</v>
      </c>
      <c r="F138" s="4">
        <v>4</v>
      </c>
      <c r="G138" s="4">
        <v>0.2</v>
      </c>
      <c r="H138" s="5">
        <v>45630</v>
      </c>
      <c r="I138" s="5" t="str">
        <f t="shared" si="3"/>
        <v>Dec-2024</v>
      </c>
      <c r="J138" s="5"/>
      <c r="L138" s="4">
        <v>229.65</v>
      </c>
    </row>
    <row r="139" spans="1:12" ht="15.75" customHeight="1" x14ac:dyDescent="0.35">
      <c r="A139" s="4" t="s">
        <v>59</v>
      </c>
      <c r="B139" s="4" t="s">
        <v>39</v>
      </c>
      <c r="C139" s="4" t="s">
        <v>35</v>
      </c>
      <c r="D139" s="4" t="s">
        <v>22</v>
      </c>
      <c r="E139" s="4">
        <v>511.74</v>
      </c>
      <c r="F139" s="4">
        <v>8</v>
      </c>
      <c r="G139" s="4">
        <v>0.05</v>
      </c>
      <c r="H139" s="5">
        <v>45631</v>
      </c>
      <c r="I139" s="5" t="str">
        <f t="shared" si="3"/>
        <v>Dec-2024</v>
      </c>
      <c r="J139" s="5"/>
      <c r="L139" s="4">
        <v>121.54</v>
      </c>
    </row>
    <row r="140" spans="1:12" ht="15.75" customHeight="1" x14ac:dyDescent="0.35">
      <c r="A140" s="4" t="s">
        <v>66</v>
      </c>
      <c r="B140" s="4" t="s">
        <v>62</v>
      </c>
      <c r="C140" s="4" t="s">
        <v>21</v>
      </c>
      <c r="D140" s="4" t="s">
        <v>28</v>
      </c>
      <c r="E140" s="4">
        <v>806.03</v>
      </c>
      <c r="F140" s="4">
        <v>19</v>
      </c>
      <c r="G140" s="4">
        <v>0.05</v>
      </c>
      <c r="H140" s="5">
        <v>45638</v>
      </c>
      <c r="I140" s="5" t="str">
        <f t="shared" si="3"/>
        <v>Dec-2024</v>
      </c>
      <c r="J140" s="5"/>
      <c r="L140" s="4">
        <v>268</v>
      </c>
    </row>
    <row r="141" spans="1:12" ht="15.75" customHeight="1" x14ac:dyDescent="0.35">
      <c r="A141" s="4" t="s">
        <v>29</v>
      </c>
      <c r="B141" s="4" t="s">
        <v>27</v>
      </c>
      <c r="C141" s="4" t="s">
        <v>35</v>
      </c>
      <c r="D141" s="4" t="s">
        <v>28</v>
      </c>
      <c r="E141" s="4">
        <v>1432.47</v>
      </c>
      <c r="F141" s="4">
        <v>16</v>
      </c>
      <c r="G141" s="4">
        <v>0.15</v>
      </c>
      <c r="H141" s="5">
        <v>45640</v>
      </c>
      <c r="I141" s="5" t="str">
        <f t="shared" si="3"/>
        <v>Dec-2024</v>
      </c>
      <c r="J141" s="5"/>
      <c r="L141" s="4">
        <v>426.16</v>
      </c>
    </row>
    <row r="142" spans="1:12" ht="15.75" customHeight="1" x14ac:dyDescent="0.35">
      <c r="A142" s="4" t="s">
        <v>75</v>
      </c>
      <c r="B142" s="4" t="s">
        <v>30</v>
      </c>
      <c r="C142" s="4" t="s">
        <v>35</v>
      </c>
      <c r="D142" s="4" t="s">
        <v>22</v>
      </c>
      <c r="E142" s="4">
        <v>1488.58</v>
      </c>
      <c r="F142" s="4">
        <v>10</v>
      </c>
      <c r="G142" s="4">
        <v>0.15</v>
      </c>
      <c r="H142" s="5">
        <v>45640</v>
      </c>
      <c r="I142" s="5" t="str">
        <f t="shared" si="3"/>
        <v>Dec-2024</v>
      </c>
      <c r="J142" s="5"/>
      <c r="L142" s="4">
        <v>316.32</v>
      </c>
    </row>
    <row r="143" spans="1:12" ht="15.75" customHeight="1" x14ac:dyDescent="0.35">
      <c r="A143" s="4" t="s">
        <v>31</v>
      </c>
      <c r="B143" s="4" t="s">
        <v>67</v>
      </c>
      <c r="C143" s="4" t="s">
        <v>19</v>
      </c>
      <c r="D143" s="4" t="s">
        <v>13</v>
      </c>
      <c r="E143" s="4">
        <v>1231.26</v>
      </c>
      <c r="F143" s="4">
        <v>9</v>
      </c>
      <c r="G143" s="4">
        <v>0</v>
      </c>
      <c r="H143" s="5">
        <v>45646</v>
      </c>
      <c r="I143" s="5" t="str">
        <f t="shared" si="3"/>
        <v>Dec-2024</v>
      </c>
      <c r="J143" s="5"/>
      <c r="L143" s="4">
        <v>492.5</v>
      </c>
    </row>
    <row r="144" spans="1:12" ht="15.75" customHeight="1" x14ac:dyDescent="0.35">
      <c r="A144" s="4" t="s">
        <v>31</v>
      </c>
      <c r="B144" s="4" t="s">
        <v>44</v>
      </c>
      <c r="C144" s="4" t="s">
        <v>12</v>
      </c>
      <c r="D144" s="4" t="s">
        <v>22</v>
      </c>
      <c r="E144" s="4">
        <v>1161.67</v>
      </c>
      <c r="F144" s="4">
        <v>19</v>
      </c>
      <c r="G144" s="4">
        <v>0.2</v>
      </c>
      <c r="H144" s="5">
        <v>45647</v>
      </c>
      <c r="I144" s="5" t="str">
        <f t="shared" si="3"/>
        <v>Dec-2024</v>
      </c>
      <c r="J144" s="5"/>
      <c r="L144" s="4">
        <v>232.33</v>
      </c>
    </row>
    <row r="145" spans="1:12" ht="15.75" customHeight="1" x14ac:dyDescent="0.35">
      <c r="A145" s="4" t="s">
        <v>50</v>
      </c>
      <c r="B145" s="4" t="s">
        <v>46</v>
      </c>
      <c r="C145" s="4" t="s">
        <v>35</v>
      </c>
      <c r="D145" s="4" t="s">
        <v>40</v>
      </c>
      <c r="E145" s="4">
        <v>388.23</v>
      </c>
      <c r="F145" s="4">
        <v>16</v>
      </c>
      <c r="G145" s="4">
        <v>0.05</v>
      </c>
      <c r="H145" s="5">
        <v>45650</v>
      </c>
      <c r="I145" s="5" t="str">
        <f t="shared" si="3"/>
        <v>Dec-2024</v>
      </c>
      <c r="J145" s="5"/>
      <c r="L145" s="4">
        <v>165.97</v>
      </c>
    </row>
    <row r="146" spans="1:12" ht="15.75" customHeight="1" x14ac:dyDescent="0.35">
      <c r="A146" s="4" t="s">
        <v>73</v>
      </c>
      <c r="B146" s="4" t="s">
        <v>32</v>
      </c>
      <c r="C146" s="4" t="s">
        <v>25</v>
      </c>
      <c r="D146" s="4" t="s">
        <v>16</v>
      </c>
      <c r="E146" s="4">
        <v>1589.42</v>
      </c>
      <c r="F146" s="4">
        <v>6</v>
      </c>
      <c r="G146" s="4">
        <v>0.15</v>
      </c>
      <c r="H146" s="5">
        <v>45651</v>
      </c>
      <c r="I146" s="5" t="str">
        <f t="shared" si="3"/>
        <v>Dec-2024</v>
      </c>
      <c r="J146" s="5"/>
      <c r="L146" s="4">
        <v>675.5</v>
      </c>
    </row>
    <row r="147" spans="1:12" ht="15.75" customHeight="1" x14ac:dyDescent="0.35">
      <c r="A147" s="4" t="s">
        <v>29</v>
      </c>
      <c r="B147" s="4" t="s">
        <v>72</v>
      </c>
      <c r="C147" s="4" t="s">
        <v>25</v>
      </c>
      <c r="D147" s="4" t="s">
        <v>16</v>
      </c>
      <c r="E147" s="4">
        <v>336.66</v>
      </c>
      <c r="F147" s="4">
        <v>13</v>
      </c>
      <c r="G147" s="4">
        <v>0.2</v>
      </c>
      <c r="H147" s="5">
        <v>45651</v>
      </c>
      <c r="I147" s="5" t="str">
        <f t="shared" si="3"/>
        <v>Dec-2024</v>
      </c>
      <c r="J147" s="5"/>
      <c r="L147" s="4">
        <v>134.66</v>
      </c>
    </row>
    <row r="148" spans="1:12" ht="15.75" customHeight="1" x14ac:dyDescent="0.35">
      <c r="A148" s="4" t="s">
        <v>50</v>
      </c>
      <c r="B148" s="4" t="s">
        <v>24</v>
      </c>
      <c r="C148" s="4" t="s">
        <v>12</v>
      </c>
      <c r="D148" s="4" t="s">
        <v>13</v>
      </c>
      <c r="E148" s="4">
        <v>1353.79</v>
      </c>
      <c r="F148" s="4">
        <v>14</v>
      </c>
      <c r="G148" s="4">
        <v>0.1</v>
      </c>
      <c r="H148" s="5">
        <v>45656</v>
      </c>
      <c r="I148" s="5" t="str">
        <f t="shared" si="3"/>
        <v>Dec-2024</v>
      </c>
      <c r="J148" s="5"/>
      <c r="L148" s="4">
        <v>487.36</v>
      </c>
    </row>
    <row r="149" spans="1:12" ht="15.75" customHeight="1" x14ac:dyDescent="0.35">
      <c r="A149" s="4" t="s">
        <v>64</v>
      </c>
      <c r="B149" s="4" t="s">
        <v>70</v>
      </c>
      <c r="C149" s="4" t="s">
        <v>35</v>
      </c>
      <c r="D149" s="4" t="s">
        <v>16</v>
      </c>
      <c r="E149" s="4">
        <v>662.61</v>
      </c>
      <c r="F149" s="4">
        <v>11</v>
      </c>
      <c r="G149" s="4">
        <v>0.05</v>
      </c>
      <c r="H149" s="5">
        <v>45658</v>
      </c>
      <c r="I149" s="5" t="str">
        <f t="shared" si="3"/>
        <v>Jan-2025</v>
      </c>
      <c r="J149" s="5"/>
      <c r="L149" s="4">
        <v>314.74</v>
      </c>
    </row>
    <row r="150" spans="1:12" ht="15.75" customHeight="1" x14ac:dyDescent="0.35">
      <c r="A150" s="4" t="s">
        <v>53</v>
      </c>
      <c r="B150" s="4" t="s">
        <v>49</v>
      </c>
      <c r="C150" s="4" t="s">
        <v>25</v>
      </c>
      <c r="D150" s="4" t="s">
        <v>40</v>
      </c>
      <c r="E150" s="4">
        <v>309.42</v>
      </c>
      <c r="F150" s="4">
        <v>1</v>
      </c>
      <c r="G150" s="4">
        <v>0.2</v>
      </c>
      <c r="H150" s="5">
        <v>45658</v>
      </c>
      <c r="I150" s="5" t="str">
        <f t="shared" si="3"/>
        <v>Jan-2025</v>
      </c>
      <c r="J150" s="5"/>
      <c r="L150" s="4">
        <v>111.39</v>
      </c>
    </row>
    <row r="151" spans="1:12" ht="15.75" customHeight="1" x14ac:dyDescent="0.35">
      <c r="A151" s="4" t="s">
        <v>64</v>
      </c>
      <c r="B151" s="4" t="s">
        <v>30</v>
      </c>
      <c r="C151" s="4" t="s">
        <v>25</v>
      </c>
      <c r="D151" s="4" t="s">
        <v>13</v>
      </c>
      <c r="E151" s="4">
        <v>884.63</v>
      </c>
      <c r="F151" s="4">
        <v>18</v>
      </c>
      <c r="G151" s="4">
        <v>0.1</v>
      </c>
      <c r="H151" s="5">
        <v>45659</v>
      </c>
      <c r="I151" s="5" t="str">
        <f t="shared" si="3"/>
        <v>Jan-2025</v>
      </c>
      <c r="J151" s="5"/>
      <c r="L151" s="4">
        <v>318.47000000000003</v>
      </c>
    </row>
    <row r="152" spans="1:12" ht="15.75" customHeight="1" x14ac:dyDescent="0.35">
      <c r="A152" s="4" t="s">
        <v>53</v>
      </c>
      <c r="B152" s="4" t="s">
        <v>24</v>
      </c>
      <c r="C152" s="4" t="s">
        <v>35</v>
      </c>
      <c r="D152" s="4" t="s">
        <v>40</v>
      </c>
      <c r="E152" s="4">
        <v>745.05</v>
      </c>
      <c r="F152" s="4">
        <v>10</v>
      </c>
      <c r="G152" s="4">
        <v>0.1</v>
      </c>
      <c r="H152" s="5">
        <v>45660</v>
      </c>
      <c r="I152" s="5" t="str">
        <f t="shared" si="3"/>
        <v>Jan-2025</v>
      </c>
      <c r="J152" s="5"/>
      <c r="L152" s="4">
        <v>301.75</v>
      </c>
    </row>
    <row r="153" spans="1:12" ht="15.75" customHeight="1" x14ac:dyDescent="0.35">
      <c r="A153" s="4" t="s">
        <v>61</v>
      </c>
      <c r="B153" s="4" t="s">
        <v>18</v>
      </c>
      <c r="C153" s="4" t="s">
        <v>21</v>
      </c>
      <c r="D153" s="4" t="s">
        <v>16</v>
      </c>
      <c r="E153" s="4">
        <v>870.23</v>
      </c>
      <c r="F153" s="4">
        <v>5</v>
      </c>
      <c r="G153" s="4">
        <v>0.05</v>
      </c>
      <c r="H153" s="5">
        <v>45660</v>
      </c>
      <c r="I153" s="5" t="str">
        <f t="shared" si="3"/>
        <v>Jan-2025</v>
      </c>
      <c r="J153" s="5"/>
      <c r="L153" s="4">
        <v>413.36</v>
      </c>
    </row>
    <row r="154" spans="1:12" ht="15.75" customHeight="1" x14ac:dyDescent="0.35">
      <c r="A154" s="4" t="s">
        <v>36</v>
      </c>
      <c r="B154" s="4" t="s">
        <v>30</v>
      </c>
      <c r="C154" s="4" t="s">
        <v>12</v>
      </c>
      <c r="D154" s="4" t="s">
        <v>28</v>
      </c>
      <c r="E154" s="4">
        <v>862.19</v>
      </c>
      <c r="F154" s="4">
        <v>18</v>
      </c>
      <c r="G154" s="4">
        <v>0.05</v>
      </c>
      <c r="H154" s="5">
        <v>45663</v>
      </c>
      <c r="I154" s="5" t="str">
        <f t="shared" si="3"/>
        <v>Jan-2025</v>
      </c>
      <c r="J154" s="5"/>
      <c r="L154" s="4">
        <v>286.68</v>
      </c>
    </row>
    <row r="155" spans="1:12" ht="15.75" customHeight="1" x14ac:dyDescent="0.35">
      <c r="A155" s="4" t="s">
        <v>74</v>
      </c>
      <c r="B155" s="4" t="s">
        <v>60</v>
      </c>
      <c r="C155" s="4" t="s">
        <v>25</v>
      </c>
      <c r="D155" s="4" t="s">
        <v>16</v>
      </c>
      <c r="E155" s="4">
        <v>1171.18</v>
      </c>
      <c r="F155" s="4">
        <v>19</v>
      </c>
      <c r="G155" s="4">
        <v>0.05</v>
      </c>
      <c r="H155" s="5">
        <v>45667</v>
      </c>
      <c r="I155" s="5" t="str">
        <f t="shared" si="3"/>
        <v>Jan-2025</v>
      </c>
      <c r="J155" s="5"/>
      <c r="L155" s="4">
        <v>556.30999999999995</v>
      </c>
    </row>
    <row r="156" spans="1:12" ht="15.75" customHeight="1" x14ac:dyDescent="0.35">
      <c r="A156" s="4" t="s">
        <v>59</v>
      </c>
      <c r="B156" s="4" t="s">
        <v>15</v>
      </c>
      <c r="C156" s="4" t="s">
        <v>21</v>
      </c>
      <c r="D156" s="4" t="s">
        <v>28</v>
      </c>
      <c r="E156" s="4">
        <v>1054.56</v>
      </c>
      <c r="F156" s="4">
        <v>11</v>
      </c>
      <c r="G156" s="4">
        <v>0.1</v>
      </c>
      <c r="H156" s="5">
        <v>45669</v>
      </c>
      <c r="I156" s="5" t="str">
        <f t="shared" si="3"/>
        <v>Jan-2025</v>
      </c>
      <c r="J156" s="5"/>
      <c r="L156" s="4">
        <v>332.19</v>
      </c>
    </row>
    <row r="157" spans="1:12" ht="15.75" customHeight="1" x14ac:dyDescent="0.35">
      <c r="A157" s="4" t="s">
        <v>59</v>
      </c>
      <c r="B157" s="4" t="s">
        <v>24</v>
      </c>
      <c r="C157" s="4" t="s">
        <v>25</v>
      </c>
      <c r="D157" s="4" t="s">
        <v>22</v>
      </c>
      <c r="E157" s="4">
        <v>1681.21</v>
      </c>
      <c r="F157" s="4">
        <v>5</v>
      </c>
      <c r="G157" s="4">
        <v>0.2</v>
      </c>
      <c r="H157" s="5">
        <v>45670</v>
      </c>
      <c r="I157" s="5" t="str">
        <f t="shared" si="3"/>
        <v>Jan-2025</v>
      </c>
      <c r="J157" s="5"/>
      <c r="L157" s="4">
        <v>336.24</v>
      </c>
    </row>
    <row r="158" spans="1:12" ht="15.75" customHeight="1" x14ac:dyDescent="0.35">
      <c r="A158" s="4" t="s">
        <v>59</v>
      </c>
      <c r="B158" s="4" t="s">
        <v>37</v>
      </c>
      <c r="C158" s="4" t="s">
        <v>12</v>
      </c>
      <c r="D158" s="4" t="s">
        <v>16</v>
      </c>
      <c r="E158" s="4">
        <v>379.77</v>
      </c>
      <c r="F158" s="4">
        <v>9</v>
      </c>
      <c r="G158" s="4">
        <v>0.05</v>
      </c>
      <c r="H158" s="5">
        <v>45673</v>
      </c>
      <c r="I158" s="5" t="str">
        <f t="shared" si="3"/>
        <v>Jan-2025</v>
      </c>
      <c r="J158" s="5"/>
      <c r="L158" s="4">
        <v>180.39</v>
      </c>
    </row>
    <row r="159" spans="1:12" ht="15.75" customHeight="1" x14ac:dyDescent="0.35">
      <c r="A159" s="4" t="s">
        <v>45</v>
      </c>
      <c r="B159" s="4" t="s">
        <v>46</v>
      </c>
      <c r="C159" s="4" t="s">
        <v>35</v>
      </c>
      <c r="D159" s="4" t="s">
        <v>16</v>
      </c>
      <c r="E159" s="4">
        <v>1076.33</v>
      </c>
      <c r="F159" s="4">
        <v>2</v>
      </c>
      <c r="G159" s="4">
        <v>0.1</v>
      </c>
      <c r="H159" s="5">
        <v>45674</v>
      </c>
      <c r="I159" s="5" t="str">
        <f t="shared" si="3"/>
        <v>Jan-2025</v>
      </c>
      <c r="J159" s="5"/>
      <c r="L159" s="4">
        <v>484.35</v>
      </c>
    </row>
    <row r="160" spans="1:12" ht="15.75" customHeight="1" x14ac:dyDescent="0.35">
      <c r="A160" s="4" t="s">
        <v>45</v>
      </c>
      <c r="B160" s="4" t="s">
        <v>32</v>
      </c>
      <c r="C160" s="4" t="s">
        <v>35</v>
      </c>
      <c r="D160" s="4" t="s">
        <v>40</v>
      </c>
      <c r="E160" s="4">
        <v>1250.71</v>
      </c>
      <c r="F160" s="4">
        <v>7</v>
      </c>
      <c r="G160" s="4">
        <v>0</v>
      </c>
      <c r="H160" s="5">
        <v>45674</v>
      </c>
      <c r="I160" s="5" t="str">
        <f t="shared" si="3"/>
        <v>Jan-2025</v>
      </c>
      <c r="J160" s="5"/>
      <c r="L160" s="4">
        <v>562.82000000000005</v>
      </c>
    </row>
    <row r="161" spans="1:12" ht="15.75" customHeight="1" x14ac:dyDescent="0.35">
      <c r="A161" s="4" t="s">
        <v>41</v>
      </c>
      <c r="B161" s="4" t="s">
        <v>18</v>
      </c>
      <c r="C161" s="4" t="s">
        <v>21</v>
      </c>
      <c r="D161" s="4" t="s">
        <v>16</v>
      </c>
      <c r="E161" s="4">
        <v>1118.3399999999999</v>
      </c>
      <c r="F161" s="4">
        <v>6</v>
      </c>
      <c r="G161" s="4">
        <v>0.2</v>
      </c>
      <c r="H161" s="5">
        <v>45674</v>
      </c>
      <c r="I161" s="5" t="str">
        <f t="shared" si="3"/>
        <v>Jan-2025</v>
      </c>
      <c r="J161" s="5"/>
      <c r="L161" s="4">
        <v>447.34</v>
      </c>
    </row>
    <row r="162" spans="1:12" ht="15.75" customHeight="1" x14ac:dyDescent="0.35">
      <c r="A162" s="4" t="s">
        <v>71</v>
      </c>
      <c r="B162" s="4" t="s">
        <v>54</v>
      </c>
      <c r="C162" s="4" t="s">
        <v>25</v>
      </c>
      <c r="D162" s="4" t="s">
        <v>16</v>
      </c>
      <c r="E162" s="4">
        <v>1622.62</v>
      </c>
      <c r="F162" s="4">
        <v>12</v>
      </c>
      <c r="G162" s="4">
        <v>0.2</v>
      </c>
      <c r="H162" s="5">
        <v>45677</v>
      </c>
      <c r="I162" s="5" t="str">
        <f t="shared" si="3"/>
        <v>Jan-2025</v>
      </c>
      <c r="J162" s="5"/>
      <c r="L162" s="4">
        <v>649.04999999999995</v>
      </c>
    </row>
    <row r="163" spans="1:12" ht="15.75" customHeight="1" x14ac:dyDescent="0.35">
      <c r="A163" s="4" t="s">
        <v>76</v>
      </c>
      <c r="B163" s="4" t="s">
        <v>49</v>
      </c>
      <c r="C163" s="4" t="s">
        <v>25</v>
      </c>
      <c r="D163" s="4" t="s">
        <v>13</v>
      </c>
      <c r="E163" s="4">
        <v>640.64</v>
      </c>
      <c r="F163" s="4">
        <v>11</v>
      </c>
      <c r="G163" s="4">
        <v>0.2</v>
      </c>
      <c r="H163" s="5">
        <v>45678</v>
      </c>
      <c r="I163" s="5" t="str">
        <f t="shared" si="3"/>
        <v>Jan-2025</v>
      </c>
      <c r="J163" s="5"/>
      <c r="L163" s="4">
        <v>205</v>
      </c>
    </row>
    <row r="164" spans="1:12" ht="15.75" customHeight="1" x14ac:dyDescent="0.35">
      <c r="A164" s="4" t="s">
        <v>23</v>
      </c>
      <c r="B164" s="4" t="s">
        <v>44</v>
      </c>
      <c r="C164" s="4" t="s">
        <v>12</v>
      </c>
      <c r="D164" s="4" t="s">
        <v>16</v>
      </c>
      <c r="E164" s="4">
        <v>585.16</v>
      </c>
      <c r="F164" s="4">
        <v>17</v>
      </c>
      <c r="G164" s="4">
        <v>0.1</v>
      </c>
      <c r="H164" s="5">
        <v>45684</v>
      </c>
      <c r="I164" s="5" t="str">
        <f t="shared" si="3"/>
        <v>Jan-2025</v>
      </c>
      <c r="J164" s="5"/>
      <c r="L164" s="4">
        <v>263.32</v>
      </c>
    </row>
    <row r="165" spans="1:12" ht="15.75" customHeight="1" x14ac:dyDescent="0.35">
      <c r="A165" s="4" t="s">
        <v>23</v>
      </c>
      <c r="B165" s="4" t="s">
        <v>32</v>
      </c>
      <c r="C165" s="4" t="s">
        <v>19</v>
      </c>
      <c r="D165" s="4" t="s">
        <v>16</v>
      </c>
      <c r="E165" s="4">
        <v>1109.98</v>
      </c>
      <c r="F165" s="4">
        <v>5</v>
      </c>
      <c r="G165" s="4">
        <v>0.2</v>
      </c>
      <c r="H165" s="5">
        <v>45690</v>
      </c>
      <c r="I165" s="5" t="str">
        <f t="shared" si="3"/>
        <v>Feb-2025</v>
      </c>
      <c r="J165" s="5"/>
      <c r="L165" s="4">
        <v>443.99</v>
      </c>
    </row>
    <row r="166" spans="1:12" ht="15.75" customHeight="1" x14ac:dyDescent="0.35">
      <c r="A166" s="4" t="s">
        <v>59</v>
      </c>
      <c r="B166" s="4" t="s">
        <v>46</v>
      </c>
      <c r="C166" s="4" t="s">
        <v>19</v>
      </c>
      <c r="D166" s="4" t="s">
        <v>13</v>
      </c>
      <c r="E166" s="4">
        <v>1098.08</v>
      </c>
      <c r="F166" s="4">
        <v>9</v>
      </c>
      <c r="G166" s="4">
        <v>0.1</v>
      </c>
      <c r="H166" s="5">
        <v>45692</v>
      </c>
      <c r="I166" s="5" t="str">
        <f t="shared" si="3"/>
        <v>Feb-2025</v>
      </c>
      <c r="J166" s="5"/>
      <c r="L166" s="4">
        <v>395.31</v>
      </c>
    </row>
    <row r="167" spans="1:12" ht="15.75" customHeight="1" x14ac:dyDescent="0.35">
      <c r="A167" s="4" t="s">
        <v>66</v>
      </c>
      <c r="B167" s="4" t="s">
        <v>49</v>
      </c>
      <c r="C167" s="4" t="s">
        <v>12</v>
      </c>
      <c r="D167" s="4" t="s">
        <v>40</v>
      </c>
      <c r="E167" s="4">
        <v>827.25</v>
      </c>
      <c r="F167" s="4">
        <v>7</v>
      </c>
      <c r="G167" s="4">
        <v>0.1</v>
      </c>
      <c r="H167" s="5">
        <v>45693</v>
      </c>
      <c r="I167" s="5" t="str">
        <f t="shared" si="3"/>
        <v>Feb-2025</v>
      </c>
      <c r="J167" s="5"/>
      <c r="L167" s="4">
        <v>335.04</v>
      </c>
    </row>
    <row r="168" spans="1:12" ht="15.75" customHeight="1" x14ac:dyDescent="0.35">
      <c r="A168" s="4" t="s">
        <v>71</v>
      </c>
      <c r="B168" s="4" t="s">
        <v>30</v>
      </c>
      <c r="C168" s="4" t="s">
        <v>35</v>
      </c>
      <c r="D168" s="4" t="s">
        <v>16</v>
      </c>
      <c r="E168" s="4">
        <v>741.88</v>
      </c>
      <c r="F168" s="4">
        <v>16</v>
      </c>
      <c r="G168" s="4">
        <v>0.1</v>
      </c>
      <c r="H168" s="5">
        <v>45695</v>
      </c>
      <c r="I168" s="5" t="str">
        <f t="shared" si="3"/>
        <v>Feb-2025</v>
      </c>
      <c r="J168" s="5"/>
      <c r="L168" s="4">
        <v>333.85</v>
      </c>
    </row>
    <row r="169" spans="1:12" ht="15.75" customHeight="1" x14ac:dyDescent="0.35">
      <c r="A169" s="4" t="s">
        <v>73</v>
      </c>
      <c r="B169" s="4" t="s">
        <v>11</v>
      </c>
      <c r="C169" s="4" t="s">
        <v>19</v>
      </c>
      <c r="D169" s="4" t="s">
        <v>40</v>
      </c>
      <c r="E169" s="4">
        <v>1311.26</v>
      </c>
      <c r="F169" s="4">
        <v>6</v>
      </c>
      <c r="G169" s="4">
        <v>0.1</v>
      </c>
      <c r="H169" s="5">
        <v>45698</v>
      </c>
      <c r="I169" s="5" t="str">
        <f t="shared" si="3"/>
        <v>Feb-2025</v>
      </c>
      <c r="J169" s="5"/>
      <c r="L169" s="4">
        <v>531.05999999999995</v>
      </c>
    </row>
    <row r="170" spans="1:12" ht="15.75" customHeight="1" x14ac:dyDescent="0.35">
      <c r="A170" s="4" t="s">
        <v>73</v>
      </c>
      <c r="B170" s="4" t="s">
        <v>32</v>
      </c>
      <c r="C170" s="4" t="s">
        <v>21</v>
      </c>
      <c r="D170" s="4" t="s">
        <v>40</v>
      </c>
      <c r="E170" s="4">
        <v>573.32000000000005</v>
      </c>
      <c r="F170" s="4">
        <v>19</v>
      </c>
      <c r="G170" s="4">
        <v>0.1</v>
      </c>
      <c r="H170" s="5">
        <v>45703</v>
      </c>
      <c r="I170" s="5" t="str">
        <f t="shared" si="3"/>
        <v>Feb-2025</v>
      </c>
      <c r="J170" s="5"/>
      <c r="L170" s="4">
        <v>232.19</v>
      </c>
    </row>
    <row r="171" spans="1:12" ht="15.75" customHeight="1" x14ac:dyDescent="0.35">
      <c r="A171" s="4" t="s">
        <v>53</v>
      </c>
      <c r="B171" s="4" t="s">
        <v>24</v>
      </c>
      <c r="C171" s="4" t="s">
        <v>12</v>
      </c>
      <c r="D171" s="4" t="s">
        <v>22</v>
      </c>
      <c r="E171" s="4">
        <v>1115.22</v>
      </c>
      <c r="F171" s="4">
        <v>14</v>
      </c>
      <c r="G171" s="4">
        <v>0.2</v>
      </c>
      <c r="H171" s="5">
        <v>45705</v>
      </c>
      <c r="I171" s="5" t="str">
        <f t="shared" si="3"/>
        <v>Feb-2025</v>
      </c>
      <c r="J171" s="5"/>
      <c r="L171" s="4">
        <v>223.04</v>
      </c>
    </row>
    <row r="172" spans="1:12" ht="15.75" customHeight="1" x14ac:dyDescent="0.35">
      <c r="A172" s="4" t="s">
        <v>14</v>
      </c>
      <c r="B172" s="4" t="s">
        <v>46</v>
      </c>
      <c r="C172" s="4" t="s">
        <v>25</v>
      </c>
      <c r="D172" s="4" t="s">
        <v>16</v>
      </c>
      <c r="E172" s="4">
        <v>845.84</v>
      </c>
      <c r="F172" s="4">
        <v>4</v>
      </c>
      <c r="G172" s="4">
        <v>0</v>
      </c>
      <c r="H172" s="5">
        <v>45707</v>
      </c>
      <c r="I172" s="5" t="str">
        <f t="shared" si="3"/>
        <v>Feb-2025</v>
      </c>
      <c r="J172" s="5"/>
      <c r="L172" s="4">
        <v>422.92</v>
      </c>
    </row>
    <row r="173" spans="1:12" ht="15.75" customHeight="1" x14ac:dyDescent="0.35">
      <c r="A173" s="4" t="s">
        <v>31</v>
      </c>
      <c r="B173" s="4" t="s">
        <v>56</v>
      </c>
      <c r="C173" s="4" t="s">
        <v>12</v>
      </c>
      <c r="D173" s="4" t="s">
        <v>22</v>
      </c>
      <c r="E173" s="4">
        <v>1029.8</v>
      </c>
      <c r="F173" s="4">
        <v>3</v>
      </c>
      <c r="G173" s="4">
        <v>0</v>
      </c>
      <c r="H173" s="5">
        <v>45708</v>
      </c>
      <c r="I173" s="5" t="str">
        <f t="shared" si="3"/>
        <v>Feb-2025</v>
      </c>
      <c r="J173" s="5"/>
      <c r="L173" s="4">
        <v>257.45</v>
      </c>
    </row>
    <row r="174" spans="1:12" ht="15.75" customHeight="1" x14ac:dyDescent="0.35">
      <c r="A174" s="4" t="s">
        <v>33</v>
      </c>
      <c r="B174" s="4" t="s">
        <v>32</v>
      </c>
      <c r="C174" s="4" t="s">
        <v>25</v>
      </c>
      <c r="D174" s="4" t="s">
        <v>13</v>
      </c>
      <c r="E174" s="4">
        <v>1189.83</v>
      </c>
      <c r="F174" s="4">
        <v>2</v>
      </c>
      <c r="G174" s="4">
        <v>0.2</v>
      </c>
      <c r="H174" s="5">
        <v>45709</v>
      </c>
      <c r="I174" s="5" t="str">
        <f t="shared" si="3"/>
        <v>Feb-2025</v>
      </c>
      <c r="J174" s="5"/>
      <c r="L174" s="4">
        <v>380.75</v>
      </c>
    </row>
    <row r="175" spans="1:12" ht="15.75" customHeight="1" x14ac:dyDescent="0.35">
      <c r="A175" s="4" t="s">
        <v>68</v>
      </c>
      <c r="B175" s="4" t="s">
        <v>44</v>
      </c>
      <c r="C175" s="4" t="s">
        <v>21</v>
      </c>
      <c r="D175" s="4" t="s">
        <v>13</v>
      </c>
      <c r="E175" s="4">
        <v>704.28</v>
      </c>
      <c r="F175" s="4">
        <v>15</v>
      </c>
      <c r="G175" s="4">
        <v>0.2</v>
      </c>
      <c r="H175" s="5">
        <v>45712</v>
      </c>
      <c r="I175" s="5" t="str">
        <f t="shared" si="3"/>
        <v>Feb-2025</v>
      </c>
      <c r="J175" s="5"/>
      <c r="L175" s="4">
        <v>225.37</v>
      </c>
    </row>
    <row r="176" spans="1:12" ht="15.75" customHeight="1" x14ac:dyDescent="0.35">
      <c r="A176" s="4" t="s">
        <v>66</v>
      </c>
      <c r="B176" s="4" t="s">
        <v>48</v>
      </c>
      <c r="C176" s="4" t="s">
        <v>35</v>
      </c>
      <c r="D176" s="4" t="s">
        <v>40</v>
      </c>
      <c r="E176" s="4">
        <v>1618.22</v>
      </c>
      <c r="F176" s="4">
        <v>12</v>
      </c>
      <c r="G176" s="4">
        <v>0.2</v>
      </c>
      <c r="H176" s="5">
        <v>45712</v>
      </c>
      <c r="I176" s="5" t="str">
        <f t="shared" si="3"/>
        <v>Feb-2025</v>
      </c>
      <c r="J176" s="5"/>
      <c r="L176" s="4">
        <v>582.55999999999995</v>
      </c>
    </row>
    <row r="177" spans="1:12" ht="15.75" customHeight="1" x14ac:dyDescent="0.35">
      <c r="A177" s="4" t="s">
        <v>74</v>
      </c>
      <c r="B177" s="4" t="s">
        <v>54</v>
      </c>
      <c r="C177" s="4" t="s">
        <v>35</v>
      </c>
      <c r="D177" s="4" t="s">
        <v>13</v>
      </c>
      <c r="E177" s="4">
        <v>1014.43</v>
      </c>
      <c r="F177" s="4">
        <v>2</v>
      </c>
      <c r="G177" s="4">
        <v>0.15</v>
      </c>
      <c r="H177" s="5">
        <v>45713</v>
      </c>
      <c r="I177" s="5" t="str">
        <f t="shared" si="3"/>
        <v>Feb-2025</v>
      </c>
      <c r="J177" s="5"/>
      <c r="L177" s="4">
        <v>344.91</v>
      </c>
    </row>
    <row r="178" spans="1:12" ht="15.75" customHeight="1" x14ac:dyDescent="0.35">
      <c r="A178" s="4" t="s">
        <v>76</v>
      </c>
      <c r="B178" s="4" t="s">
        <v>32</v>
      </c>
      <c r="C178" s="4" t="s">
        <v>35</v>
      </c>
      <c r="D178" s="4" t="s">
        <v>16</v>
      </c>
      <c r="E178" s="4">
        <v>826.97</v>
      </c>
      <c r="F178" s="4">
        <v>18</v>
      </c>
      <c r="G178" s="4">
        <v>0.2</v>
      </c>
      <c r="H178" s="5">
        <v>45715</v>
      </c>
      <c r="I178" s="5" t="str">
        <f t="shared" si="3"/>
        <v>Feb-2025</v>
      </c>
      <c r="J178" s="5"/>
      <c r="L178" s="4">
        <v>330.79</v>
      </c>
    </row>
    <row r="179" spans="1:12" ht="15.75" customHeight="1" x14ac:dyDescent="0.35">
      <c r="A179" s="4" t="s">
        <v>17</v>
      </c>
      <c r="B179" s="4" t="s">
        <v>32</v>
      </c>
      <c r="C179" s="4" t="s">
        <v>35</v>
      </c>
      <c r="D179" s="4" t="s">
        <v>16</v>
      </c>
      <c r="E179" s="4">
        <v>1022.23</v>
      </c>
      <c r="F179" s="4">
        <v>8</v>
      </c>
      <c r="G179" s="4">
        <v>0.1</v>
      </c>
      <c r="H179" s="5">
        <v>45717</v>
      </c>
      <c r="I179" s="5" t="str">
        <f t="shared" si="3"/>
        <v>Mar-2025</v>
      </c>
      <c r="J179" s="5"/>
      <c r="L179" s="4">
        <v>460</v>
      </c>
    </row>
    <row r="180" spans="1:12" ht="15.75" customHeight="1" x14ac:dyDescent="0.35">
      <c r="A180" s="4" t="s">
        <v>73</v>
      </c>
      <c r="B180" s="4" t="s">
        <v>30</v>
      </c>
      <c r="C180" s="4" t="s">
        <v>19</v>
      </c>
      <c r="D180" s="4" t="s">
        <v>13</v>
      </c>
      <c r="E180" s="4">
        <v>1099.69</v>
      </c>
      <c r="F180" s="4">
        <v>6</v>
      </c>
      <c r="G180" s="4">
        <v>0</v>
      </c>
      <c r="H180" s="5">
        <v>45718</v>
      </c>
      <c r="I180" s="5" t="str">
        <f t="shared" si="3"/>
        <v>Mar-2025</v>
      </c>
      <c r="J180" s="5"/>
      <c r="L180" s="4">
        <v>439.88</v>
      </c>
    </row>
    <row r="181" spans="1:12" ht="15.75" customHeight="1" x14ac:dyDescent="0.35">
      <c r="A181" s="4" t="s">
        <v>53</v>
      </c>
      <c r="B181" s="4" t="s">
        <v>65</v>
      </c>
      <c r="C181" s="4" t="s">
        <v>25</v>
      </c>
      <c r="D181" s="4" t="s">
        <v>13</v>
      </c>
      <c r="E181" s="4">
        <v>710.52</v>
      </c>
      <c r="F181" s="4">
        <v>8</v>
      </c>
      <c r="G181" s="4">
        <v>0.1</v>
      </c>
      <c r="H181" s="5">
        <v>45721</v>
      </c>
      <c r="I181" s="5" t="str">
        <f t="shared" si="3"/>
        <v>Mar-2025</v>
      </c>
      <c r="J181" s="5"/>
      <c r="L181" s="4">
        <v>255.79</v>
      </c>
    </row>
    <row r="182" spans="1:12" ht="15.75" customHeight="1" x14ac:dyDescent="0.35">
      <c r="A182" s="4" t="s">
        <v>53</v>
      </c>
      <c r="B182" s="4" t="s">
        <v>60</v>
      </c>
      <c r="C182" s="4" t="s">
        <v>25</v>
      </c>
      <c r="D182" s="4" t="s">
        <v>13</v>
      </c>
      <c r="E182" s="4">
        <v>499.18</v>
      </c>
      <c r="F182" s="4">
        <v>15</v>
      </c>
      <c r="G182" s="4">
        <v>0.2</v>
      </c>
      <c r="H182" s="5">
        <v>45724</v>
      </c>
      <c r="I182" s="5" t="str">
        <f t="shared" si="3"/>
        <v>Mar-2025</v>
      </c>
      <c r="J182" s="5"/>
      <c r="L182" s="4">
        <v>159.74</v>
      </c>
    </row>
    <row r="183" spans="1:12" ht="15.75" customHeight="1" x14ac:dyDescent="0.35">
      <c r="A183" s="4" t="s">
        <v>38</v>
      </c>
      <c r="B183" s="4" t="s">
        <v>39</v>
      </c>
      <c r="C183" s="4" t="s">
        <v>21</v>
      </c>
      <c r="D183" s="4" t="s">
        <v>13</v>
      </c>
      <c r="E183" s="4">
        <v>1064.19</v>
      </c>
      <c r="F183" s="4">
        <v>18</v>
      </c>
      <c r="G183" s="4">
        <v>0.05</v>
      </c>
      <c r="H183" s="5">
        <v>45725</v>
      </c>
      <c r="I183" s="5" t="str">
        <f t="shared" si="3"/>
        <v>Mar-2025</v>
      </c>
      <c r="J183" s="5"/>
      <c r="L183" s="4">
        <v>404.39</v>
      </c>
    </row>
    <row r="184" spans="1:12" ht="15.75" customHeight="1" x14ac:dyDescent="0.35">
      <c r="A184" s="4" t="s">
        <v>68</v>
      </c>
      <c r="B184" s="4" t="s">
        <v>39</v>
      </c>
      <c r="C184" s="4" t="s">
        <v>19</v>
      </c>
      <c r="D184" s="4" t="s">
        <v>40</v>
      </c>
      <c r="E184" s="4">
        <v>438.76</v>
      </c>
      <c r="F184" s="4">
        <v>18</v>
      </c>
      <c r="G184" s="4">
        <v>0.05</v>
      </c>
      <c r="H184" s="5">
        <v>45726</v>
      </c>
      <c r="I184" s="5" t="str">
        <f t="shared" si="3"/>
        <v>Mar-2025</v>
      </c>
      <c r="J184" s="5"/>
      <c r="L184" s="4">
        <v>187.57</v>
      </c>
    </row>
    <row r="185" spans="1:12" ht="15.75" customHeight="1" x14ac:dyDescent="0.35">
      <c r="A185" s="4" t="s">
        <v>42</v>
      </c>
      <c r="B185" s="4" t="s">
        <v>56</v>
      </c>
      <c r="C185" s="4" t="s">
        <v>12</v>
      </c>
      <c r="D185" s="4" t="s">
        <v>16</v>
      </c>
      <c r="E185" s="4">
        <v>864.98</v>
      </c>
      <c r="F185" s="4">
        <v>2</v>
      </c>
      <c r="G185" s="4">
        <v>0.05</v>
      </c>
      <c r="H185" s="5">
        <v>45727</v>
      </c>
      <c r="I185" s="5" t="str">
        <f t="shared" si="3"/>
        <v>Mar-2025</v>
      </c>
      <c r="J185" s="5"/>
      <c r="L185" s="4">
        <v>410.87</v>
      </c>
    </row>
    <row r="186" spans="1:12" ht="15.75" customHeight="1" x14ac:dyDescent="0.35">
      <c r="A186" s="4" t="s">
        <v>58</v>
      </c>
      <c r="B186" s="4" t="s">
        <v>56</v>
      </c>
      <c r="C186" s="4" t="s">
        <v>12</v>
      </c>
      <c r="D186" s="4" t="s">
        <v>28</v>
      </c>
      <c r="E186" s="4">
        <v>984.93</v>
      </c>
      <c r="F186" s="4">
        <v>14</v>
      </c>
      <c r="G186" s="4">
        <v>0.2</v>
      </c>
      <c r="H186" s="5">
        <v>45733</v>
      </c>
      <c r="I186" s="5" t="str">
        <f t="shared" si="3"/>
        <v>Mar-2025</v>
      </c>
      <c r="J186" s="5"/>
      <c r="L186" s="4">
        <v>275.77999999999997</v>
      </c>
    </row>
    <row r="187" spans="1:12" ht="15.75" customHeight="1" x14ac:dyDescent="0.35">
      <c r="A187" s="4" t="s">
        <v>26</v>
      </c>
      <c r="B187" s="4" t="s">
        <v>56</v>
      </c>
      <c r="C187" s="4" t="s">
        <v>12</v>
      </c>
      <c r="D187" s="4" t="s">
        <v>16</v>
      </c>
      <c r="E187" s="4">
        <v>1493.49</v>
      </c>
      <c r="F187" s="4">
        <v>18</v>
      </c>
      <c r="G187" s="4">
        <v>0</v>
      </c>
      <c r="H187" s="5">
        <v>45734</v>
      </c>
      <c r="I187" s="5" t="str">
        <f t="shared" si="3"/>
        <v>Mar-2025</v>
      </c>
      <c r="J187" s="5"/>
      <c r="L187" s="4">
        <v>746.74</v>
      </c>
    </row>
    <row r="188" spans="1:12" ht="15.75" customHeight="1" x14ac:dyDescent="0.35">
      <c r="A188" s="4" t="s">
        <v>33</v>
      </c>
      <c r="B188" s="4" t="s">
        <v>54</v>
      </c>
      <c r="C188" s="4" t="s">
        <v>21</v>
      </c>
      <c r="D188" s="4" t="s">
        <v>16</v>
      </c>
      <c r="E188" s="4">
        <v>689.43</v>
      </c>
      <c r="F188" s="4">
        <v>9</v>
      </c>
      <c r="G188" s="4">
        <v>0.1</v>
      </c>
      <c r="H188" s="5">
        <v>45736</v>
      </c>
      <c r="I188" s="5" t="str">
        <f t="shared" si="3"/>
        <v>Mar-2025</v>
      </c>
      <c r="J188" s="5"/>
      <c r="L188" s="4">
        <v>310.24</v>
      </c>
    </row>
    <row r="189" spans="1:12" ht="15.75" customHeight="1" x14ac:dyDescent="0.35">
      <c r="A189" s="4" t="s">
        <v>41</v>
      </c>
      <c r="B189" s="4" t="s">
        <v>60</v>
      </c>
      <c r="C189" s="4" t="s">
        <v>21</v>
      </c>
      <c r="D189" s="4" t="s">
        <v>16</v>
      </c>
      <c r="E189" s="4">
        <v>682.24</v>
      </c>
      <c r="F189" s="4">
        <v>1</v>
      </c>
      <c r="G189" s="4">
        <v>0</v>
      </c>
      <c r="H189" s="5">
        <v>45738</v>
      </c>
      <c r="I189" s="5" t="str">
        <f t="shared" si="3"/>
        <v>Mar-2025</v>
      </c>
      <c r="J189" s="5"/>
      <c r="L189" s="4">
        <v>341.12</v>
      </c>
    </row>
    <row r="190" spans="1:12" ht="15.75" customHeight="1" x14ac:dyDescent="0.35">
      <c r="A190" s="4" t="s">
        <v>42</v>
      </c>
      <c r="B190" s="4" t="s">
        <v>27</v>
      </c>
      <c r="C190" s="4" t="s">
        <v>25</v>
      </c>
      <c r="D190" s="4" t="s">
        <v>22</v>
      </c>
      <c r="E190" s="4">
        <v>458.54</v>
      </c>
      <c r="F190" s="4">
        <v>15</v>
      </c>
      <c r="G190" s="4">
        <v>0.2</v>
      </c>
      <c r="H190" s="5">
        <v>45741</v>
      </c>
      <c r="I190" s="5" t="str">
        <f t="shared" si="3"/>
        <v>Mar-2025</v>
      </c>
      <c r="J190" s="5"/>
      <c r="L190" s="4">
        <v>91.71</v>
      </c>
    </row>
    <row r="191" spans="1:12" ht="15.75" customHeight="1" x14ac:dyDescent="0.35">
      <c r="A191" s="4" t="s">
        <v>33</v>
      </c>
      <c r="B191" s="4" t="s">
        <v>27</v>
      </c>
      <c r="C191" s="4" t="s">
        <v>21</v>
      </c>
      <c r="D191" s="4" t="s">
        <v>28</v>
      </c>
      <c r="E191" s="4">
        <v>1184.25</v>
      </c>
      <c r="F191" s="4">
        <v>11</v>
      </c>
      <c r="G191" s="4">
        <v>0.2</v>
      </c>
      <c r="H191" s="5">
        <v>45742</v>
      </c>
      <c r="I191" s="5" t="str">
        <f t="shared" si="3"/>
        <v>Mar-2025</v>
      </c>
      <c r="J191" s="5"/>
      <c r="L191" s="4">
        <v>331.59</v>
      </c>
    </row>
    <row r="192" spans="1:12" ht="15.75" customHeight="1" x14ac:dyDescent="0.35">
      <c r="A192" s="4" t="s">
        <v>26</v>
      </c>
      <c r="B192" s="4" t="s">
        <v>11</v>
      </c>
      <c r="C192" s="4" t="s">
        <v>21</v>
      </c>
      <c r="D192" s="4" t="s">
        <v>16</v>
      </c>
      <c r="E192" s="4">
        <v>762.14</v>
      </c>
      <c r="F192" s="4">
        <v>9</v>
      </c>
      <c r="G192" s="4">
        <v>0</v>
      </c>
      <c r="H192" s="5">
        <v>45743</v>
      </c>
      <c r="I192" s="5" t="str">
        <f t="shared" si="3"/>
        <v>Mar-2025</v>
      </c>
      <c r="J192" s="5"/>
      <c r="L192" s="4">
        <v>381.07</v>
      </c>
    </row>
    <row r="193" spans="1:12" ht="15.75" customHeight="1" x14ac:dyDescent="0.35">
      <c r="A193" s="4" t="s">
        <v>23</v>
      </c>
      <c r="B193" s="4" t="s">
        <v>54</v>
      </c>
      <c r="C193" s="4" t="s">
        <v>25</v>
      </c>
      <c r="D193" s="4" t="s">
        <v>13</v>
      </c>
      <c r="E193" s="4">
        <v>750.71</v>
      </c>
      <c r="F193" s="4">
        <v>10</v>
      </c>
      <c r="G193" s="4">
        <v>0.15</v>
      </c>
      <c r="H193" s="5">
        <v>45743</v>
      </c>
      <c r="I193" s="5" t="str">
        <f t="shared" si="3"/>
        <v>Mar-2025</v>
      </c>
      <c r="J193" s="5"/>
      <c r="L193" s="4">
        <v>255.24</v>
      </c>
    </row>
    <row r="194" spans="1:12" ht="15.75" customHeight="1" x14ac:dyDescent="0.35">
      <c r="A194" s="4" t="s">
        <v>76</v>
      </c>
      <c r="B194" s="4" t="s">
        <v>72</v>
      </c>
      <c r="C194" s="4" t="s">
        <v>35</v>
      </c>
      <c r="D194" s="4" t="s">
        <v>16</v>
      </c>
      <c r="E194" s="4">
        <v>1456.94</v>
      </c>
      <c r="F194" s="4">
        <v>14</v>
      </c>
      <c r="G194" s="4">
        <v>0.05</v>
      </c>
      <c r="H194" s="5">
        <v>45745</v>
      </c>
      <c r="I194" s="5" t="str">
        <f t="shared" si="3"/>
        <v>Mar-2025</v>
      </c>
      <c r="J194" s="5"/>
      <c r="L194" s="4">
        <v>692.05</v>
      </c>
    </row>
    <row r="195" spans="1:12" ht="15.75" customHeight="1" x14ac:dyDescent="0.35">
      <c r="A195" s="4" t="s">
        <v>45</v>
      </c>
      <c r="B195" s="4" t="s">
        <v>62</v>
      </c>
      <c r="C195" s="4" t="s">
        <v>19</v>
      </c>
      <c r="D195" s="4" t="s">
        <v>28</v>
      </c>
      <c r="E195" s="4">
        <v>1093.3800000000001</v>
      </c>
      <c r="F195" s="4">
        <v>17</v>
      </c>
      <c r="G195" s="4">
        <v>0.1</v>
      </c>
      <c r="H195" s="5">
        <v>45745</v>
      </c>
      <c r="I195" s="5" t="str">
        <f t="shared" ref="I195:I201" si="4">TEXT(H195,"mmm-yyyy")</f>
        <v>Mar-2025</v>
      </c>
      <c r="J195" s="5"/>
      <c r="L195" s="4">
        <v>344.41</v>
      </c>
    </row>
    <row r="196" spans="1:12" ht="15.75" customHeight="1" x14ac:dyDescent="0.35">
      <c r="A196" s="4" t="s">
        <v>38</v>
      </c>
      <c r="B196" s="4" t="s">
        <v>44</v>
      </c>
      <c r="C196" s="4" t="s">
        <v>12</v>
      </c>
      <c r="D196" s="4" t="s">
        <v>16</v>
      </c>
      <c r="E196" s="4">
        <v>934.27</v>
      </c>
      <c r="F196" s="4">
        <v>8</v>
      </c>
      <c r="G196" s="4">
        <v>0.15</v>
      </c>
      <c r="H196" s="5">
        <v>45746</v>
      </c>
      <c r="I196" s="5" t="str">
        <f t="shared" si="4"/>
        <v>Mar-2025</v>
      </c>
      <c r="J196" s="5"/>
      <c r="L196" s="4">
        <v>397.06</v>
      </c>
    </row>
    <row r="197" spans="1:12" ht="15.75" customHeight="1" x14ac:dyDescent="0.35">
      <c r="A197" s="4" t="s">
        <v>71</v>
      </c>
      <c r="B197" s="4" t="s">
        <v>37</v>
      </c>
      <c r="C197" s="4" t="s">
        <v>35</v>
      </c>
      <c r="D197" s="4" t="s">
        <v>16</v>
      </c>
      <c r="E197" s="4">
        <v>1465.35</v>
      </c>
      <c r="F197" s="4">
        <v>8</v>
      </c>
      <c r="G197" s="4">
        <v>0.2</v>
      </c>
      <c r="H197" s="5">
        <v>45746</v>
      </c>
      <c r="I197" s="5" t="str">
        <f t="shared" si="4"/>
        <v>Mar-2025</v>
      </c>
      <c r="J197" s="5"/>
      <c r="L197" s="4">
        <v>586.14</v>
      </c>
    </row>
    <row r="198" spans="1:12" ht="15.75" customHeight="1" x14ac:dyDescent="0.35">
      <c r="A198" s="4" t="s">
        <v>53</v>
      </c>
      <c r="B198" s="4" t="s">
        <v>15</v>
      </c>
      <c r="C198" s="4" t="s">
        <v>21</v>
      </c>
      <c r="D198" s="4" t="s">
        <v>40</v>
      </c>
      <c r="E198" s="4">
        <v>740.8</v>
      </c>
      <c r="F198" s="4">
        <v>3</v>
      </c>
      <c r="G198" s="4">
        <v>0</v>
      </c>
      <c r="H198" s="5">
        <v>45749</v>
      </c>
      <c r="I198" s="5" t="str">
        <f t="shared" si="4"/>
        <v>Apr-2025</v>
      </c>
      <c r="J198" s="5"/>
      <c r="L198" s="4">
        <v>333.36</v>
      </c>
    </row>
    <row r="199" spans="1:12" ht="15.75" customHeight="1" x14ac:dyDescent="0.35">
      <c r="A199" s="4" t="s">
        <v>59</v>
      </c>
      <c r="B199" s="4" t="s">
        <v>44</v>
      </c>
      <c r="C199" s="4" t="s">
        <v>12</v>
      </c>
      <c r="D199" s="4" t="s">
        <v>40</v>
      </c>
      <c r="E199" s="4">
        <v>545.44000000000005</v>
      </c>
      <c r="F199" s="4">
        <v>17</v>
      </c>
      <c r="G199" s="4">
        <v>0</v>
      </c>
      <c r="H199" s="5">
        <v>45752</v>
      </c>
      <c r="I199" s="5" t="str">
        <f t="shared" si="4"/>
        <v>Apr-2025</v>
      </c>
      <c r="J199" s="5"/>
      <c r="L199" s="4">
        <v>245.45</v>
      </c>
    </row>
    <row r="200" spans="1:12" ht="15.75" customHeight="1" x14ac:dyDescent="0.35">
      <c r="A200" s="4" t="s">
        <v>36</v>
      </c>
      <c r="B200" s="4" t="s">
        <v>37</v>
      </c>
      <c r="C200" s="4" t="s">
        <v>19</v>
      </c>
      <c r="D200" s="4" t="s">
        <v>13</v>
      </c>
      <c r="E200" s="4">
        <v>997.61</v>
      </c>
      <c r="F200" s="4">
        <v>8</v>
      </c>
      <c r="G200" s="4">
        <v>0.05</v>
      </c>
      <c r="H200" s="5">
        <v>45752</v>
      </c>
      <c r="I200" s="5" t="str">
        <f t="shared" si="4"/>
        <v>Apr-2025</v>
      </c>
      <c r="J200" s="5"/>
      <c r="L200" s="4">
        <v>379.09</v>
      </c>
    </row>
    <row r="201" spans="1:12" ht="15.75" customHeight="1" x14ac:dyDescent="0.35">
      <c r="A201" s="4" t="s">
        <v>61</v>
      </c>
      <c r="B201" s="4" t="s">
        <v>37</v>
      </c>
      <c r="C201" s="4" t="s">
        <v>21</v>
      </c>
      <c r="D201" s="4" t="s">
        <v>16</v>
      </c>
      <c r="E201" s="4">
        <v>928.32</v>
      </c>
      <c r="F201" s="4">
        <v>2</v>
      </c>
      <c r="G201" s="4">
        <v>0.05</v>
      </c>
      <c r="H201" s="5">
        <v>45754</v>
      </c>
      <c r="I201" s="5" t="str">
        <f t="shared" si="4"/>
        <v>Apr-2025</v>
      </c>
      <c r="J201" s="5"/>
      <c r="L201" s="4">
        <v>440.95</v>
      </c>
    </row>
    <row r="202" spans="1:12" ht="15.75" customHeight="1" x14ac:dyDescent="0.35"/>
    <row r="203" spans="1:12" ht="15.75" customHeight="1" x14ac:dyDescent="0.35"/>
    <row r="204" spans="1:12" ht="15.75" customHeight="1" x14ac:dyDescent="0.35"/>
    <row r="205" spans="1:12" ht="15.75" customHeight="1" x14ac:dyDescent="0.35"/>
    <row r="206" spans="1:12" ht="15.75" customHeight="1" x14ac:dyDescent="0.35"/>
    <row r="207" spans="1:12" ht="15.75" customHeight="1" x14ac:dyDescent="0.35"/>
    <row r="208" spans="1:12"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4">
    <mergeCell ref="O2:O8"/>
    <mergeCell ref="O11:O17"/>
    <mergeCell ref="O23:O29"/>
    <mergeCell ref="O32:O33"/>
  </mergeCells>
  <conditionalFormatting sqref="A2:L201">
    <cfRule type="expression" dxfId="0" priority="3">
      <formula>$E2 &gt;=LARGE($E$2:$E$201, 10)</formula>
    </cfRule>
  </conditionalFormatting>
  <conditionalFormatting sqref="J2:J14">
    <cfRule type="iconSet" priority="1">
      <iconSet iconSet="3Arrows">
        <cfvo type="percent" val="0"/>
        <cfvo type="percent" val="33"/>
        <cfvo type="percent" val="67"/>
      </iconSet>
    </cfRule>
  </conditionalFormatting>
  <conditionalFormatting sqref="K2:K103">
    <cfRule type="iconSet" priority="6">
      <iconSet iconSet="3Arrows">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9C10-2D72-46FE-8105-CBE5DE120D92}">
  <dimension ref="A1:O201"/>
  <sheetViews>
    <sheetView topLeftCell="A2" zoomScale="90" workbookViewId="0">
      <selection activeCell="M14" sqref="M14"/>
    </sheetView>
  </sheetViews>
  <sheetFormatPr defaultRowHeight="14.5" x14ac:dyDescent="0.35"/>
  <cols>
    <col min="1" max="1" width="11.7265625" bestFit="1" customWidth="1"/>
    <col min="2" max="2" width="16" bestFit="1" customWidth="1"/>
    <col min="3" max="3" width="6.81640625" bestFit="1" customWidth="1"/>
    <col min="4" max="4" width="15.7265625" bestFit="1" customWidth="1"/>
    <col min="5" max="5" width="13.453125" bestFit="1" customWidth="1"/>
    <col min="6" max="6" width="8" bestFit="1" customWidth="1"/>
    <col min="7" max="7" width="8.08984375" bestFit="1" customWidth="1"/>
    <col min="8" max="8" width="10.6328125" style="29" bestFit="1" customWidth="1"/>
    <col min="9" max="9" width="6.81640625" bestFit="1" customWidth="1"/>
    <col min="14" max="14" width="12.08984375" customWidth="1"/>
    <col min="15" max="15" width="13.453125" customWidth="1"/>
  </cols>
  <sheetData>
    <row r="1" spans="1:15" x14ac:dyDescent="0.35">
      <c r="A1" t="s">
        <v>2</v>
      </c>
      <c r="B1" t="s">
        <v>3</v>
      </c>
      <c r="C1" t="s">
        <v>4</v>
      </c>
      <c r="D1" t="s">
        <v>5</v>
      </c>
      <c r="E1" t="s">
        <v>77</v>
      </c>
      <c r="F1" t="s">
        <v>6</v>
      </c>
      <c r="G1" t="s">
        <v>7</v>
      </c>
      <c r="H1" s="29" t="s">
        <v>8</v>
      </c>
      <c r="I1" t="s">
        <v>9</v>
      </c>
    </row>
    <row r="2" spans="1:15" x14ac:dyDescent="0.35">
      <c r="A2" t="s">
        <v>10</v>
      </c>
      <c r="B2" t="s">
        <v>11</v>
      </c>
      <c r="C2" t="s">
        <v>12</v>
      </c>
      <c r="D2" t="s">
        <v>13</v>
      </c>
      <c r="E2">
        <v>1036.0899999999999</v>
      </c>
      <c r="F2">
        <v>4</v>
      </c>
      <c r="G2">
        <v>0.2</v>
      </c>
      <c r="H2" s="29">
        <v>45392</v>
      </c>
      <c r="I2">
        <v>331.55</v>
      </c>
      <c r="K2" s="13" t="s">
        <v>7</v>
      </c>
      <c r="L2" s="13"/>
    </row>
    <row r="3" spans="1:15" x14ac:dyDescent="0.35">
      <c r="A3" t="s">
        <v>14</v>
      </c>
      <c r="B3" t="s">
        <v>15</v>
      </c>
      <c r="C3" t="s">
        <v>12</v>
      </c>
      <c r="D3" t="s">
        <v>16</v>
      </c>
      <c r="E3">
        <v>1101.28</v>
      </c>
      <c r="F3">
        <v>3</v>
      </c>
      <c r="G3">
        <v>0.2</v>
      </c>
      <c r="H3" s="29">
        <v>45393</v>
      </c>
      <c r="I3">
        <v>440.51</v>
      </c>
      <c r="K3" s="13">
        <v>0.2</v>
      </c>
      <c r="L3" s="13">
        <f>I2 * (1 - $K$3) / (1 - G2)</f>
        <v>331.55</v>
      </c>
    </row>
    <row r="4" spans="1:15" ht="15.5" x14ac:dyDescent="0.35">
      <c r="A4" t="s">
        <v>17</v>
      </c>
      <c r="B4" t="s">
        <v>18</v>
      </c>
      <c r="C4" t="s">
        <v>19</v>
      </c>
      <c r="D4" t="s">
        <v>13</v>
      </c>
      <c r="E4">
        <v>713.34</v>
      </c>
      <c r="F4">
        <v>17</v>
      </c>
      <c r="G4">
        <v>0</v>
      </c>
      <c r="H4" s="29">
        <v>45396</v>
      </c>
      <c r="I4">
        <v>285.33999999999997</v>
      </c>
      <c r="N4" s="40" t="s">
        <v>7</v>
      </c>
      <c r="O4" s="40" t="s">
        <v>9</v>
      </c>
    </row>
    <row r="5" spans="1:15" ht="15.5" x14ac:dyDescent="0.35">
      <c r="A5" t="s">
        <v>20</v>
      </c>
      <c r="B5" t="s">
        <v>15</v>
      </c>
      <c r="C5" t="s">
        <v>21</v>
      </c>
      <c r="D5" t="s">
        <v>22</v>
      </c>
      <c r="E5">
        <v>760.93</v>
      </c>
      <c r="F5">
        <v>4</v>
      </c>
      <c r="G5">
        <v>0.15</v>
      </c>
      <c r="H5" s="29">
        <v>45396</v>
      </c>
      <c r="I5">
        <v>161.69999999999999</v>
      </c>
      <c r="K5" s="41" t="s">
        <v>78</v>
      </c>
      <c r="N5" s="38"/>
      <c r="O5" s="38">
        <f>L3</f>
        <v>331.55</v>
      </c>
    </row>
    <row r="6" spans="1:15" ht="15.5" customHeight="1" x14ac:dyDescent="0.35">
      <c r="A6" t="s">
        <v>23</v>
      </c>
      <c r="B6" t="s">
        <v>24</v>
      </c>
      <c r="C6" t="s">
        <v>25</v>
      </c>
      <c r="D6" t="s">
        <v>13</v>
      </c>
      <c r="E6">
        <v>847</v>
      </c>
      <c r="F6">
        <v>12</v>
      </c>
      <c r="G6">
        <v>0.2</v>
      </c>
      <c r="H6" s="29">
        <v>45397</v>
      </c>
      <c r="I6">
        <v>271.04000000000002</v>
      </c>
      <c r="K6" s="46" t="s">
        <v>170</v>
      </c>
      <c r="L6" s="46"/>
      <c r="N6" s="39">
        <v>0.1</v>
      </c>
      <c r="O6" s="38">
        <f t="dataTable" ref="O6:O10" dt2D="0" dtr="0" r1="K3"/>
        <v>372.99375000000003</v>
      </c>
    </row>
    <row r="7" spans="1:15" ht="15.5" x14ac:dyDescent="0.35">
      <c r="A7" t="s">
        <v>26</v>
      </c>
      <c r="B7" t="s">
        <v>27</v>
      </c>
      <c r="C7" t="s">
        <v>25</v>
      </c>
      <c r="D7" t="s">
        <v>28</v>
      </c>
      <c r="E7">
        <v>965.64</v>
      </c>
      <c r="F7">
        <v>8</v>
      </c>
      <c r="G7">
        <v>0.1</v>
      </c>
      <c r="H7" s="29">
        <v>45398</v>
      </c>
      <c r="I7">
        <v>304.18</v>
      </c>
      <c r="K7" s="46"/>
      <c r="L7" s="46"/>
      <c r="N7" s="39">
        <v>0.15</v>
      </c>
      <c r="O7" s="38">
        <v>352.27187499999997</v>
      </c>
    </row>
    <row r="8" spans="1:15" ht="15.5" x14ac:dyDescent="0.35">
      <c r="A8" t="s">
        <v>29</v>
      </c>
      <c r="B8" t="s">
        <v>30</v>
      </c>
      <c r="C8" t="s">
        <v>12</v>
      </c>
      <c r="D8" t="s">
        <v>22</v>
      </c>
      <c r="E8">
        <v>1317.53</v>
      </c>
      <c r="F8">
        <v>12</v>
      </c>
      <c r="G8">
        <v>0.05</v>
      </c>
      <c r="H8" s="29">
        <v>45398</v>
      </c>
      <c r="I8">
        <v>312.91000000000003</v>
      </c>
      <c r="K8" s="46"/>
      <c r="L8" s="46"/>
      <c r="N8" s="39">
        <v>0.2</v>
      </c>
      <c r="O8" s="38">
        <v>331.55</v>
      </c>
    </row>
    <row r="9" spans="1:15" ht="15.5" x14ac:dyDescent="0.35">
      <c r="A9" t="s">
        <v>31</v>
      </c>
      <c r="B9" t="s">
        <v>32</v>
      </c>
      <c r="C9" t="s">
        <v>19</v>
      </c>
      <c r="D9" t="s">
        <v>28</v>
      </c>
      <c r="E9">
        <v>1074.47</v>
      </c>
      <c r="F9">
        <v>6</v>
      </c>
      <c r="G9">
        <v>0.2</v>
      </c>
      <c r="H9" s="29">
        <v>45401</v>
      </c>
      <c r="I9">
        <v>300.85000000000002</v>
      </c>
      <c r="K9" s="46"/>
      <c r="L9" s="46"/>
      <c r="N9" s="39">
        <v>0.25</v>
      </c>
      <c r="O9" s="38">
        <v>310.828125</v>
      </c>
    </row>
    <row r="10" spans="1:15" ht="15.5" x14ac:dyDescent="0.35">
      <c r="A10" t="s">
        <v>33</v>
      </c>
      <c r="B10" t="s">
        <v>34</v>
      </c>
      <c r="C10" t="s">
        <v>35</v>
      </c>
      <c r="D10" t="s">
        <v>13</v>
      </c>
      <c r="E10">
        <v>501.54</v>
      </c>
      <c r="F10">
        <v>11</v>
      </c>
      <c r="G10">
        <v>0.05</v>
      </c>
      <c r="H10" s="29">
        <v>45401</v>
      </c>
      <c r="I10">
        <v>190.59</v>
      </c>
      <c r="K10" s="46"/>
      <c r="L10" s="46"/>
      <c r="N10" s="39">
        <v>0.3</v>
      </c>
      <c r="O10" s="38">
        <v>290.10624999999993</v>
      </c>
    </row>
    <row r="11" spans="1:15" x14ac:dyDescent="0.35">
      <c r="A11" t="s">
        <v>36</v>
      </c>
      <c r="B11" t="s">
        <v>37</v>
      </c>
      <c r="C11" t="s">
        <v>35</v>
      </c>
      <c r="D11" t="s">
        <v>16</v>
      </c>
      <c r="E11">
        <v>737.31</v>
      </c>
      <c r="F11">
        <v>2</v>
      </c>
      <c r="G11">
        <v>0.05</v>
      </c>
      <c r="H11" s="29">
        <v>45401</v>
      </c>
      <c r="I11">
        <v>350.22</v>
      </c>
    </row>
    <row r="12" spans="1:15" ht="15.5" x14ac:dyDescent="0.35">
      <c r="A12" t="s">
        <v>38</v>
      </c>
      <c r="B12" t="s">
        <v>39</v>
      </c>
      <c r="C12" t="s">
        <v>12</v>
      </c>
      <c r="D12" t="s">
        <v>40</v>
      </c>
      <c r="E12">
        <v>1572.82</v>
      </c>
      <c r="F12">
        <v>6</v>
      </c>
      <c r="G12">
        <v>0.05</v>
      </c>
      <c r="H12" s="29">
        <v>45402</v>
      </c>
      <c r="I12">
        <v>672.38</v>
      </c>
      <c r="M12" s="42" t="s">
        <v>172</v>
      </c>
      <c r="N12" s="47" t="s">
        <v>171</v>
      </c>
      <c r="O12" s="47"/>
    </row>
    <row r="13" spans="1:15" ht="18.5" x14ac:dyDescent="0.45">
      <c r="A13" t="s">
        <v>38</v>
      </c>
      <c r="B13" t="s">
        <v>37</v>
      </c>
      <c r="C13" t="s">
        <v>35</v>
      </c>
      <c r="D13" t="s">
        <v>13</v>
      </c>
      <c r="E13">
        <v>1343.13</v>
      </c>
      <c r="F13">
        <v>14</v>
      </c>
      <c r="G13">
        <v>0.15</v>
      </c>
      <c r="H13" s="29">
        <v>45404</v>
      </c>
      <c r="I13">
        <v>456.66</v>
      </c>
      <c r="M13" s="43">
        <f>MAX($I$2:$I$201)</f>
        <v>769.46</v>
      </c>
      <c r="N13" s="48" t="str">
        <f>INDEX($B$2:$B$201,MATCH(M13,$E$2:$E$201))</f>
        <v>Robert Anderson</v>
      </c>
      <c r="O13" s="48"/>
    </row>
    <row r="14" spans="1:15" x14ac:dyDescent="0.35">
      <c r="A14" t="s">
        <v>26</v>
      </c>
      <c r="B14" t="s">
        <v>27</v>
      </c>
      <c r="C14" t="s">
        <v>35</v>
      </c>
      <c r="D14" t="s">
        <v>13</v>
      </c>
      <c r="E14">
        <v>1191.58</v>
      </c>
      <c r="F14">
        <v>14</v>
      </c>
      <c r="G14">
        <v>0.05</v>
      </c>
      <c r="H14" s="29">
        <v>45406</v>
      </c>
      <c r="I14">
        <v>452.8</v>
      </c>
    </row>
    <row r="15" spans="1:15" x14ac:dyDescent="0.35">
      <c r="A15" t="s">
        <v>41</v>
      </c>
      <c r="B15" t="s">
        <v>15</v>
      </c>
      <c r="C15" t="s">
        <v>12</v>
      </c>
      <c r="D15" t="s">
        <v>28</v>
      </c>
      <c r="E15">
        <v>822.28</v>
      </c>
      <c r="F15">
        <v>7</v>
      </c>
      <c r="G15">
        <v>0.05</v>
      </c>
      <c r="H15" s="29">
        <v>45406</v>
      </c>
      <c r="I15">
        <v>273.41000000000003</v>
      </c>
      <c r="K15" s="41" t="s">
        <v>78</v>
      </c>
    </row>
    <row r="16" spans="1:15" x14ac:dyDescent="0.35">
      <c r="A16" t="s">
        <v>42</v>
      </c>
      <c r="B16" t="s">
        <v>43</v>
      </c>
      <c r="C16" t="s">
        <v>25</v>
      </c>
      <c r="D16" t="s">
        <v>28</v>
      </c>
      <c r="E16">
        <v>521.66999999999996</v>
      </c>
      <c r="F16">
        <v>15</v>
      </c>
      <c r="G16">
        <v>0.15</v>
      </c>
      <c r="H16" s="29">
        <v>45409</v>
      </c>
      <c r="I16">
        <v>155.19999999999999</v>
      </c>
      <c r="K16" s="46" t="s">
        <v>173</v>
      </c>
      <c r="L16" s="46"/>
    </row>
    <row r="17" spans="1:12" x14ac:dyDescent="0.35">
      <c r="A17" t="s">
        <v>20</v>
      </c>
      <c r="B17" t="s">
        <v>44</v>
      </c>
      <c r="C17" t="s">
        <v>21</v>
      </c>
      <c r="D17" t="s">
        <v>22</v>
      </c>
      <c r="E17">
        <v>1502.93</v>
      </c>
      <c r="F17">
        <v>14</v>
      </c>
      <c r="G17">
        <v>0.2</v>
      </c>
      <c r="H17" s="29">
        <v>45410</v>
      </c>
      <c r="I17">
        <v>300.58999999999997</v>
      </c>
      <c r="K17" s="46"/>
      <c r="L17" s="46"/>
    </row>
    <row r="18" spans="1:12" x14ac:dyDescent="0.35">
      <c r="A18" t="s">
        <v>45</v>
      </c>
      <c r="B18" t="s">
        <v>15</v>
      </c>
      <c r="C18" t="s">
        <v>21</v>
      </c>
      <c r="D18" t="s">
        <v>13</v>
      </c>
      <c r="E18">
        <v>877.58</v>
      </c>
      <c r="F18">
        <v>10</v>
      </c>
      <c r="G18">
        <v>0.15</v>
      </c>
      <c r="H18" s="29">
        <v>45411</v>
      </c>
      <c r="I18">
        <v>298.38</v>
      </c>
      <c r="K18" s="46"/>
      <c r="L18" s="46"/>
    </row>
    <row r="19" spans="1:12" x14ac:dyDescent="0.35">
      <c r="A19" t="s">
        <v>29</v>
      </c>
      <c r="B19" t="s">
        <v>46</v>
      </c>
      <c r="C19" t="s">
        <v>12</v>
      </c>
      <c r="D19" t="s">
        <v>13</v>
      </c>
      <c r="E19">
        <v>636.70000000000005</v>
      </c>
      <c r="F19">
        <v>4</v>
      </c>
      <c r="G19">
        <v>0.2</v>
      </c>
      <c r="H19" s="29">
        <v>45411</v>
      </c>
      <c r="I19">
        <v>203.74</v>
      </c>
      <c r="K19" s="46"/>
      <c r="L19" s="46"/>
    </row>
    <row r="20" spans="1:12" x14ac:dyDescent="0.35">
      <c r="A20" t="s">
        <v>47</v>
      </c>
      <c r="B20" t="s">
        <v>48</v>
      </c>
      <c r="C20" t="s">
        <v>12</v>
      </c>
      <c r="D20" t="s">
        <v>13</v>
      </c>
      <c r="E20">
        <v>1506.14</v>
      </c>
      <c r="F20">
        <v>13</v>
      </c>
      <c r="G20">
        <v>0.2</v>
      </c>
      <c r="H20" s="29">
        <v>45412</v>
      </c>
      <c r="I20">
        <v>481.96</v>
      </c>
      <c r="K20" s="46"/>
      <c r="L20" s="46"/>
    </row>
    <row r="21" spans="1:12" x14ac:dyDescent="0.35">
      <c r="A21" t="s">
        <v>31</v>
      </c>
      <c r="B21" t="s">
        <v>32</v>
      </c>
      <c r="C21" t="s">
        <v>35</v>
      </c>
      <c r="D21" t="s">
        <v>22</v>
      </c>
      <c r="E21">
        <v>645.02</v>
      </c>
      <c r="F21">
        <v>4</v>
      </c>
      <c r="G21">
        <v>0</v>
      </c>
      <c r="H21" s="29">
        <v>45414</v>
      </c>
      <c r="I21">
        <v>161.26</v>
      </c>
    </row>
    <row r="22" spans="1:12" x14ac:dyDescent="0.35">
      <c r="A22" t="s">
        <v>26</v>
      </c>
      <c r="B22" t="s">
        <v>49</v>
      </c>
      <c r="C22" t="s">
        <v>21</v>
      </c>
      <c r="D22" t="s">
        <v>16</v>
      </c>
      <c r="E22">
        <v>953.3</v>
      </c>
      <c r="F22">
        <v>11</v>
      </c>
      <c r="G22">
        <v>0</v>
      </c>
      <c r="H22" s="29">
        <v>45415</v>
      </c>
      <c r="I22">
        <v>476.65</v>
      </c>
    </row>
    <row r="23" spans="1:12" x14ac:dyDescent="0.35">
      <c r="A23" t="s">
        <v>50</v>
      </c>
      <c r="B23" t="s">
        <v>15</v>
      </c>
      <c r="C23" t="s">
        <v>25</v>
      </c>
      <c r="D23" t="s">
        <v>22</v>
      </c>
      <c r="E23">
        <v>388.56</v>
      </c>
      <c r="F23">
        <v>14</v>
      </c>
      <c r="G23">
        <v>0.15</v>
      </c>
      <c r="H23" s="29">
        <v>45416</v>
      </c>
      <c r="I23">
        <v>82.57</v>
      </c>
    </row>
    <row r="24" spans="1:12" x14ac:dyDescent="0.35">
      <c r="A24" t="s">
        <v>10</v>
      </c>
      <c r="B24" t="s">
        <v>32</v>
      </c>
      <c r="C24" t="s">
        <v>12</v>
      </c>
      <c r="D24" t="s">
        <v>13</v>
      </c>
      <c r="E24">
        <v>743.17</v>
      </c>
      <c r="F24">
        <v>9</v>
      </c>
      <c r="G24">
        <v>0</v>
      </c>
      <c r="H24" s="29">
        <v>45416</v>
      </c>
      <c r="I24">
        <v>297.27</v>
      </c>
    </row>
    <row r="25" spans="1:12" x14ac:dyDescent="0.35">
      <c r="A25" t="s">
        <v>41</v>
      </c>
      <c r="B25" t="s">
        <v>32</v>
      </c>
      <c r="C25" t="s">
        <v>35</v>
      </c>
      <c r="D25" t="s">
        <v>22</v>
      </c>
      <c r="E25">
        <v>706.37</v>
      </c>
      <c r="F25">
        <v>6</v>
      </c>
      <c r="G25">
        <v>0</v>
      </c>
      <c r="H25" s="29">
        <v>45416</v>
      </c>
      <c r="I25">
        <v>176.59</v>
      </c>
    </row>
    <row r="26" spans="1:12" x14ac:dyDescent="0.35">
      <c r="A26" t="s">
        <v>14</v>
      </c>
      <c r="B26" t="s">
        <v>32</v>
      </c>
      <c r="C26" t="s">
        <v>35</v>
      </c>
      <c r="D26" t="s">
        <v>40</v>
      </c>
      <c r="E26">
        <v>925.31</v>
      </c>
      <c r="F26">
        <v>8</v>
      </c>
      <c r="G26">
        <v>0.1</v>
      </c>
      <c r="H26" s="29">
        <v>45418</v>
      </c>
      <c r="I26">
        <v>374.75</v>
      </c>
    </row>
    <row r="27" spans="1:12" x14ac:dyDescent="0.35">
      <c r="A27" t="s">
        <v>36</v>
      </c>
      <c r="B27" t="s">
        <v>51</v>
      </c>
      <c r="C27" t="s">
        <v>21</v>
      </c>
      <c r="D27" t="s">
        <v>22</v>
      </c>
      <c r="E27">
        <v>1173.1199999999999</v>
      </c>
      <c r="F27">
        <v>18</v>
      </c>
      <c r="G27">
        <v>0</v>
      </c>
      <c r="H27" s="29">
        <v>45418</v>
      </c>
      <c r="I27">
        <v>293.27999999999997</v>
      </c>
    </row>
    <row r="28" spans="1:12" x14ac:dyDescent="0.35">
      <c r="A28" t="s">
        <v>23</v>
      </c>
      <c r="B28" t="s">
        <v>52</v>
      </c>
      <c r="C28" t="s">
        <v>25</v>
      </c>
      <c r="D28" t="s">
        <v>28</v>
      </c>
      <c r="E28">
        <v>675.54</v>
      </c>
      <c r="F28">
        <v>17</v>
      </c>
      <c r="G28">
        <v>0</v>
      </c>
      <c r="H28" s="29">
        <v>45420</v>
      </c>
      <c r="I28">
        <v>236.44</v>
      </c>
    </row>
    <row r="29" spans="1:12" x14ac:dyDescent="0.35">
      <c r="A29" t="s">
        <v>26</v>
      </c>
      <c r="B29" t="s">
        <v>15</v>
      </c>
      <c r="C29" t="s">
        <v>35</v>
      </c>
      <c r="D29" t="s">
        <v>13</v>
      </c>
      <c r="E29">
        <v>939.09</v>
      </c>
      <c r="F29">
        <v>2</v>
      </c>
      <c r="G29">
        <v>0.05</v>
      </c>
      <c r="H29" s="29">
        <v>45422</v>
      </c>
      <c r="I29">
        <v>356.85</v>
      </c>
    </row>
    <row r="30" spans="1:12" x14ac:dyDescent="0.35">
      <c r="A30" t="s">
        <v>53</v>
      </c>
      <c r="B30" t="s">
        <v>54</v>
      </c>
      <c r="C30" t="s">
        <v>19</v>
      </c>
      <c r="D30" t="s">
        <v>40</v>
      </c>
      <c r="E30">
        <v>983.34</v>
      </c>
      <c r="F30">
        <v>19</v>
      </c>
      <c r="G30">
        <v>0.1</v>
      </c>
      <c r="H30" s="29">
        <v>45426</v>
      </c>
      <c r="I30">
        <v>398.25</v>
      </c>
    </row>
    <row r="31" spans="1:12" x14ac:dyDescent="0.35">
      <c r="A31" t="s">
        <v>53</v>
      </c>
      <c r="B31" t="s">
        <v>24</v>
      </c>
      <c r="C31" t="s">
        <v>21</v>
      </c>
      <c r="D31" t="s">
        <v>22</v>
      </c>
      <c r="E31">
        <v>801.21</v>
      </c>
      <c r="F31">
        <v>3</v>
      </c>
      <c r="G31">
        <v>0.2</v>
      </c>
      <c r="H31" s="29">
        <v>45426</v>
      </c>
      <c r="I31">
        <v>160.24</v>
      </c>
    </row>
    <row r="32" spans="1:12" x14ac:dyDescent="0.35">
      <c r="A32" t="s">
        <v>55</v>
      </c>
      <c r="B32" t="s">
        <v>56</v>
      </c>
      <c r="C32" t="s">
        <v>25</v>
      </c>
      <c r="D32" t="s">
        <v>22</v>
      </c>
      <c r="E32">
        <v>1450.71</v>
      </c>
      <c r="F32">
        <v>5</v>
      </c>
      <c r="G32">
        <v>0.1</v>
      </c>
      <c r="H32" s="29">
        <v>45427</v>
      </c>
      <c r="I32">
        <v>326.41000000000003</v>
      </c>
    </row>
    <row r="33" spans="1:9" x14ac:dyDescent="0.35">
      <c r="A33" t="s">
        <v>50</v>
      </c>
      <c r="B33" t="s">
        <v>57</v>
      </c>
      <c r="C33" t="s">
        <v>35</v>
      </c>
      <c r="D33" t="s">
        <v>13</v>
      </c>
      <c r="E33">
        <v>1023.21</v>
      </c>
      <c r="F33">
        <v>18</v>
      </c>
      <c r="G33">
        <v>0.05</v>
      </c>
      <c r="H33" s="29">
        <v>45428</v>
      </c>
      <c r="I33">
        <v>388.82</v>
      </c>
    </row>
    <row r="34" spans="1:9" x14ac:dyDescent="0.35">
      <c r="A34" t="s">
        <v>29</v>
      </c>
      <c r="B34" t="s">
        <v>48</v>
      </c>
      <c r="C34" t="s">
        <v>12</v>
      </c>
      <c r="D34" t="s">
        <v>28</v>
      </c>
      <c r="E34">
        <v>853.72</v>
      </c>
      <c r="F34">
        <v>5</v>
      </c>
      <c r="G34">
        <v>0.15</v>
      </c>
      <c r="H34" s="29">
        <v>45428</v>
      </c>
      <c r="I34">
        <v>253.98</v>
      </c>
    </row>
    <row r="35" spans="1:9" x14ac:dyDescent="0.35">
      <c r="A35" t="s">
        <v>58</v>
      </c>
      <c r="B35" t="s">
        <v>44</v>
      </c>
      <c r="C35" t="s">
        <v>21</v>
      </c>
      <c r="D35" t="s">
        <v>22</v>
      </c>
      <c r="E35">
        <v>967.89</v>
      </c>
      <c r="F35">
        <v>10</v>
      </c>
      <c r="G35">
        <v>0.1</v>
      </c>
      <c r="H35" s="29">
        <v>45429</v>
      </c>
      <c r="I35">
        <v>217.78</v>
      </c>
    </row>
    <row r="36" spans="1:9" x14ac:dyDescent="0.35">
      <c r="A36" t="s">
        <v>59</v>
      </c>
      <c r="B36" t="s">
        <v>54</v>
      </c>
      <c r="C36" t="s">
        <v>25</v>
      </c>
      <c r="D36" t="s">
        <v>40</v>
      </c>
      <c r="E36">
        <v>1200.9000000000001</v>
      </c>
      <c r="F36">
        <v>14</v>
      </c>
      <c r="G36">
        <v>0.05</v>
      </c>
      <c r="H36" s="29">
        <v>45429</v>
      </c>
      <c r="I36">
        <v>513.38</v>
      </c>
    </row>
    <row r="37" spans="1:9" x14ac:dyDescent="0.35">
      <c r="A37" t="s">
        <v>14</v>
      </c>
      <c r="B37" t="s">
        <v>27</v>
      </c>
      <c r="C37" t="s">
        <v>12</v>
      </c>
      <c r="D37" t="s">
        <v>13</v>
      </c>
      <c r="E37">
        <v>472.38</v>
      </c>
      <c r="F37">
        <v>12</v>
      </c>
      <c r="G37">
        <v>0.2</v>
      </c>
      <c r="H37" s="29">
        <v>45429</v>
      </c>
      <c r="I37">
        <v>151.16</v>
      </c>
    </row>
    <row r="38" spans="1:9" x14ac:dyDescent="0.35">
      <c r="A38" t="s">
        <v>10</v>
      </c>
      <c r="B38" t="s">
        <v>56</v>
      </c>
      <c r="C38" t="s">
        <v>19</v>
      </c>
      <c r="D38" t="s">
        <v>40</v>
      </c>
      <c r="E38">
        <v>840.92</v>
      </c>
      <c r="F38">
        <v>9</v>
      </c>
      <c r="G38">
        <v>0.05</v>
      </c>
      <c r="H38" s="29">
        <v>45429</v>
      </c>
      <c r="I38">
        <v>359.49</v>
      </c>
    </row>
    <row r="39" spans="1:9" x14ac:dyDescent="0.35">
      <c r="A39" t="s">
        <v>53</v>
      </c>
      <c r="B39" t="s">
        <v>49</v>
      </c>
      <c r="C39" t="s">
        <v>35</v>
      </c>
      <c r="D39" t="s">
        <v>28</v>
      </c>
      <c r="E39">
        <v>1410.06</v>
      </c>
      <c r="F39">
        <v>11</v>
      </c>
      <c r="G39">
        <v>0.05</v>
      </c>
      <c r="H39" s="29">
        <v>45434</v>
      </c>
      <c r="I39">
        <v>468.84</v>
      </c>
    </row>
    <row r="40" spans="1:9" x14ac:dyDescent="0.35">
      <c r="A40" t="s">
        <v>45</v>
      </c>
      <c r="B40" t="s">
        <v>60</v>
      </c>
      <c r="C40" t="s">
        <v>35</v>
      </c>
      <c r="D40" t="s">
        <v>28</v>
      </c>
      <c r="E40">
        <v>773.09</v>
      </c>
      <c r="F40">
        <v>13</v>
      </c>
      <c r="G40">
        <v>0.15</v>
      </c>
      <c r="H40" s="29">
        <v>45434</v>
      </c>
      <c r="I40">
        <v>229.99</v>
      </c>
    </row>
    <row r="41" spans="1:9" x14ac:dyDescent="0.35">
      <c r="A41" t="s">
        <v>61</v>
      </c>
      <c r="B41" t="s">
        <v>62</v>
      </c>
      <c r="C41" t="s">
        <v>19</v>
      </c>
      <c r="D41" t="s">
        <v>13</v>
      </c>
      <c r="E41">
        <v>580.42999999999995</v>
      </c>
      <c r="F41">
        <v>19</v>
      </c>
      <c r="G41">
        <v>0.15</v>
      </c>
      <c r="H41" s="29">
        <v>45435</v>
      </c>
      <c r="I41">
        <v>197.35</v>
      </c>
    </row>
    <row r="42" spans="1:9" x14ac:dyDescent="0.35">
      <c r="A42" t="s">
        <v>20</v>
      </c>
      <c r="B42" t="s">
        <v>43</v>
      </c>
      <c r="C42" t="s">
        <v>21</v>
      </c>
      <c r="D42" t="s">
        <v>13</v>
      </c>
      <c r="E42">
        <v>1151.21</v>
      </c>
      <c r="F42">
        <v>15</v>
      </c>
      <c r="G42">
        <v>0.1</v>
      </c>
      <c r="H42" s="29">
        <v>45445</v>
      </c>
      <c r="I42">
        <v>414.44</v>
      </c>
    </row>
    <row r="43" spans="1:9" x14ac:dyDescent="0.35">
      <c r="A43" t="s">
        <v>53</v>
      </c>
      <c r="B43" t="s">
        <v>24</v>
      </c>
      <c r="C43" t="s">
        <v>35</v>
      </c>
      <c r="D43" t="s">
        <v>40</v>
      </c>
      <c r="E43">
        <v>1025.98</v>
      </c>
      <c r="F43">
        <v>5</v>
      </c>
      <c r="G43">
        <v>0.2</v>
      </c>
      <c r="H43" s="29">
        <v>45447</v>
      </c>
      <c r="I43">
        <v>369.35</v>
      </c>
    </row>
    <row r="44" spans="1:9" x14ac:dyDescent="0.35">
      <c r="A44" t="s">
        <v>41</v>
      </c>
      <c r="B44" t="s">
        <v>57</v>
      </c>
      <c r="C44" t="s">
        <v>19</v>
      </c>
      <c r="D44" t="s">
        <v>40</v>
      </c>
      <c r="E44">
        <v>556.41999999999996</v>
      </c>
      <c r="F44">
        <v>11</v>
      </c>
      <c r="G44">
        <v>0.15</v>
      </c>
      <c r="H44" s="29">
        <v>45447</v>
      </c>
      <c r="I44">
        <v>212.83</v>
      </c>
    </row>
    <row r="45" spans="1:9" x14ac:dyDescent="0.35">
      <c r="A45" t="s">
        <v>58</v>
      </c>
      <c r="B45" t="s">
        <v>24</v>
      </c>
      <c r="C45" t="s">
        <v>35</v>
      </c>
      <c r="D45" t="s">
        <v>13</v>
      </c>
      <c r="E45">
        <v>840.85</v>
      </c>
      <c r="F45">
        <v>19</v>
      </c>
      <c r="G45">
        <v>0.1</v>
      </c>
      <c r="H45" s="29">
        <v>45448</v>
      </c>
      <c r="I45">
        <v>302.70999999999998</v>
      </c>
    </row>
    <row r="46" spans="1:9" x14ac:dyDescent="0.35">
      <c r="A46" t="s">
        <v>31</v>
      </c>
      <c r="B46" t="s">
        <v>62</v>
      </c>
      <c r="C46" t="s">
        <v>25</v>
      </c>
      <c r="D46" t="s">
        <v>28</v>
      </c>
      <c r="E46">
        <v>1227.25</v>
      </c>
      <c r="F46">
        <v>12</v>
      </c>
      <c r="G46">
        <v>0.15</v>
      </c>
      <c r="H46" s="29">
        <v>45448</v>
      </c>
      <c r="I46">
        <v>365.11</v>
      </c>
    </row>
    <row r="47" spans="1:9" x14ac:dyDescent="0.35">
      <c r="A47" t="s">
        <v>17</v>
      </c>
      <c r="B47" t="s">
        <v>63</v>
      </c>
      <c r="C47" t="s">
        <v>35</v>
      </c>
      <c r="D47" t="s">
        <v>22</v>
      </c>
      <c r="E47">
        <v>856.7</v>
      </c>
      <c r="F47">
        <v>2</v>
      </c>
      <c r="G47">
        <v>0</v>
      </c>
      <c r="H47" s="29">
        <v>45449</v>
      </c>
      <c r="I47">
        <v>214.18</v>
      </c>
    </row>
    <row r="48" spans="1:9" x14ac:dyDescent="0.35">
      <c r="A48" t="s">
        <v>55</v>
      </c>
      <c r="B48" t="s">
        <v>57</v>
      </c>
      <c r="C48" t="s">
        <v>35</v>
      </c>
      <c r="D48" t="s">
        <v>40</v>
      </c>
      <c r="E48">
        <v>1225.42</v>
      </c>
      <c r="F48">
        <v>8</v>
      </c>
      <c r="G48">
        <v>0.15</v>
      </c>
      <c r="H48" s="29">
        <v>45449</v>
      </c>
      <c r="I48">
        <v>468.72</v>
      </c>
    </row>
    <row r="49" spans="1:9" x14ac:dyDescent="0.35">
      <c r="A49" t="s">
        <v>64</v>
      </c>
      <c r="B49" t="s">
        <v>32</v>
      </c>
      <c r="C49" t="s">
        <v>25</v>
      </c>
      <c r="D49" t="s">
        <v>40</v>
      </c>
      <c r="E49">
        <v>1001.57</v>
      </c>
      <c r="F49">
        <v>12</v>
      </c>
      <c r="G49">
        <v>0</v>
      </c>
      <c r="H49" s="29">
        <v>45450</v>
      </c>
      <c r="I49">
        <v>450.71</v>
      </c>
    </row>
    <row r="50" spans="1:9" x14ac:dyDescent="0.35">
      <c r="A50" t="s">
        <v>58</v>
      </c>
      <c r="B50" t="s">
        <v>27</v>
      </c>
      <c r="C50" t="s">
        <v>19</v>
      </c>
      <c r="D50" t="s">
        <v>28</v>
      </c>
      <c r="E50">
        <v>1186.8499999999999</v>
      </c>
      <c r="F50">
        <v>19</v>
      </c>
      <c r="G50">
        <v>0.2</v>
      </c>
      <c r="H50" s="29">
        <v>45451</v>
      </c>
      <c r="I50">
        <v>332.32</v>
      </c>
    </row>
    <row r="51" spans="1:9" x14ac:dyDescent="0.35">
      <c r="A51" t="s">
        <v>45</v>
      </c>
      <c r="B51" t="s">
        <v>52</v>
      </c>
      <c r="C51" t="s">
        <v>21</v>
      </c>
      <c r="D51" t="s">
        <v>22</v>
      </c>
      <c r="E51">
        <v>775.45</v>
      </c>
      <c r="F51">
        <v>6</v>
      </c>
      <c r="G51">
        <v>0.1</v>
      </c>
      <c r="H51" s="29">
        <v>45457</v>
      </c>
      <c r="I51">
        <v>174.48</v>
      </c>
    </row>
    <row r="52" spans="1:9" x14ac:dyDescent="0.35">
      <c r="A52" t="s">
        <v>26</v>
      </c>
      <c r="B52" t="s">
        <v>34</v>
      </c>
      <c r="C52" t="s">
        <v>21</v>
      </c>
      <c r="D52" t="s">
        <v>22</v>
      </c>
      <c r="E52">
        <v>1021.47</v>
      </c>
      <c r="F52">
        <v>6</v>
      </c>
      <c r="G52">
        <v>0.05</v>
      </c>
      <c r="H52" s="29">
        <v>45461</v>
      </c>
      <c r="I52">
        <v>242.6</v>
      </c>
    </row>
    <row r="53" spans="1:9" x14ac:dyDescent="0.35">
      <c r="A53" t="s">
        <v>59</v>
      </c>
      <c r="B53" t="s">
        <v>24</v>
      </c>
      <c r="C53" t="s">
        <v>21</v>
      </c>
      <c r="D53" t="s">
        <v>16</v>
      </c>
      <c r="E53">
        <v>1226.6199999999999</v>
      </c>
      <c r="F53">
        <v>7</v>
      </c>
      <c r="G53">
        <v>0.1</v>
      </c>
      <c r="H53" s="29">
        <v>45463</v>
      </c>
      <c r="I53">
        <v>551.98</v>
      </c>
    </row>
    <row r="54" spans="1:9" x14ac:dyDescent="0.35">
      <c r="A54" t="s">
        <v>23</v>
      </c>
      <c r="B54" t="s">
        <v>65</v>
      </c>
      <c r="C54" t="s">
        <v>21</v>
      </c>
      <c r="D54" t="s">
        <v>28</v>
      </c>
      <c r="E54">
        <v>1086.93</v>
      </c>
      <c r="F54">
        <v>2</v>
      </c>
      <c r="G54">
        <v>0</v>
      </c>
      <c r="H54" s="29">
        <v>45464</v>
      </c>
      <c r="I54">
        <v>380.43</v>
      </c>
    </row>
    <row r="55" spans="1:9" x14ac:dyDescent="0.35">
      <c r="A55" t="s">
        <v>66</v>
      </c>
      <c r="B55" t="s">
        <v>49</v>
      </c>
      <c r="C55" t="s">
        <v>12</v>
      </c>
      <c r="D55" t="s">
        <v>13</v>
      </c>
      <c r="E55">
        <v>942.9</v>
      </c>
      <c r="F55">
        <v>18</v>
      </c>
      <c r="G55">
        <v>0.1</v>
      </c>
      <c r="H55" s="29">
        <v>45466</v>
      </c>
      <c r="I55">
        <v>339.44</v>
      </c>
    </row>
    <row r="56" spans="1:9" x14ac:dyDescent="0.35">
      <c r="A56" t="s">
        <v>33</v>
      </c>
      <c r="B56" t="s">
        <v>39</v>
      </c>
      <c r="C56" t="s">
        <v>25</v>
      </c>
      <c r="D56" t="s">
        <v>22</v>
      </c>
      <c r="E56">
        <v>818.8</v>
      </c>
      <c r="F56">
        <v>15</v>
      </c>
      <c r="G56">
        <v>0.15</v>
      </c>
      <c r="H56" s="29">
        <v>45468</v>
      </c>
      <c r="I56">
        <v>173.99</v>
      </c>
    </row>
    <row r="57" spans="1:9" x14ac:dyDescent="0.35">
      <c r="A57" t="s">
        <v>20</v>
      </c>
      <c r="B57" t="s">
        <v>15</v>
      </c>
      <c r="C57" t="s">
        <v>21</v>
      </c>
      <c r="D57" t="s">
        <v>28</v>
      </c>
      <c r="E57">
        <v>919.04</v>
      </c>
      <c r="F57">
        <v>10</v>
      </c>
      <c r="G57">
        <v>0.2</v>
      </c>
      <c r="H57" s="29">
        <v>45468</v>
      </c>
      <c r="I57">
        <v>257.33</v>
      </c>
    </row>
    <row r="58" spans="1:9" x14ac:dyDescent="0.35">
      <c r="A58" t="s">
        <v>23</v>
      </c>
      <c r="B58" t="s">
        <v>67</v>
      </c>
      <c r="C58" t="s">
        <v>35</v>
      </c>
      <c r="D58" t="s">
        <v>13</v>
      </c>
      <c r="E58">
        <v>973.26</v>
      </c>
      <c r="F58">
        <v>11</v>
      </c>
      <c r="G58">
        <v>0</v>
      </c>
      <c r="H58" s="29">
        <v>45470</v>
      </c>
      <c r="I58">
        <v>389.3</v>
      </c>
    </row>
    <row r="59" spans="1:9" x14ac:dyDescent="0.35">
      <c r="A59" t="s">
        <v>42</v>
      </c>
      <c r="B59" t="s">
        <v>65</v>
      </c>
      <c r="C59" t="s">
        <v>25</v>
      </c>
      <c r="D59" t="s">
        <v>22</v>
      </c>
      <c r="E59">
        <v>741.61</v>
      </c>
      <c r="F59">
        <v>1</v>
      </c>
      <c r="G59">
        <v>0.2</v>
      </c>
      <c r="H59" s="29">
        <v>45471</v>
      </c>
      <c r="I59">
        <v>148.32</v>
      </c>
    </row>
    <row r="60" spans="1:9" x14ac:dyDescent="0.35">
      <c r="A60" t="s">
        <v>68</v>
      </c>
      <c r="B60" t="s">
        <v>39</v>
      </c>
      <c r="C60" t="s">
        <v>25</v>
      </c>
      <c r="D60" t="s">
        <v>13</v>
      </c>
      <c r="E60">
        <v>1248.82</v>
      </c>
      <c r="F60">
        <v>2</v>
      </c>
      <c r="G60">
        <v>0.1</v>
      </c>
      <c r="H60" s="29">
        <v>45473</v>
      </c>
      <c r="I60">
        <v>449.58</v>
      </c>
    </row>
    <row r="61" spans="1:9" x14ac:dyDescent="0.35">
      <c r="A61" t="s">
        <v>14</v>
      </c>
      <c r="B61" t="s">
        <v>60</v>
      </c>
      <c r="C61" t="s">
        <v>12</v>
      </c>
      <c r="D61" t="s">
        <v>16</v>
      </c>
      <c r="E61">
        <v>1360.36</v>
      </c>
      <c r="F61">
        <v>17</v>
      </c>
      <c r="G61">
        <v>0</v>
      </c>
      <c r="H61" s="29">
        <v>45473</v>
      </c>
      <c r="I61">
        <v>680.18</v>
      </c>
    </row>
    <row r="62" spans="1:9" x14ac:dyDescent="0.35">
      <c r="A62" t="s">
        <v>58</v>
      </c>
      <c r="B62" t="s">
        <v>32</v>
      </c>
      <c r="C62" t="s">
        <v>19</v>
      </c>
      <c r="D62" t="s">
        <v>13</v>
      </c>
      <c r="E62">
        <v>1383.3</v>
      </c>
      <c r="F62">
        <v>8</v>
      </c>
      <c r="G62">
        <v>0.1</v>
      </c>
      <c r="H62" s="29">
        <v>45478</v>
      </c>
      <c r="I62">
        <v>497.99</v>
      </c>
    </row>
    <row r="63" spans="1:9" x14ac:dyDescent="0.35">
      <c r="A63" t="s">
        <v>36</v>
      </c>
      <c r="B63" t="s">
        <v>56</v>
      </c>
      <c r="C63" t="s">
        <v>35</v>
      </c>
      <c r="D63" t="s">
        <v>40</v>
      </c>
      <c r="E63">
        <v>488.99</v>
      </c>
      <c r="F63">
        <v>9</v>
      </c>
      <c r="G63">
        <v>0</v>
      </c>
      <c r="H63" s="29">
        <v>45479</v>
      </c>
      <c r="I63">
        <v>220.05</v>
      </c>
    </row>
    <row r="64" spans="1:9" x14ac:dyDescent="0.35">
      <c r="A64" t="s">
        <v>31</v>
      </c>
      <c r="B64" t="s">
        <v>32</v>
      </c>
      <c r="C64" t="s">
        <v>19</v>
      </c>
      <c r="D64" t="s">
        <v>28</v>
      </c>
      <c r="E64">
        <v>933.71</v>
      </c>
      <c r="F64">
        <v>17</v>
      </c>
      <c r="G64">
        <v>0.1</v>
      </c>
      <c r="H64" s="29">
        <v>45481</v>
      </c>
      <c r="I64">
        <v>294.12</v>
      </c>
    </row>
    <row r="65" spans="1:9" x14ac:dyDescent="0.35">
      <c r="A65" t="s">
        <v>68</v>
      </c>
      <c r="B65" t="s">
        <v>11</v>
      </c>
      <c r="C65" t="s">
        <v>12</v>
      </c>
      <c r="D65" t="s">
        <v>22</v>
      </c>
      <c r="E65">
        <v>1005.53</v>
      </c>
      <c r="F65">
        <v>17</v>
      </c>
      <c r="G65">
        <v>0.2</v>
      </c>
      <c r="H65" s="29">
        <v>45481</v>
      </c>
      <c r="I65">
        <v>201.11</v>
      </c>
    </row>
    <row r="66" spans="1:9" x14ac:dyDescent="0.35">
      <c r="A66" t="s">
        <v>42</v>
      </c>
      <c r="B66" t="s">
        <v>62</v>
      </c>
      <c r="C66" t="s">
        <v>21</v>
      </c>
      <c r="D66" t="s">
        <v>22</v>
      </c>
      <c r="E66">
        <v>1100.0999999999999</v>
      </c>
      <c r="F66">
        <v>5</v>
      </c>
      <c r="G66">
        <v>0.05</v>
      </c>
      <c r="H66" s="29">
        <v>45482</v>
      </c>
      <c r="I66">
        <v>261.27</v>
      </c>
    </row>
    <row r="67" spans="1:9" x14ac:dyDescent="0.35">
      <c r="A67" t="s">
        <v>68</v>
      </c>
      <c r="B67" t="s">
        <v>24</v>
      </c>
      <c r="C67" t="s">
        <v>25</v>
      </c>
      <c r="D67" t="s">
        <v>28</v>
      </c>
      <c r="E67">
        <v>1034.7</v>
      </c>
      <c r="F67">
        <v>15</v>
      </c>
      <c r="G67">
        <v>0.15</v>
      </c>
      <c r="H67" s="29">
        <v>45487</v>
      </c>
      <c r="I67">
        <v>307.82</v>
      </c>
    </row>
    <row r="68" spans="1:9" x14ac:dyDescent="0.35">
      <c r="A68" t="s">
        <v>66</v>
      </c>
      <c r="B68" t="s">
        <v>32</v>
      </c>
      <c r="C68" t="s">
        <v>21</v>
      </c>
      <c r="D68" t="s">
        <v>13</v>
      </c>
      <c r="E68">
        <v>876.44</v>
      </c>
      <c r="F68">
        <v>12</v>
      </c>
      <c r="G68">
        <v>0.05</v>
      </c>
      <c r="H68" s="29">
        <v>45488</v>
      </c>
      <c r="I68">
        <v>333.05</v>
      </c>
    </row>
    <row r="69" spans="1:9" x14ac:dyDescent="0.35">
      <c r="A69" t="s">
        <v>69</v>
      </c>
      <c r="B69" t="s">
        <v>56</v>
      </c>
      <c r="C69" t="s">
        <v>12</v>
      </c>
      <c r="D69" t="s">
        <v>28</v>
      </c>
      <c r="E69">
        <v>1371.34</v>
      </c>
      <c r="F69">
        <v>5</v>
      </c>
      <c r="G69">
        <v>0.05</v>
      </c>
      <c r="H69" s="29">
        <v>45488</v>
      </c>
      <c r="I69">
        <v>455.97</v>
      </c>
    </row>
    <row r="70" spans="1:9" x14ac:dyDescent="0.35">
      <c r="A70" t="s">
        <v>58</v>
      </c>
      <c r="B70" t="s">
        <v>48</v>
      </c>
      <c r="C70" t="s">
        <v>25</v>
      </c>
      <c r="D70" t="s">
        <v>22</v>
      </c>
      <c r="E70">
        <v>1020.26</v>
      </c>
      <c r="F70">
        <v>11</v>
      </c>
      <c r="G70">
        <v>0.05</v>
      </c>
      <c r="H70" s="29">
        <v>45494</v>
      </c>
      <c r="I70">
        <v>242.31</v>
      </c>
    </row>
    <row r="71" spans="1:9" x14ac:dyDescent="0.35">
      <c r="A71" t="s">
        <v>45</v>
      </c>
      <c r="B71" t="s">
        <v>11</v>
      </c>
      <c r="C71" t="s">
        <v>35</v>
      </c>
      <c r="D71" t="s">
        <v>40</v>
      </c>
      <c r="E71">
        <v>804.81</v>
      </c>
      <c r="F71">
        <v>1</v>
      </c>
      <c r="G71">
        <v>0.05</v>
      </c>
      <c r="H71" s="29">
        <v>45502</v>
      </c>
      <c r="I71">
        <v>344.06</v>
      </c>
    </row>
    <row r="72" spans="1:9" x14ac:dyDescent="0.35">
      <c r="A72" t="s">
        <v>23</v>
      </c>
      <c r="B72" t="s">
        <v>56</v>
      </c>
      <c r="C72" t="s">
        <v>35</v>
      </c>
      <c r="D72" t="s">
        <v>22</v>
      </c>
      <c r="E72">
        <v>608.66</v>
      </c>
      <c r="F72">
        <v>1</v>
      </c>
      <c r="G72">
        <v>0.05</v>
      </c>
      <c r="H72" s="29">
        <v>45503</v>
      </c>
      <c r="I72">
        <v>144.56</v>
      </c>
    </row>
    <row r="73" spans="1:9" x14ac:dyDescent="0.35">
      <c r="A73" t="s">
        <v>69</v>
      </c>
      <c r="B73" t="s">
        <v>70</v>
      </c>
      <c r="C73" t="s">
        <v>21</v>
      </c>
      <c r="D73" t="s">
        <v>40</v>
      </c>
      <c r="E73">
        <v>981.2</v>
      </c>
      <c r="F73">
        <v>19</v>
      </c>
      <c r="G73">
        <v>0</v>
      </c>
      <c r="H73" s="29">
        <v>45504</v>
      </c>
      <c r="I73">
        <v>441.54</v>
      </c>
    </row>
    <row r="74" spans="1:9" x14ac:dyDescent="0.35">
      <c r="A74" t="s">
        <v>71</v>
      </c>
      <c r="B74" t="s">
        <v>56</v>
      </c>
      <c r="C74" t="s">
        <v>19</v>
      </c>
      <c r="D74" t="s">
        <v>22</v>
      </c>
      <c r="E74">
        <v>539.77</v>
      </c>
      <c r="F74">
        <v>10</v>
      </c>
      <c r="G74">
        <v>0.15</v>
      </c>
      <c r="H74" s="29">
        <v>45509</v>
      </c>
      <c r="I74">
        <v>114.7</v>
      </c>
    </row>
    <row r="75" spans="1:9" x14ac:dyDescent="0.35">
      <c r="A75" t="s">
        <v>14</v>
      </c>
      <c r="B75" t="s">
        <v>72</v>
      </c>
      <c r="C75" t="s">
        <v>21</v>
      </c>
      <c r="D75" t="s">
        <v>13</v>
      </c>
      <c r="E75">
        <v>804.45</v>
      </c>
      <c r="F75">
        <v>5</v>
      </c>
      <c r="G75">
        <v>0.2</v>
      </c>
      <c r="H75" s="29">
        <v>45509</v>
      </c>
      <c r="I75">
        <v>257.42</v>
      </c>
    </row>
    <row r="76" spans="1:9" x14ac:dyDescent="0.35">
      <c r="A76" t="s">
        <v>71</v>
      </c>
      <c r="B76" t="s">
        <v>39</v>
      </c>
      <c r="C76" t="s">
        <v>12</v>
      </c>
      <c r="D76" t="s">
        <v>22</v>
      </c>
      <c r="E76">
        <v>1526.6</v>
      </c>
      <c r="F76">
        <v>13</v>
      </c>
      <c r="G76">
        <v>0.2</v>
      </c>
      <c r="H76" s="29">
        <v>45512</v>
      </c>
      <c r="I76">
        <v>305.32</v>
      </c>
    </row>
    <row r="77" spans="1:9" x14ac:dyDescent="0.35">
      <c r="A77" t="s">
        <v>14</v>
      </c>
      <c r="B77" t="s">
        <v>30</v>
      </c>
      <c r="C77" t="s">
        <v>12</v>
      </c>
      <c r="D77" t="s">
        <v>22</v>
      </c>
      <c r="E77">
        <v>1215.26</v>
      </c>
      <c r="F77">
        <v>5</v>
      </c>
      <c r="G77">
        <v>0.15</v>
      </c>
      <c r="H77" s="29">
        <v>45513</v>
      </c>
      <c r="I77">
        <v>258.24</v>
      </c>
    </row>
    <row r="78" spans="1:9" x14ac:dyDescent="0.35">
      <c r="A78" t="s">
        <v>20</v>
      </c>
      <c r="B78" t="s">
        <v>54</v>
      </c>
      <c r="C78" t="s">
        <v>35</v>
      </c>
      <c r="D78" t="s">
        <v>28</v>
      </c>
      <c r="E78">
        <v>1261.3399999999999</v>
      </c>
      <c r="F78">
        <v>3</v>
      </c>
      <c r="G78">
        <v>0</v>
      </c>
      <c r="H78" s="29">
        <v>45519</v>
      </c>
      <c r="I78">
        <v>441.47</v>
      </c>
    </row>
    <row r="79" spans="1:9" x14ac:dyDescent="0.35">
      <c r="A79" t="s">
        <v>73</v>
      </c>
      <c r="B79" t="s">
        <v>46</v>
      </c>
      <c r="C79" t="s">
        <v>25</v>
      </c>
      <c r="D79" t="s">
        <v>28</v>
      </c>
      <c r="E79">
        <v>518.07000000000005</v>
      </c>
      <c r="F79">
        <v>7</v>
      </c>
      <c r="G79">
        <v>0.05</v>
      </c>
      <c r="H79" s="29">
        <v>45522</v>
      </c>
      <c r="I79">
        <v>172.26</v>
      </c>
    </row>
    <row r="80" spans="1:9" x14ac:dyDescent="0.35">
      <c r="A80" t="s">
        <v>31</v>
      </c>
      <c r="B80" t="s">
        <v>30</v>
      </c>
      <c r="C80" t="s">
        <v>12</v>
      </c>
      <c r="D80" t="s">
        <v>40</v>
      </c>
      <c r="E80">
        <v>1111.3399999999999</v>
      </c>
      <c r="F80">
        <v>1</v>
      </c>
      <c r="G80">
        <v>0</v>
      </c>
      <c r="H80" s="29">
        <v>45523</v>
      </c>
      <c r="I80">
        <v>500.1</v>
      </c>
    </row>
    <row r="81" spans="1:9" x14ac:dyDescent="0.35">
      <c r="A81" t="s">
        <v>23</v>
      </c>
      <c r="B81" t="s">
        <v>32</v>
      </c>
      <c r="C81" t="s">
        <v>19</v>
      </c>
      <c r="D81" t="s">
        <v>16</v>
      </c>
      <c r="E81">
        <v>1291.47</v>
      </c>
      <c r="F81">
        <v>18</v>
      </c>
      <c r="G81">
        <v>0.1</v>
      </c>
      <c r="H81" s="29">
        <v>45526</v>
      </c>
      <c r="I81">
        <v>581.16</v>
      </c>
    </row>
    <row r="82" spans="1:9" x14ac:dyDescent="0.35">
      <c r="A82" t="s">
        <v>26</v>
      </c>
      <c r="B82" t="s">
        <v>56</v>
      </c>
      <c r="C82" t="s">
        <v>25</v>
      </c>
      <c r="D82" t="s">
        <v>13</v>
      </c>
      <c r="E82">
        <v>679.71</v>
      </c>
      <c r="F82">
        <v>19</v>
      </c>
      <c r="G82">
        <v>0</v>
      </c>
      <c r="H82" s="29">
        <v>45534</v>
      </c>
      <c r="I82">
        <v>271.88</v>
      </c>
    </row>
    <row r="83" spans="1:9" x14ac:dyDescent="0.35">
      <c r="A83" t="s">
        <v>69</v>
      </c>
      <c r="B83" t="s">
        <v>34</v>
      </c>
      <c r="C83" t="s">
        <v>19</v>
      </c>
      <c r="D83" t="s">
        <v>28</v>
      </c>
      <c r="E83">
        <v>1143.69</v>
      </c>
      <c r="F83">
        <v>17</v>
      </c>
      <c r="G83">
        <v>0</v>
      </c>
      <c r="H83" s="29">
        <v>45534</v>
      </c>
      <c r="I83">
        <v>400.29</v>
      </c>
    </row>
    <row r="84" spans="1:9" x14ac:dyDescent="0.35">
      <c r="A84" t="s">
        <v>53</v>
      </c>
      <c r="B84" t="s">
        <v>51</v>
      </c>
      <c r="C84" t="s">
        <v>35</v>
      </c>
      <c r="D84" t="s">
        <v>22</v>
      </c>
      <c r="E84">
        <v>790.08</v>
      </c>
      <c r="F84">
        <v>7</v>
      </c>
      <c r="G84">
        <v>0.1</v>
      </c>
      <c r="H84" s="29">
        <v>45536</v>
      </c>
      <c r="I84">
        <v>177.77</v>
      </c>
    </row>
    <row r="85" spans="1:9" x14ac:dyDescent="0.35">
      <c r="A85" t="s">
        <v>20</v>
      </c>
      <c r="B85" t="s">
        <v>49</v>
      </c>
      <c r="C85" t="s">
        <v>35</v>
      </c>
      <c r="D85" t="s">
        <v>13</v>
      </c>
      <c r="E85">
        <v>1070.68</v>
      </c>
      <c r="F85">
        <v>7</v>
      </c>
      <c r="G85">
        <v>0.05</v>
      </c>
      <c r="H85" s="29">
        <v>45536</v>
      </c>
      <c r="I85">
        <v>406.86</v>
      </c>
    </row>
    <row r="86" spans="1:9" x14ac:dyDescent="0.35">
      <c r="A86" t="s">
        <v>59</v>
      </c>
      <c r="B86" t="s">
        <v>37</v>
      </c>
      <c r="C86" t="s">
        <v>12</v>
      </c>
      <c r="D86" t="s">
        <v>16</v>
      </c>
      <c r="E86">
        <v>1168.8900000000001</v>
      </c>
      <c r="F86">
        <v>4</v>
      </c>
      <c r="G86">
        <v>0.1</v>
      </c>
      <c r="H86" s="29">
        <v>45544</v>
      </c>
      <c r="I86">
        <v>526</v>
      </c>
    </row>
    <row r="87" spans="1:9" x14ac:dyDescent="0.35">
      <c r="A87" t="s">
        <v>68</v>
      </c>
      <c r="B87" t="s">
        <v>11</v>
      </c>
      <c r="C87" t="s">
        <v>21</v>
      </c>
      <c r="D87" t="s">
        <v>22</v>
      </c>
      <c r="E87">
        <v>1335.87</v>
      </c>
      <c r="F87">
        <v>17</v>
      </c>
      <c r="G87">
        <v>0</v>
      </c>
      <c r="H87" s="29">
        <v>45544</v>
      </c>
      <c r="I87">
        <v>333.97</v>
      </c>
    </row>
    <row r="88" spans="1:9" x14ac:dyDescent="0.35">
      <c r="A88" t="s">
        <v>41</v>
      </c>
      <c r="B88" t="s">
        <v>56</v>
      </c>
      <c r="C88" t="s">
        <v>19</v>
      </c>
      <c r="D88" t="s">
        <v>28</v>
      </c>
      <c r="E88">
        <v>873.7</v>
      </c>
      <c r="F88">
        <v>9</v>
      </c>
      <c r="G88">
        <v>0</v>
      </c>
      <c r="H88" s="29">
        <v>45546</v>
      </c>
      <c r="I88">
        <v>305.8</v>
      </c>
    </row>
    <row r="89" spans="1:9" x14ac:dyDescent="0.35">
      <c r="A89" t="s">
        <v>73</v>
      </c>
      <c r="B89" t="s">
        <v>65</v>
      </c>
      <c r="C89" t="s">
        <v>12</v>
      </c>
      <c r="D89" t="s">
        <v>40</v>
      </c>
      <c r="E89">
        <v>1443.98</v>
      </c>
      <c r="F89">
        <v>19</v>
      </c>
      <c r="G89">
        <v>0</v>
      </c>
      <c r="H89" s="29">
        <v>45547</v>
      </c>
      <c r="I89">
        <v>649.79</v>
      </c>
    </row>
    <row r="90" spans="1:9" x14ac:dyDescent="0.35">
      <c r="A90" t="s">
        <v>41</v>
      </c>
      <c r="B90" t="s">
        <v>24</v>
      </c>
      <c r="C90" t="s">
        <v>19</v>
      </c>
      <c r="D90" t="s">
        <v>40</v>
      </c>
      <c r="E90">
        <v>1154.33</v>
      </c>
      <c r="F90">
        <v>11</v>
      </c>
      <c r="G90">
        <v>0.15</v>
      </c>
      <c r="H90" s="29">
        <v>45549</v>
      </c>
      <c r="I90">
        <v>441.53</v>
      </c>
    </row>
    <row r="91" spans="1:9" x14ac:dyDescent="0.35">
      <c r="A91" t="s">
        <v>50</v>
      </c>
      <c r="B91" t="s">
        <v>51</v>
      </c>
      <c r="C91" t="s">
        <v>21</v>
      </c>
      <c r="D91" t="s">
        <v>13</v>
      </c>
      <c r="E91">
        <v>1264.49</v>
      </c>
      <c r="F91">
        <v>16</v>
      </c>
      <c r="G91">
        <v>0.05</v>
      </c>
      <c r="H91" s="29">
        <v>45549</v>
      </c>
      <c r="I91">
        <v>480.51</v>
      </c>
    </row>
    <row r="92" spans="1:9" x14ac:dyDescent="0.35">
      <c r="A92" t="s">
        <v>26</v>
      </c>
      <c r="B92" t="s">
        <v>67</v>
      </c>
      <c r="C92" t="s">
        <v>12</v>
      </c>
      <c r="D92" t="s">
        <v>28</v>
      </c>
      <c r="E92">
        <v>1101.55</v>
      </c>
      <c r="F92">
        <v>4</v>
      </c>
      <c r="G92">
        <v>0.1</v>
      </c>
      <c r="H92" s="29">
        <v>45551</v>
      </c>
      <c r="I92">
        <v>346.99</v>
      </c>
    </row>
    <row r="93" spans="1:9" x14ac:dyDescent="0.35">
      <c r="A93" t="s">
        <v>74</v>
      </c>
      <c r="B93" t="s">
        <v>15</v>
      </c>
      <c r="C93" t="s">
        <v>21</v>
      </c>
      <c r="D93" t="s">
        <v>28</v>
      </c>
      <c r="E93">
        <v>727.73</v>
      </c>
      <c r="F93">
        <v>1</v>
      </c>
      <c r="G93">
        <v>0.1</v>
      </c>
      <c r="H93" s="29">
        <v>45552</v>
      </c>
      <c r="I93">
        <v>229.23</v>
      </c>
    </row>
    <row r="94" spans="1:9" x14ac:dyDescent="0.35">
      <c r="A94" t="s">
        <v>75</v>
      </c>
      <c r="B94" t="s">
        <v>39</v>
      </c>
      <c r="C94" t="s">
        <v>19</v>
      </c>
      <c r="D94" t="s">
        <v>40</v>
      </c>
      <c r="E94">
        <v>875.41</v>
      </c>
      <c r="F94">
        <v>13</v>
      </c>
      <c r="G94">
        <v>0.15</v>
      </c>
      <c r="H94" s="29">
        <v>45552</v>
      </c>
      <c r="I94">
        <v>334.84</v>
      </c>
    </row>
    <row r="95" spans="1:9" x14ac:dyDescent="0.35">
      <c r="A95" t="s">
        <v>68</v>
      </c>
      <c r="B95" t="s">
        <v>24</v>
      </c>
      <c r="C95" t="s">
        <v>12</v>
      </c>
      <c r="D95" t="s">
        <v>22</v>
      </c>
      <c r="E95">
        <v>1158.94</v>
      </c>
      <c r="F95">
        <v>19</v>
      </c>
      <c r="G95">
        <v>0.2</v>
      </c>
      <c r="H95" s="29">
        <v>45553</v>
      </c>
      <c r="I95">
        <v>231.79</v>
      </c>
    </row>
    <row r="96" spans="1:9" x14ac:dyDescent="0.35">
      <c r="A96" t="s">
        <v>76</v>
      </c>
      <c r="B96" t="s">
        <v>48</v>
      </c>
      <c r="C96" t="s">
        <v>21</v>
      </c>
      <c r="D96" t="s">
        <v>13</v>
      </c>
      <c r="E96">
        <v>966.3</v>
      </c>
      <c r="F96">
        <v>2</v>
      </c>
      <c r="G96">
        <v>0.15</v>
      </c>
      <c r="H96" s="29">
        <v>45557</v>
      </c>
      <c r="I96">
        <v>328.54</v>
      </c>
    </row>
    <row r="97" spans="1:9" x14ac:dyDescent="0.35">
      <c r="A97" t="s">
        <v>69</v>
      </c>
      <c r="B97" t="s">
        <v>18</v>
      </c>
      <c r="C97" t="s">
        <v>21</v>
      </c>
      <c r="D97" t="s">
        <v>13</v>
      </c>
      <c r="E97">
        <v>917.48</v>
      </c>
      <c r="F97">
        <v>6</v>
      </c>
      <c r="G97">
        <v>0</v>
      </c>
      <c r="H97" s="29">
        <v>45558</v>
      </c>
      <c r="I97">
        <v>366.99</v>
      </c>
    </row>
    <row r="98" spans="1:9" x14ac:dyDescent="0.35">
      <c r="A98" t="s">
        <v>42</v>
      </c>
      <c r="B98" t="s">
        <v>62</v>
      </c>
      <c r="C98" t="s">
        <v>12</v>
      </c>
      <c r="D98" t="s">
        <v>28</v>
      </c>
      <c r="E98">
        <v>1172.97</v>
      </c>
      <c r="F98">
        <v>7</v>
      </c>
      <c r="G98">
        <v>0.15</v>
      </c>
      <c r="H98" s="29">
        <v>45559</v>
      </c>
      <c r="I98">
        <v>348.96</v>
      </c>
    </row>
    <row r="99" spans="1:9" x14ac:dyDescent="0.35">
      <c r="A99" t="s">
        <v>58</v>
      </c>
      <c r="B99" t="s">
        <v>24</v>
      </c>
      <c r="C99" t="s">
        <v>25</v>
      </c>
      <c r="D99" t="s">
        <v>16</v>
      </c>
      <c r="E99">
        <v>1205.82</v>
      </c>
      <c r="F99">
        <v>11</v>
      </c>
      <c r="G99">
        <v>0.1</v>
      </c>
      <c r="H99" s="29">
        <v>45559</v>
      </c>
      <c r="I99">
        <v>542.62</v>
      </c>
    </row>
    <row r="100" spans="1:9" x14ac:dyDescent="0.35">
      <c r="A100" t="s">
        <v>17</v>
      </c>
      <c r="B100" t="s">
        <v>65</v>
      </c>
      <c r="C100" t="s">
        <v>12</v>
      </c>
      <c r="D100" t="s">
        <v>40</v>
      </c>
      <c r="E100">
        <v>826.93</v>
      </c>
      <c r="F100">
        <v>10</v>
      </c>
      <c r="G100">
        <v>0.2</v>
      </c>
      <c r="H100" s="29">
        <v>45564</v>
      </c>
      <c r="I100">
        <v>297.69</v>
      </c>
    </row>
    <row r="101" spans="1:9" x14ac:dyDescent="0.35">
      <c r="A101" t="s">
        <v>68</v>
      </c>
      <c r="B101" t="s">
        <v>24</v>
      </c>
      <c r="C101" t="s">
        <v>35</v>
      </c>
      <c r="D101" t="s">
        <v>16</v>
      </c>
      <c r="E101">
        <v>902.19</v>
      </c>
      <c r="F101">
        <v>12</v>
      </c>
      <c r="G101">
        <v>0</v>
      </c>
      <c r="H101" s="29">
        <v>45564</v>
      </c>
      <c r="I101">
        <v>451.1</v>
      </c>
    </row>
    <row r="102" spans="1:9" x14ac:dyDescent="0.35">
      <c r="A102" t="s">
        <v>75</v>
      </c>
      <c r="B102" t="s">
        <v>39</v>
      </c>
      <c r="C102" t="s">
        <v>25</v>
      </c>
      <c r="D102" t="s">
        <v>13</v>
      </c>
      <c r="E102">
        <v>585.97</v>
      </c>
      <c r="F102">
        <v>17</v>
      </c>
      <c r="G102">
        <v>0.1</v>
      </c>
      <c r="H102" s="29">
        <v>45565</v>
      </c>
      <c r="I102">
        <v>210.95</v>
      </c>
    </row>
    <row r="103" spans="1:9" x14ac:dyDescent="0.35">
      <c r="A103" t="s">
        <v>61</v>
      </c>
      <c r="B103" t="s">
        <v>27</v>
      </c>
      <c r="C103" t="s">
        <v>25</v>
      </c>
      <c r="D103" t="s">
        <v>16</v>
      </c>
      <c r="E103">
        <v>990.19</v>
      </c>
      <c r="F103">
        <v>8</v>
      </c>
      <c r="G103">
        <v>0.1</v>
      </c>
      <c r="H103" s="29">
        <v>45565</v>
      </c>
      <c r="I103">
        <v>445.59</v>
      </c>
    </row>
    <row r="104" spans="1:9" x14ac:dyDescent="0.35">
      <c r="A104" t="s">
        <v>45</v>
      </c>
      <c r="B104" t="s">
        <v>57</v>
      </c>
      <c r="C104" t="s">
        <v>35</v>
      </c>
      <c r="D104" t="s">
        <v>22</v>
      </c>
      <c r="E104">
        <v>1014.09</v>
      </c>
      <c r="F104">
        <v>13</v>
      </c>
      <c r="G104">
        <v>0.2</v>
      </c>
      <c r="H104" s="29">
        <v>45567</v>
      </c>
      <c r="I104">
        <v>202.82</v>
      </c>
    </row>
    <row r="105" spans="1:9" x14ac:dyDescent="0.35">
      <c r="A105" t="s">
        <v>14</v>
      </c>
      <c r="B105" t="s">
        <v>49</v>
      </c>
      <c r="C105" t="s">
        <v>25</v>
      </c>
      <c r="D105" t="s">
        <v>22</v>
      </c>
      <c r="E105">
        <v>925.29</v>
      </c>
      <c r="F105">
        <v>17</v>
      </c>
      <c r="G105">
        <v>0</v>
      </c>
      <c r="H105" s="29">
        <v>45570</v>
      </c>
      <c r="I105">
        <v>231.32</v>
      </c>
    </row>
    <row r="106" spans="1:9" x14ac:dyDescent="0.35">
      <c r="A106" t="s">
        <v>55</v>
      </c>
      <c r="B106" t="s">
        <v>48</v>
      </c>
      <c r="C106" t="s">
        <v>19</v>
      </c>
      <c r="D106" t="s">
        <v>28</v>
      </c>
      <c r="E106">
        <v>1286.54</v>
      </c>
      <c r="F106">
        <v>8</v>
      </c>
      <c r="G106">
        <v>0</v>
      </c>
      <c r="H106" s="29">
        <v>45575</v>
      </c>
      <c r="I106">
        <v>450.29</v>
      </c>
    </row>
    <row r="107" spans="1:9" x14ac:dyDescent="0.35">
      <c r="A107" t="s">
        <v>38</v>
      </c>
      <c r="B107" t="s">
        <v>65</v>
      </c>
      <c r="C107" t="s">
        <v>21</v>
      </c>
      <c r="D107" t="s">
        <v>13</v>
      </c>
      <c r="E107">
        <v>961.62</v>
      </c>
      <c r="F107">
        <v>8</v>
      </c>
      <c r="G107">
        <v>0.2</v>
      </c>
      <c r="H107" s="29">
        <v>45577</v>
      </c>
      <c r="I107">
        <v>307.72000000000003</v>
      </c>
    </row>
    <row r="108" spans="1:9" x14ac:dyDescent="0.35">
      <c r="A108" t="s">
        <v>45</v>
      </c>
      <c r="B108" t="s">
        <v>24</v>
      </c>
      <c r="C108" t="s">
        <v>19</v>
      </c>
      <c r="D108" t="s">
        <v>13</v>
      </c>
      <c r="E108">
        <v>1081.1400000000001</v>
      </c>
      <c r="F108">
        <v>19</v>
      </c>
      <c r="G108">
        <v>0.15</v>
      </c>
      <c r="H108" s="29">
        <v>45577</v>
      </c>
      <c r="I108">
        <v>367.59</v>
      </c>
    </row>
    <row r="109" spans="1:9" x14ac:dyDescent="0.35">
      <c r="A109" t="s">
        <v>59</v>
      </c>
      <c r="B109" t="s">
        <v>24</v>
      </c>
      <c r="C109" t="s">
        <v>12</v>
      </c>
      <c r="D109" t="s">
        <v>16</v>
      </c>
      <c r="E109">
        <v>1923.66</v>
      </c>
      <c r="F109">
        <v>9</v>
      </c>
      <c r="G109">
        <v>0.2</v>
      </c>
      <c r="H109" s="29">
        <v>45580</v>
      </c>
      <c r="I109">
        <v>769.46</v>
      </c>
    </row>
    <row r="110" spans="1:9" x14ac:dyDescent="0.35">
      <c r="A110" t="s">
        <v>55</v>
      </c>
      <c r="B110" t="s">
        <v>67</v>
      </c>
      <c r="C110" t="s">
        <v>35</v>
      </c>
      <c r="D110" t="s">
        <v>16</v>
      </c>
      <c r="E110">
        <v>728.71</v>
      </c>
      <c r="F110">
        <v>14</v>
      </c>
      <c r="G110">
        <v>0.1</v>
      </c>
      <c r="H110" s="29">
        <v>45581</v>
      </c>
      <c r="I110">
        <v>327.92</v>
      </c>
    </row>
    <row r="111" spans="1:9" x14ac:dyDescent="0.35">
      <c r="A111" t="s">
        <v>10</v>
      </c>
      <c r="B111" t="s">
        <v>34</v>
      </c>
      <c r="C111" t="s">
        <v>35</v>
      </c>
      <c r="D111" t="s">
        <v>16</v>
      </c>
      <c r="E111">
        <v>1301.8900000000001</v>
      </c>
      <c r="F111">
        <v>7</v>
      </c>
      <c r="G111">
        <v>0.15</v>
      </c>
      <c r="H111" s="29">
        <v>45581</v>
      </c>
      <c r="I111">
        <v>553.29999999999995</v>
      </c>
    </row>
    <row r="112" spans="1:9" x14ac:dyDescent="0.35">
      <c r="A112" t="s">
        <v>71</v>
      </c>
      <c r="B112" t="s">
        <v>67</v>
      </c>
      <c r="C112" t="s">
        <v>19</v>
      </c>
      <c r="D112" t="s">
        <v>13</v>
      </c>
      <c r="E112">
        <v>980.18</v>
      </c>
      <c r="F112">
        <v>16</v>
      </c>
      <c r="G112">
        <v>0.1</v>
      </c>
      <c r="H112" s="29">
        <v>45582</v>
      </c>
      <c r="I112">
        <v>352.86</v>
      </c>
    </row>
    <row r="113" spans="1:9" x14ac:dyDescent="0.35">
      <c r="A113" t="s">
        <v>75</v>
      </c>
      <c r="B113" t="s">
        <v>24</v>
      </c>
      <c r="C113" t="s">
        <v>12</v>
      </c>
      <c r="D113" t="s">
        <v>16</v>
      </c>
      <c r="E113">
        <v>697.57</v>
      </c>
      <c r="F113">
        <v>17</v>
      </c>
      <c r="G113">
        <v>0.1</v>
      </c>
      <c r="H113" s="29">
        <v>45584</v>
      </c>
      <c r="I113">
        <v>313.91000000000003</v>
      </c>
    </row>
    <row r="114" spans="1:9" x14ac:dyDescent="0.35">
      <c r="A114" t="s">
        <v>47</v>
      </c>
      <c r="B114" t="s">
        <v>72</v>
      </c>
      <c r="C114" t="s">
        <v>12</v>
      </c>
      <c r="D114" t="s">
        <v>28</v>
      </c>
      <c r="E114">
        <v>1193.6099999999999</v>
      </c>
      <c r="F114">
        <v>1</v>
      </c>
      <c r="G114">
        <v>0.15</v>
      </c>
      <c r="H114" s="29">
        <v>45584</v>
      </c>
      <c r="I114">
        <v>355.1</v>
      </c>
    </row>
    <row r="115" spans="1:9" x14ac:dyDescent="0.35">
      <c r="A115" t="s">
        <v>33</v>
      </c>
      <c r="B115" t="s">
        <v>39</v>
      </c>
      <c r="C115" t="s">
        <v>21</v>
      </c>
      <c r="D115" t="s">
        <v>22</v>
      </c>
      <c r="E115">
        <v>771.02</v>
      </c>
      <c r="F115">
        <v>1</v>
      </c>
      <c r="G115">
        <v>0</v>
      </c>
      <c r="H115" s="29">
        <v>45585</v>
      </c>
      <c r="I115">
        <v>192.76</v>
      </c>
    </row>
    <row r="116" spans="1:9" x14ac:dyDescent="0.35">
      <c r="A116" t="s">
        <v>68</v>
      </c>
      <c r="B116" t="s">
        <v>70</v>
      </c>
      <c r="C116" t="s">
        <v>25</v>
      </c>
      <c r="D116" t="s">
        <v>16</v>
      </c>
      <c r="E116">
        <v>661.09</v>
      </c>
      <c r="F116">
        <v>1</v>
      </c>
      <c r="G116">
        <v>0.2</v>
      </c>
      <c r="H116" s="29">
        <v>45593</v>
      </c>
      <c r="I116">
        <v>264.44</v>
      </c>
    </row>
    <row r="117" spans="1:9" x14ac:dyDescent="0.35">
      <c r="A117" t="s">
        <v>14</v>
      </c>
      <c r="B117" t="s">
        <v>56</v>
      </c>
      <c r="C117" t="s">
        <v>12</v>
      </c>
      <c r="D117" t="s">
        <v>22</v>
      </c>
      <c r="E117">
        <v>688.83</v>
      </c>
      <c r="F117">
        <v>15</v>
      </c>
      <c r="G117">
        <v>0</v>
      </c>
      <c r="H117" s="29">
        <v>45595</v>
      </c>
      <c r="I117">
        <v>172.21</v>
      </c>
    </row>
    <row r="118" spans="1:9" x14ac:dyDescent="0.35">
      <c r="A118" t="s">
        <v>74</v>
      </c>
      <c r="B118" t="s">
        <v>30</v>
      </c>
      <c r="C118" t="s">
        <v>35</v>
      </c>
      <c r="D118" t="s">
        <v>13</v>
      </c>
      <c r="E118">
        <v>1249.0999999999999</v>
      </c>
      <c r="F118">
        <v>4</v>
      </c>
      <c r="G118">
        <v>0.05</v>
      </c>
      <c r="H118" s="29">
        <v>45597</v>
      </c>
      <c r="I118">
        <v>474.66</v>
      </c>
    </row>
    <row r="119" spans="1:9" x14ac:dyDescent="0.35">
      <c r="A119" t="s">
        <v>45</v>
      </c>
      <c r="B119" t="s">
        <v>24</v>
      </c>
      <c r="C119" t="s">
        <v>19</v>
      </c>
      <c r="D119" t="s">
        <v>40</v>
      </c>
      <c r="E119">
        <v>1014.22</v>
      </c>
      <c r="F119">
        <v>14</v>
      </c>
      <c r="G119">
        <v>0.05</v>
      </c>
      <c r="H119" s="29">
        <v>45599</v>
      </c>
      <c r="I119">
        <v>433.58</v>
      </c>
    </row>
    <row r="120" spans="1:9" x14ac:dyDescent="0.35">
      <c r="A120" t="s">
        <v>55</v>
      </c>
      <c r="B120" t="s">
        <v>49</v>
      </c>
      <c r="C120" t="s">
        <v>19</v>
      </c>
      <c r="D120" t="s">
        <v>13</v>
      </c>
      <c r="E120">
        <v>1010.58</v>
      </c>
      <c r="F120">
        <v>2</v>
      </c>
      <c r="G120">
        <v>0.15</v>
      </c>
      <c r="H120" s="29">
        <v>45605</v>
      </c>
      <c r="I120">
        <v>343.6</v>
      </c>
    </row>
    <row r="121" spans="1:9" x14ac:dyDescent="0.35">
      <c r="A121" t="s">
        <v>31</v>
      </c>
      <c r="B121" t="s">
        <v>60</v>
      </c>
      <c r="C121" t="s">
        <v>25</v>
      </c>
      <c r="D121" t="s">
        <v>28</v>
      </c>
      <c r="E121">
        <v>957.29</v>
      </c>
      <c r="F121">
        <v>4</v>
      </c>
      <c r="G121">
        <v>0.05</v>
      </c>
      <c r="H121" s="29">
        <v>45605</v>
      </c>
      <c r="I121">
        <v>318.3</v>
      </c>
    </row>
    <row r="122" spans="1:9" x14ac:dyDescent="0.35">
      <c r="A122" t="s">
        <v>29</v>
      </c>
      <c r="B122" t="s">
        <v>46</v>
      </c>
      <c r="C122" t="s">
        <v>25</v>
      </c>
      <c r="D122" t="s">
        <v>28</v>
      </c>
      <c r="E122">
        <v>1077.92</v>
      </c>
      <c r="F122">
        <v>3</v>
      </c>
      <c r="G122">
        <v>0.05</v>
      </c>
      <c r="H122" s="29">
        <v>45608</v>
      </c>
      <c r="I122">
        <v>358.41</v>
      </c>
    </row>
    <row r="123" spans="1:9" x14ac:dyDescent="0.35">
      <c r="A123" t="s">
        <v>53</v>
      </c>
      <c r="B123" t="s">
        <v>51</v>
      </c>
      <c r="C123" t="s">
        <v>21</v>
      </c>
      <c r="D123" t="s">
        <v>16</v>
      </c>
      <c r="E123">
        <v>1163.01</v>
      </c>
      <c r="F123">
        <v>5</v>
      </c>
      <c r="G123">
        <v>0</v>
      </c>
      <c r="H123" s="29">
        <v>45611</v>
      </c>
      <c r="I123">
        <v>581.5</v>
      </c>
    </row>
    <row r="124" spans="1:9" x14ac:dyDescent="0.35">
      <c r="A124" t="s">
        <v>55</v>
      </c>
      <c r="B124" t="s">
        <v>46</v>
      </c>
      <c r="C124" t="s">
        <v>19</v>
      </c>
      <c r="D124" t="s">
        <v>40</v>
      </c>
      <c r="E124">
        <v>1014.56</v>
      </c>
      <c r="F124">
        <v>10</v>
      </c>
      <c r="G124">
        <v>0.1</v>
      </c>
      <c r="H124" s="29">
        <v>45612</v>
      </c>
      <c r="I124">
        <v>410.9</v>
      </c>
    </row>
    <row r="125" spans="1:9" x14ac:dyDescent="0.35">
      <c r="A125" t="s">
        <v>10</v>
      </c>
      <c r="B125" t="s">
        <v>18</v>
      </c>
      <c r="C125" t="s">
        <v>21</v>
      </c>
      <c r="D125" t="s">
        <v>22</v>
      </c>
      <c r="E125">
        <v>718.04</v>
      </c>
      <c r="F125">
        <v>14</v>
      </c>
      <c r="G125">
        <v>0</v>
      </c>
      <c r="H125" s="29">
        <v>45613</v>
      </c>
      <c r="I125">
        <v>179.51</v>
      </c>
    </row>
    <row r="126" spans="1:9" x14ac:dyDescent="0.35">
      <c r="A126" t="s">
        <v>73</v>
      </c>
      <c r="B126" t="s">
        <v>18</v>
      </c>
      <c r="C126" t="s">
        <v>35</v>
      </c>
      <c r="D126" t="s">
        <v>16</v>
      </c>
      <c r="E126">
        <v>1277.8499999999999</v>
      </c>
      <c r="F126">
        <v>18</v>
      </c>
      <c r="G126">
        <v>0.2</v>
      </c>
      <c r="H126" s="29">
        <v>45613</v>
      </c>
      <c r="I126">
        <v>511.14</v>
      </c>
    </row>
    <row r="127" spans="1:9" x14ac:dyDescent="0.35">
      <c r="A127" t="s">
        <v>71</v>
      </c>
      <c r="B127" t="s">
        <v>24</v>
      </c>
      <c r="C127" t="s">
        <v>25</v>
      </c>
      <c r="D127" t="s">
        <v>22</v>
      </c>
      <c r="E127">
        <v>706.73</v>
      </c>
      <c r="F127">
        <v>1</v>
      </c>
      <c r="G127">
        <v>0.15</v>
      </c>
      <c r="H127" s="29">
        <v>45613</v>
      </c>
      <c r="I127">
        <v>150.18</v>
      </c>
    </row>
    <row r="128" spans="1:9" x14ac:dyDescent="0.35">
      <c r="A128" t="s">
        <v>66</v>
      </c>
      <c r="B128" t="s">
        <v>51</v>
      </c>
      <c r="C128" t="s">
        <v>19</v>
      </c>
      <c r="D128" t="s">
        <v>22</v>
      </c>
      <c r="E128">
        <v>1410.59</v>
      </c>
      <c r="F128">
        <v>15</v>
      </c>
      <c r="G128">
        <v>0</v>
      </c>
      <c r="H128" s="29">
        <v>45615</v>
      </c>
      <c r="I128">
        <v>352.65</v>
      </c>
    </row>
    <row r="129" spans="1:9" x14ac:dyDescent="0.35">
      <c r="A129" t="s">
        <v>33</v>
      </c>
      <c r="B129" t="s">
        <v>62</v>
      </c>
      <c r="C129" t="s">
        <v>21</v>
      </c>
      <c r="D129" t="s">
        <v>28</v>
      </c>
      <c r="E129">
        <v>1350.33</v>
      </c>
      <c r="F129">
        <v>10</v>
      </c>
      <c r="G129">
        <v>0</v>
      </c>
      <c r="H129" s="29">
        <v>45615</v>
      </c>
      <c r="I129">
        <v>472.62</v>
      </c>
    </row>
    <row r="130" spans="1:9" x14ac:dyDescent="0.35">
      <c r="A130" t="s">
        <v>42</v>
      </c>
      <c r="B130" t="s">
        <v>46</v>
      </c>
      <c r="C130" t="s">
        <v>19</v>
      </c>
      <c r="D130" t="s">
        <v>22</v>
      </c>
      <c r="E130">
        <v>919.18</v>
      </c>
      <c r="F130">
        <v>4</v>
      </c>
      <c r="G130">
        <v>0.15</v>
      </c>
      <c r="H130" s="29">
        <v>45615</v>
      </c>
      <c r="I130">
        <v>195.33</v>
      </c>
    </row>
    <row r="131" spans="1:9" x14ac:dyDescent="0.35">
      <c r="A131" t="s">
        <v>75</v>
      </c>
      <c r="B131" t="s">
        <v>24</v>
      </c>
      <c r="C131" t="s">
        <v>12</v>
      </c>
      <c r="D131" t="s">
        <v>22</v>
      </c>
      <c r="E131">
        <v>258.51</v>
      </c>
      <c r="F131">
        <v>19</v>
      </c>
      <c r="G131">
        <v>0</v>
      </c>
      <c r="H131" s="29">
        <v>45616</v>
      </c>
      <c r="I131">
        <v>64.63</v>
      </c>
    </row>
    <row r="132" spans="1:9" x14ac:dyDescent="0.35">
      <c r="A132" t="s">
        <v>64</v>
      </c>
      <c r="B132" t="s">
        <v>62</v>
      </c>
      <c r="C132" t="s">
        <v>19</v>
      </c>
      <c r="D132" t="s">
        <v>13</v>
      </c>
      <c r="E132">
        <v>1213.48</v>
      </c>
      <c r="F132">
        <v>5</v>
      </c>
      <c r="G132">
        <v>0.05</v>
      </c>
      <c r="H132" s="29">
        <v>45616</v>
      </c>
      <c r="I132">
        <v>461.12</v>
      </c>
    </row>
    <row r="133" spans="1:9" x14ac:dyDescent="0.35">
      <c r="A133" t="s">
        <v>58</v>
      </c>
      <c r="B133" t="s">
        <v>39</v>
      </c>
      <c r="C133" t="s">
        <v>35</v>
      </c>
      <c r="D133" t="s">
        <v>13</v>
      </c>
      <c r="E133">
        <v>1150.28</v>
      </c>
      <c r="F133">
        <v>8</v>
      </c>
      <c r="G133">
        <v>0.05</v>
      </c>
      <c r="H133" s="29">
        <v>45622</v>
      </c>
      <c r="I133">
        <v>437.11</v>
      </c>
    </row>
    <row r="134" spans="1:9" x14ac:dyDescent="0.35">
      <c r="A134" t="s">
        <v>38</v>
      </c>
      <c r="B134" t="s">
        <v>72</v>
      </c>
      <c r="C134" t="s">
        <v>21</v>
      </c>
      <c r="D134" t="s">
        <v>28</v>
      </c>
      <c r="E134">
        <v>853.86</v>
      </c>
      <c r="F134">
        <v>8</v>
      </c>
      <c r="G134">
        <v>0.1</v>
      </c>
      <c r="H134" s="29">
        <v>45622</v>
      </c>
      <c r="I134">
        <v>268.97000000000003</v>
      </c>
    </row>
    <row r="135" spans="1:9" x14ac:dyDescent="0.35">
      <c r="A135" t="s">
        <v>76</v>
      </c>
      <c r="B135" t="s">
        <v>46</v>
      </c>
      <c r="C135" t="s">
        <v>21</v>
      </c>
      <c r="D135" t="s">
        <v>22</v>
      </c>
      <c r="E135">
        <v>1061.04</v>
      </c>
      <c r="F135">
        <v>1</v>
      </c>
      <c r="G135">
        <v>0</v>
      </c>
      <c r="H135" s="29">
        <v>45624</v>
      </c>
      <c r="I135">
        <v>265.26</v>
      </c>
    </row>
    <row r="136" spans="1:9" x14ac:dyDescent="0.35">
      <c r="A136" t="s">
        <v>29</v>
      </c>
      <c r="B136" t="s">
        <v>44</v>
      </c>
      <c r="C136" t="s">
        <v>12</v>
      </c>
      <c r="D136" t="s">
        <v>22</v>
      </c>
      <c r="E136">
        <v>894.55</v>
      </c>
      <c r="F136">
        <v>19</v>
      </c>
      <c r="G136">
        <v>0.2</v>
      </c>
      <c r="H136" s="29">
        <v>45625</v>
      </c>
      <c r="I136">
        <v>178.91</v>
      </c>
    </row>
    <row r="137" spans="1:9" x14ac:dyDescent="0.35">
      <c r="A137" t="s">
        <v>26</v>
      </c>
      <c r="B137" t="s">
        <v>39</v>
      </c>
      <c r="C137" t="s">
        <v>25</v>
      </c>
      <c r="D137" t="s">
        <v>40</v>
      </c>
      <c r="E137">
        <v>833.91</v>
      </c>
      <c r="F137">
        <v>3</v>
      </c>
      <c r="G137">
        <v>0.05</v>
      </c>
      <c r="H137" s="29">
        <v>45626</v>
      </c>
      <c r="I137">
        <v>356.5</v>
      </c>
    </row>
    <row r="138" spans="1:9" x14ac:dyDescent="0.35">
      <c r="A138" t="s">
        <v>59</v>
      </c>
      <c r="B138" t="s">
        <v>72</v>
      </c>
      <c r="C138" t="s">
        <v>12</v>
      </c>
      <c r="D138" t="s">
        <v>28</v>
      </c>
      <c r="E138">
        <v>820.19</v>
      </c>
      <c r="F138">
        <v>4</v>
      </c>
      <c r="G138">
        <v>0.2</v>
      </c>
      <c r="H138" s="29">
        <v>45630</v>
      </c>
      <c r="I138">
        <v>229.65</v>
      </c>
    </row>
    <row r="139" spans="1:9" x14ac:dyDescent="0.35">
      <c r="A139" t="s">
        <v>59</v>
      </c>
      <c r="B139" t="s">
        <v>39</v>
      </c>
      <c r="C139" t="s">
        <v>35</v>
      </c>
      <c r="D139" t="s">
        <v>22</v>
      </c>
      <c r="E139">
        <v>511.74</v>
      </c>
      <c r="F139">
        <v>8</v>
      </c>
      <c r="G139">
        <v>0.05</v>
      </c>
      <c r="H139" s="29">
        <v>45631</v>
      </c>
      <c r="I139">
        <v>121.54</v>
      </c>
    </row>
    <row r="140" spans="1:9" x14ac:dyDescent="0.35">
      <c r="A140" t="s">
        <v>66</v>
      </c>
      <c r="B140" t="s">
        <v>62</v>
      </c>
      <c r="C140" t="s">
        <v>21</v>
      </c>
      <c r="D140" t="s">
        <v>28</v>
      </c>
      <c r="E140">
        <v>806.03</v>
      </c>
      <c r="F140">
        <v>19</v>
      </c>
      <c r="G140">
        <v>0.05</v>
      </c>
      <c r="H140" s="29">
        <v>45638</v>
      </c>
      <c r="I140">
        <v>268</v>
      </c>
    </row>
    <row r="141" spans="1:9" x14ac:dyDescent="0.35">
      <c r="A141" t="s">
        <v>29</v>
      </c>
      <c r="B141" t="s">
        <v>27</v>
      </c>
      <c r="C141" t="s">
        <v>35</v>
      </c>
      <c r="D141" t="s">
        <v>28</v>
      </c>
      <c r="E141">
        <v>1432.47</v>
      </c>
      <c r="F141">
        <v>16</v>
      </c>
      <c r="G141">
        <v>0.15</v>
      </c>
      <c r="H141" s="29">
        <v>45640</v>
      </c>
      <c r="I141">
        <v>426.16</v>
      </c>
    </row>
    <row r="142" spans="1:9" x14ac:dyDescent="0.35">
      <c r="A142" t="s">
        <v>75</v>
      </c>
      <c r="B142" t="s">
        <v>30</v>
      </c>
      <c r="C142" t="s">
        <v>35</v>
      </c>
      <c r="D142" t="s">
        <v>22</v>
      </c>
      <c r="E142">
        <v>1488.58</v>
      </c>
      <c r="F142">
        <v>10</v>
      </c>
      <c r="G142">
        <v>0.15</v>
      </c>
      <c r="H142" s="29">
        <v>45640</v>
      </c>
      <c r="I142">
        <v>316.32</v>
      </c>
    </row>
    <row r="143" spans="1:9" x14ac:dyDescent="0.35">
      <c r="A143" t="s">
        <v>31</v>
      </c>
      <c r="B143" t="s">
        <v>67</v>
      </c>
      <c r="C143" t="s">
        <v>19</v>
      </c>
      <c r="D143" t="s">
        <v>13</v>
      </c>
      <c r="E143">
        <v>1231.26</v>
      </c>
      <c r="F143">
        <v>9</v>
      </c>
      <c r="G143">
        <v>0</v>
      </c>
      <c r="H143" s="29">
        <v>45646</v>
      </c>
      <c r="I143">
        <v>492.5</v>
      </c>
    </row>
    <row r="144" spans="1:9" x14ac:dyDescent="0.35">
      <c r="A144" t="s">
        <v>31</v>
      </c>
      <c r="B144" t="s">
        <v>44</v>
      </c>
      <c r="C144" t="s">
        <v>12</v>
      </c>
      <c r="D144" t="s">
        <v>22</v>
      </c>
      <c r="E144">
        <v>1161.67</v>
      </c>
      <c r="F144">
        <v>19</v>
      </c>
      <c r="G144">
        <v>0.2</v>
      </c>
      <c r="H144" s="29">
        <v>45647</v>
      </c>
      <c r="I144">
        <v>232.33</v>
      </c>
    </row>
    <row r="145" spans="1:9" x14ac:dyDescent="0.35">
      <c r="A145" t="s">
        <v>50</v>
      </c>
      <c r="B145" t="s">
        <v>46</v>
      </c>
      <c r="C145" t="s">
        <v>35</v>
      </c>
      <c r="D145" t="s">
        <v>40</v>
      </c>
      <c r="E145">
        <v>388.23</v>
      </c>
      <c r="F145">
        <v>16</v>
      </c>
      <c r="G145">
        <v>0.05</v>
      </c>
      <c r="H145" s="29">
        <v>45650</v>
      </c>
      <c r="I145">
        <v>165.97</v>
      </c>
    </row>
    <row r="146" spans="1:9" x14ac:dyDescent="0.35">
      <c r="A146" t="s">
        <v>73</v>
      </c>
      <c r="B146" t="s">
        <v>32</v>
      </c>
      <c r="C146" t="s">
        <v>25</v>
      </c>
      <c r="D146" t="s">
        <v>16</v>
      </c>
      <c r="E146">
        <v>1589.42</v>
      </c>
      <c r="F146">
        <v>6</v>
      </c>
      <c r="G146">
        <v>0.15</v>
      </c>
      <c r="H146" s="29">
        <v>45651</v>
      </c>
      <c r="I146">
        <v>675.5</v>
      </c>
    </row>
    <row r="147" spans="1:9" x14ac:dyDescent="0.35">
      <c r="A147" t="s">
        <v>29</v>
      </c>
      <c r="B147" t="s">
        <v>72</v>
      </c>
      <c r="C147" t="s">
        <v>25</v>
      </c>
      <c r="D147" t="s">
        <v>16</v>
      </c>
      <c r="E147">
        <v>336.66</v>
      </c>
      <c r="F147">
        <v>13</v>
      </c>
      <c r="G147">
        <v>0.2</v>
      </c>
      <c r="H147" s="29">
        <v>45651</v>
      </c>
      <c r="I147">
        <v>134.66</v>
      </c>
    </row>
    <row r="148" spans="1:9" x14ac:dyDescent="0.35">
      <c r="A148" t="s">
        <v>50</v>
      </c>
      <c r="B148" t="s">
        <v>24</v>
      </c>
      <c r="C148" t="s">
        <v>12</v>
      </c>
      <c r="D148" t="s">
        <v>13</v>
      </c>
      <c r="E148">
        <v>1353.79</v>
      </c>
      <c r="F148">
        <v>14</v>
      </c>
      <c r="G148">
        <v>0.1</v>
      </c>
      <c r="H148" s="29">
        <v>45656</v>
      </c>
      <c r="I148">
        <v>487.36</v>
      </c>
    </row>
    <row r="149" spans="1:9" x14ac:dyDescent="0.35">
      <c r="A149" t="s">
        <v>64</v>
      </c>
      <c r="B149" t="s">
        <v>70</v>
      </c>
      <c r="C149" t="s">
        <v>35</v>
      </c>
      <c r="D149" t="s">
        <v>16</v>
      </c>
      <c r="E149">
        <v>662.61</v>
      </c>
      <c r="F149">
        <v>11</v>
      </c>
      <c r="G149">
        <v>0.05</v>
      </c>
      <c r="H149" s="29">
        <v>45658</v>
      </c>
      <c r="I149">
        <v>314.74</v>
      </c>
    </row>
    <row r="150" spans="1:9" x14ac:dyDescent="0.35">
      <c r="A150" t="s">
        <v>53</v>
      </c>
      <c r="B150" t="s">
        <v>49</v>
      </c>
      <c r="C150" t="s">
        <v>25</v>
      </c>
      <c r="D150" t="s">
        <v>40</v>
      </c>
      <c r="E150">
        <v>309.42</v>
      </c>
      <c r="F150">
        <v>1</v>
      </c>
      <c r="G150">
        <v>0.2</v>
      </c>
      <c r="H150" s="29">
        <v>45658</v>
      </c>
      <c r="I150">
        <v>111.39</v>
      </c>
    </row>
    <row r="151" spans="1:9" x14ac:dyDescent="0.35">
      <c r="A151" t="s">
        <v>64</v>
      </c>
      <c r="B151" t="s">
        <v>30</v>
      </c>
      <c r="C151" t="s">
        <v>25</v>
      </c>
      <c r="D151" t="s">
        <v>13</v>
      </c>
      <c r="E151">
        <v>884.63</v>
      </c>
      <c r="F151">
        <v>18</v>
      </c>
      <c r="G151">
        <v>0.1</v>
      </c>
      <c r="H151" s="29">
        <v>45659</v>
      </c>
      <c r="I151">
        <v>318.47000000000003</v>
      </c>
    </row>
    <row r="152" spans="1:9" x14ac:dyDescent="0.35">
      <c r="A152" t="s">
        <v>53</v>
      </c>
      <c r="B152" t="s">
        <v>24</v>
      </c>
      <c r="C152" t="s">
        <v>35</v>
      </c>
      <c r="D152" t="s">
        <v>40</v>
      </c>
      <c r="E152">
        <v>745.05</v>
      </c>
      <c r="F152">
        <v>10</v>
      </c>
      <c r="G152">
        <v>0.1</v>
      </c>
      <c r="H152" s="29">
        <v>45660</v>
      </c>
      <c r="I152">
        <v>301.75</v>
      </c>
    </row>
    <row r="153" spans="1:9" x14ac:dyDescent="0.35">
      <c r="A153" t="s">
        <v>61</v>
      </c>
      <c r="B153" t="s">
        <v>18</v>
      </c>
      <c r="C153" t="s">
        <v>21</v>
      </c>
      <c r="D153" t="s">
        <v>16</v>
      </c>
      <c r="E153">
        <v>870.23</v>
      </c>
      <c r="F153">
        <v>5</v>
      </c>
      <c r="G153">
        <v>0.05</v>
      </c>
      <c r="H153" s="29">
        <v>45660</v>
      </c>
      <c r="I153">
        <v>413.36</v>
      </c>
    </row>
    <row r="154" spans="1:9" x14ac:dyDescent="0.35">
      <c r="A154" t="s">
        <v>36</v>
      </c>
      <c r="B154" t="s">
        <v>30</v>
      </c>
      <c r="C154" t="s">
        <v>12</v>
      </c>
      <c r="D154" t="s">
        <v>28</v>
      </c>
      <c r="E154">
        <v>862.19</v>
      </c>
      <c r="F154">
        <v>18</v>
      </c>
      <c r="G154">
        <v>0.05</v>
      </c>
      <c r="H154" s="29">
        <v>45663</v>
      </c>
      <c r="I154">
        <v>286.68</v>
      </c>
    </row>
    <row r="155" spans="1:9" x14ac:dyDescent="0.35">
      <c r="A155" t="s">
        <v>74</v>
      </c>
      <c r="B155" t="s">
        <v>60</v>
      </c>
      <c r="C155" t="s">
        <v>25</v>
      </c>
      <c r="D155" t="s">
        <v>16</v>
      </c>
      <c r="E155">
        <v>1171.18</v>
      </c>
      <c r="F155">
        <v>19</v>
      </c>
      <c r="G155">
        <v>0.05</v>
      </c>
      <c r="H155" s="29">
        <v>45667</v>
      </c>
      <c r="I155">
        <v>556.30999999999995</v>
      </c>
    </row>
    <row r="156" spans="1:9" x14ac:dyDescent="0.35">
      <c r="A156" t="s">
        <v>59</v>
      </c>
      <c r="B156" t="s">
        <v>15</v>
      </c>
      <c r="C156" t="s">
        <v>21</v>
      </c>
      <c r="D156" t="s">
        <v>28</v>
      </c>
      <c r="E156">
        <v>1054.56</v>
      </c>
      <c r="F156">
        <v>11</v>
      </c>
      <c r="G156">
        <v>0.1</v>
      </c>
      <c r="H156" s="29">
        <v>45669</v>
      </c>
      <c r="I156">
        <v>332.19</v>
      </c>
    </row>
    <row r="157" spans="1:9" x14ac:dyDescent="0.35">
      <c r="A157" t="s">
        <v>59</v>
      </c>
      <c r="B157" t="s">
        <v>24</v>
      </c>
      <c r="C157" t="s">
        <v>25</v>
      </c>
      <c r="D157" t="s">
        <v>22</v>
      </c>
      <c r="E157">
        <v>1681.21</v>
      </c>
      <c r="F157">
        <v>5</v>
      </c>
      <c r="G157">
        <v>0.2</v>
      </c>
      <c r="H157" s="29">
        <v>45670</v>
      </c>
      <c r="I157">
        <v>336.24</v>
      </c>
    </row>
    <row r="158" spans="1:9" x14ac:dyDescent="0.35">
      <c r="A158" t="s">
        <v>59</v>
      </c>
      <c r="B158" t="s">
        <v>37</v>
      </c>
      <c r="C158" t="s">
        <v>12</v>
      </c>
      <c r="D158" t="s">
        <v>16</v>
      </c>
      <c r="E158">
        <v>379.77</v>
      </c>
      <c r="F158">
        <v>9</v>
      </c>
      <c r="G158">
        <v>0.05</v>
      </c>
      <c r="H158" s="29">
        <v>45673</v>
      </c>
      <c r="I158">
        <v>180.39</v>
      </c>
    </row>
    <row r="159" spans="1:9" x14ac:dyDescent="0.35">
      <c r="A159" t="s">
        <v>45</v>
      </c>
      <c r="B159" t="s">
        <v>46</v>
      </c>
      <c r="C159" t="s">
        <v>35</v>
      </c>
      <c r="D159" t="s">
        <v>16</v>
      </c>
      <c r="E159">
        <v>1076.33</v>
      </c>
      <c r="F159">
        <v>2</v>
      </c>
      <c r="G159">
        <v>0.1</v>
      </c>
      <c r="H159" s="29">
        <v>45674</v>
      </c>
      <c r="I159">
        <v>484.35</v>
      </c>
    </row>
    <row r="160" spans="1:9" x14ac:dyDescent="0.35">
      <c r="A160" t="s">
        <v>45</v>
      </c>
      <c r="B160" t="s">
        <v>32</v>
      </c>
      <c r="C160" t="s">
        <v>35</v>
      </c>
      <c r="D160" t="s">
        <v>40</v>
      </c>
      <c r="E160">
        <v>1250.71</v>
      </c>
      <c r="F160">
        <v>7</v>
      </c>
      <c r="G160">
        <v>0</v>
      </c>
      <c r="H160" s="29">
        <v>45674</v>
      </c>
      <c r="I160">
        <v>562.82000000000005</v>
      </c>
    </row>
    <row r="161" spans="1:9" x14ac:dyDescent="0.35">
      <c r="A161" t="s">
        <v>41</v>
      </c>
      <c r="B161" t="s">
        <v>18</v>
      </c>
      <c r="C161" t="s">
        <v>21</v>
      </c>
      <c r="D161" t="s">
        <v>16</v>
      </c>
      <c r="E161">
        <v>1118.3399999999999</v>
      </c>
      <c r="F161">
        <v>6</v>
      </c>
      <c r="G161">
        <v>0.2</v>
      </c>
      <c r="H161" s="29">
        <v>45674</v>
      </c>
      <c r="I161">
        <v>447.34</v>
      </c>
    </row>
    <row r="162" spans="1:9" x14ac:dyDescent="0.35">
      <c r="A162" t="s">
        <v>71</v>
      </c>
      <c r="B162" t="s">
        <v>54</v>
      </c>
      <c r="C162" t="s">
        <v>25</v>
      </c>
      <c r="D162" t="s">
        <v>16</v>
      </c>
      <c r="E162">
        <v>1622.62</v>
      </c>
      <c r="F162">
        <v>12</v>
      </c>
      <c r="G162">
        <v>0.2</v>
      </c>
      <c r="H162" s="29">
        <v>45677</v>
      </c>
      <c r="I162">
        <v>649.04999999999995</v>
      </c>
    </row>
    <row r="163" spans="1:9" x14ac:dyDescent="0.35">
      <c r="A163" t="s">
        <v>76</v>
      </c>
      <c r="B163" t="s">
        <v>49</v>
      </c>
      <c r="C163" t="s">
        <v>25</v>
      </c>
      <c r="D163" t="s">
        <v>13</v>
      </c>
      <c r="E163">
        <v>640.64</v>
      </c>
      <c r="F163">
        <v>11</v>
      </c>
      <c r="G163">
        <v>0.2</v>
      </c>
      <c r="H163" s="29">
        <v>45678</v>
      </c>
      <c r="I163">
        <v>205</v>
      </c>
    </row>
    <row r="164" spans="1:9" x14ac:dyDescent="0.35">
      <c r="A164" t="s">
        <v>23</v>
      </c>
      <c r="B164" t="s">
        <v>44</v>
      </c>
      <c r="C164" t="s">
        <v>12</v>
      </c>
      <c r="D164" t="s">
        <v>16</v>
      </c>
      <c r="E164">
        <v>585.16</v>
      </c>
      <c r="F164">
        <v>17</v>
      </c>
      <c r="G164">
        <v>0.1</v>
      </c>
      <c r="H164" s="29">
        <v>45684</v>
      </c>
      <c r="I164">
        <v>263.32</v>
      </c>
    </row>
    <row r="165" spans="1:9" x14ac:dyDescent="0.35">
      <c r="A165" t="s">
        <v>23</v>
      </c>
      <c r="B165" t="s">
        <v>32</v>
      </c>
      <c r="C165" t="s">
        <v>19</v>
      </c>
      <c r="D165" t="s">
        <v>16</v>
      </c>
      <c r="E165">
        <v>1109.98</v>
      </c>
      <c r="F165">
        <v>5</v>
      </c>
      <c r="G165">
        <v>0.2</v>
      </c>
      <c r="H165" s="29">
        <v>45690</v>
      </c>
      <c r="I165">
        <v>443.99</v>
      </c>
    </row>
    <row r="166" spans="1:9" x14ac:dyDescent="0.35">
      <c r="A166" t="s">
        <v>59</v>
      </c>
      <c r="B166" t="s">
        <v>46</v>
      </c>
      <c r="C166" t="s">
        <v>19</v>
      </c>
      <c r="D166" t="s">
        <v>13</v>
      </c>
      <c r="E166">
        <v>1098.08</v>
      </c>
      <c r="F166">
        <v>9</v>
      </c>
      <c r="G166">
        <v>0.1</v>
      </c>
      <c r="H166" s="29">
        <v>45692</v>
      </c>
      <c r="I166">
        <v>395.31</v>
      </c>
    </row>
    <row r="167" spans="1:9" x14ac:dyDescent="0.35">
      <c r="A167" t="s">
        <v>66</v>
      </c>
      <c r="B167" t="s">
        <v>49</v>
      </c>
      <c r="C167" t="s">
        <v>12</v>
      </c>
      <c r="D167" t="s">
        <v>40</v>
      </c>
      <c r="E167">
        <v>827.25</v>
      </c>
      <c r="F167">
        <v>7</v>
      </c>
      <c r="G167">
        <v>0.1</v>
      </c>
      <c r="H167" s="29">
        <v>45693</v>
      </c>
      <c r="I167">
        <v>335.04</v>
      </c>
    </row>
    <row r="168" spans="1:9" x14ac:dyDescent="0.35">
      <c r="A168" t="s">
        <v>71</v>
      </c>
      <c r="B168" t="s">
        <v>30</v>
      </c>
      <c r="C168" t="s">
        <v>35</v>
      </c>
      <c r="D168" t="s">
        <v>16</v>
      </c>
      <c r="E168">
        <v>741.88</v>
      </c>
      <c r="F168">
        <v>16</v>
      </c>
      <c r="G168">
        <v>0.1</v>
      </c>
      <c r="H168" s="29">
        <v>45695</v>
      </c>
      <c r="I168">
        <v>333.85</v>
      </c>
    </row>
    <row r="169" spans="1:9" x14ac:dyDescent="0.35">
      <c r="A169" t="s">
        <v>73</v>
      </c>
      <c r="B169" t="s">
        <v>11</v>
      </c>
      <c r="C169" t="s">
        <v>19</v>
      </c>
      <c r="D169" t="s">
        <v>40</v>
      </c>
      <c r="E169">
        <v>1311.26</v>
      </c>
      <c r="F169">
        <v>6</v>
      </c>
      <c r="G169">
        <v>0.1</v>
      </c>
      <c r="H169" s="29">
        <v>45698</v>
      </c>
      <c r="I169">
        <v>531.05999999999995</v>
      </c>
    </row>
    <row r="170" spans="1:9" x14ac:dyDescent="0.35">
      <c r="A170" t="s">
        <v>73</v>
      </c>
      <c r="B170" t="s">
        <v>32</v>
      </c>
      <c r="C170" t="s">
        <v>21</v>
      </c>
      <c r="D170" t="s">
        <v>40</v>
      </c>
      <c r="E170">
        <v>573.32000000000005</v>
      </c>
      <c r="F170">
        <v>19</v>
      </c>
      <c r="G170">
        <v>0.1</v>
      </c>
      <c r="H170" s="29">
        <v>45703</v>
      </c>
      <c r="I170">
        <v>232.19</v>
      </c>
    </row>
    <row r="171" spans="1:9" x14ac:dyDescent="0.35">
      <c r="A171" t="s">
        <v>53</v>
      </c>
      <c r="B171" t="s">
        <v>24</v>
      </c>
      <c r="C171" t="s">
        <v>12</v>
      </c>
      <c r="D171" t="s">
        <v>22</v>
      </c>
      <c r="E171">
        <v>1115.22</v>
      </c>
      <c r="F171">
        <v>14</v>
      </c>
      <c r="G171">
        <v>0.2</v>
      </c>
      <c r="H171" s="29">
        <v>45705</v>
      </c>
      <c r="I171">
        <v>223.04</v>
      </c>
    </row>
    <row r="172" spans="1:9" x14ac:dyDescent="0.35">
      <c r="A172" t="s">
        <v>14</v>
      </c>
      <c r="B172" t="s">
        <v>46</v>
      </c>
      <c r="C172" t="s">
        <v>25</v>
      </c>
      <c r="D172" t="s">
        <v>16</v>
      </c>
      <c r="E172">
        <v>845.84</v>
      </c>
      <c r="F172">
        <v>4</v>
      </c>
      <c r="G172">
        <v>0</v>
      </c>
      <c r="H172" s="29">
        <v>45707</v>
      </c>
      <c r="I172">
        <v>422.92</v>
      </c>
    </row>
    <row r="173" spans="1:9" x14ac:dyDescent="0.35">
      <c r="A173" t="s">
        <v>31</v>
      </c>
      <c r="B173" t="s">
        <v>56</v>
      </c>
      <c r="C173" t="s">
        <v>12</v>
      </c>
      <c r="D173" t="s">
        <v>22</v>
      </c>
      <c r="E173">
        <v>1029.8</v>
      </c>
      <c r="F173">
        <v>3</v>
      </c>
      <c r="G173">
        <v>0</v>
      </c>
      <c r="H173" s="29">
        <v>45708</v>
      </c>
      <c r="I173">
        <v>257.45</v>
      </c>
    </row>
    <row r="174" spans="1:9" x14ac:dyDescent="0.35">
      <c r="A174" t="s">
        <v>33</v>
      </c>
      <c r="B174" t="s">
        <v>32</v>
      </c>
      <c r="C174" t="s">
        <v>25</v>
      </c>
      <c r="D174" t="s">
        <v>13</v>
      </c>
      <c r="E174">
        <v>1189.83</v>
      </c>
      <c r="F174">
        <v>2</v>
      </c>
      <c r="G174">
        <v>0.2</v>
      </c>
      <c r="H174" s="29">
        <v>45709</v>
      </c>
      <c r="I174">
        <v>380.75</v>
      </c>
    </row>
    <row r="175" spans="1:9" x14ac:dyDescent="0.35">
      <c r="A175" t="s">
        <v>68</v>
      </c>
      <c r="B175" t="s">
        <v>44</v>
      </c>
      <c r="C175" t="s">
        <v>21</v>
      </c>
      <c r="D175" t="s">
        <v>13</v>
      </c>
      <c r="E175">
        <v>704.28</v>
      </c>
      <c r="F175">
        <v>15</v>
      </c>
      <c r="G175">
        <v>0.2</v>
      </c>
      <c r="H175" s="29">
        <v>45712</v>
      </c>
      <c r="I175">
        <v>225.37</v>
      </c>
    </row>
    <row r="176" spans="1:9" x14ac:dyDescent="0.35">
      <c r="A176" t="s">
        <v>66</v>
      </c>
      <c r="B176" t="s">
        <v>48</v>
      </c>
      <c r="C176" t="s">
        <v>35</v>
      </c>
      <c r="D176" t="s">
        <v>40</v>
      </c>
      <c r="E176">
        <v>1618.22</v>
      </c>
      <c r="F176">
        <v>12</v>
      </c>
      <c r="G176">
        <v>0.2</v>
      </c>
      <c r="H176" s="29">
        <v>45712</v>
      </c>
      <c r="I176">
        <v>582.55999999999995</v>
      </c>
    </row>
    <row r="177" spans="1:9" x14ac:dyDescent="0.35">
      <c r="A177" t="s">
        <v>74</v>
      </c>
      <c r="B177" t="s">
        <v>54</v>
      </c>
      <c r="C177" t="s">
        <v>35</v>
      </c>
      <c r="D177" t="s">
        <v>13</v>
      </c>
      <c r="E177">
        <v>1014.43</v>
      </c>
      <c r="F177">
        <v>2</v>
      </c>
      <c r="G177">
        <v>0.15</v>
      </c>
      <c r="H177" s="29">
        <v>45713</v>
      </c>
      <c r="I177">
        <v>344.91</v>
      </c>
    </row>
    <row r="178" spans="1:9" x14ac:dyDescent="0.35">
      <c r="A178" t="s">
        <v>76</v>
      </c>
      <c r="B178" t="s">
        <v>32</v>
      </c>
      <c r="C178" t="s">
        <v>35</v>
      </c>
      <c r="D178" t="s">
        <v>16</v>
      </c>
      <c r="E178">
        <v>826.97</v>
      </c>
      <c r="F178">
        <v>18</v>
      </c>
      <c r="G178">
        <v>0.2</v>
      </c>
      <c r="H178" s="29">
        <v>45715</v>
      </c>
      <c r="I178">
        <v>330.79</v>
      </c>
    </row>
    <row r="179" spans="1:9" x14ac:dyDescent="0.35">
      <c r="A179" t="s">
        <v>17</v>
      </c>
      <c r="B179" t="s">
        <v>32</v>
      </c>
      <c r="C179" t="s">
        <v>35</v>
      </c>
      <c r="D179" t="s">
        <v>16</v>
      </c>
      <c r="E179">
        <v>1022.23</v>
      </c>
      <c r="F179">
        <v>8</v>
      </c>
      <c r="G179">
        <v>0.1</v>
      </c>
      <c r="H179" s="29">
        <v>45717</v>
      </c>
      <c r="I179">
        <v>460</v>
      </c>
    </row>
    <row r="180" spans="1:9" x14ac:dyDescent="0.35">
      <c r="A180" t="s">
        <v>73</v>
      </c>
      <c r="B180" t="s">
        <v>30</v>
      </c>
      <c r="C180" t="s">
        <v>19</v>
      </c>
      <c r="D180" t="s">
        <v>13</v>
      </c>
      <c r="E180">
        <v>1099.69</v>
      </c>
      <c r="F180">
        <v>6</v>
      </c>
      <c r="G180">
        <v>0</v>
      </c>
      <c r="H180" s="29">
        <v>45718</v>
      </c>
      <c r="I180">
        <v>439.88</v>
      </c>
    </row>
    <row r="181" spans="1:9" x14ac:dyDescent="0.35">
      <c r="A181" t="s">
        <v>53</v>
      </c>
      <c r="B181" t="s">
        <v>65</v>
      </c>
      <c r="C181" t="s">
        <v>25</v>
      </c>
      <c r="D181" t="s">
        <v>13</v>
      </c>
      <c r="E181">
        <v>710.52</v>
      </c>
      <c r="F181">
        <v>8</v>
      </c>
      <c r="G181">
        <v>0.1</v>
      </c>
      <c r="H181" s="29">
        <v>45721</v>
      </c>
      <c r="I181">
        <v>255.79</v>
      </c>
    </row>
    <row r="182" spans="1:9" x14ac:dyDescent="0.35">
      <c r="A182" t="s">
        <v>53</v>
      </c>
      <c r="B182" t="s">
        <v>60</v>
      </c>
      <c r="C182" t="s">
        <v>25</v>
      </c>
      <c r="D182" t="s">
        <v>13</v>
      </c>
      <c r="E182">
        <v>499.18</v>
      </c>
      <c r="F182">
        <v>15</v>
      </c>
      <c r="G182">
        <v>0.2</v>
      </c>
      <c r="H182" s="29">
        <v>45724</v>
      </c>
      <c r="I182">
        <v>159.74</v>
      </c>
    </row>
    <row r="183" spans="1:9" x14ac:dyDescent="0.35">
      <c r="A183" t="s">
        <v>38</v>
      </c>
      <c r="B183" t="s">
        <v>39</v>
      </c>
      <c r="C183" t="s">
        <v>21</v>
      </c>
      <c r="D183" t="s">
        <v>13</v>
      </c>
      <c r="E183">
        <v>1064.19</v>
      </c>
      <c r="F183">
        <v>18</v>
      </c>
      <c r="G183">
        <v>0.05</v>
      </c>
      <c r="H183" s="29">
        <v>45725</v>
      </c>
      <c r="I183">
        <v>404.39</v>
      </c>
    </row>
    <row r="184" spans="1:9" x14ac:dyDescent="0.35">
      <c r="A184" t="s">
        <v>68</v>
      </c>
      <c r="B184" t="s">
        <v>39</v>
      </c>
      <c r="C184" t="s">
        <v>19</v>
      </c>
      <c r="D184" t="s">
        <v>40</v>
      </c>
      <c r="E184">
        <v>438.76</v>
      </c>
      <c r="F184">
        <v>18</v>
      </c>
      <c r="G184">
        <v>0.05</v>
      </c>
      <c r="H184" s="29">
        <v>45726</v>
      </c>
      <c r="I184">
        <v>187.57</v>
      </c>
    </row>
    <row r="185" spans="1:9" x14ac:dyDescent="0.35">
      <c r="A185" t="s">
        <v>42</v>
      </c>
      <c r="B185" t="s">
        <v>56</v>
      </c>
      <c r="C185" t="s">
        <v>12</v>
      </c>
      <c r="D185" t="s">
        <v>16</v>
      </c>
      <c r="E185">
        <v>864.98</v>
      </c>
      <c r="F185">
        <v>2</v>
      </c>
      <c r="G185">
        <v>0.05</v>
      </c>
      <c r="H185" s="29">
        <v>45727</v>
      </c>
      <c r="I185">
        <v>410.87</v>
      </c>
    </row>
    <row r="186" spans="1:9" x14ac:dyDescent="0.35">
      <c r="A186" t="s">
        <v>58</v>
      </c>
      <c r="B186" t="s">
        <v>56</v>
      </c>
      <c r="C186" t="s">
        <v>12</v>
      </c>
      <c r="D186" t="s">
        <v>28</v>
      </c>
      <c r="E186">
        <v>984.93</v>
      </c>
      <c r="F186">
        <v>14</v>
      </c>
      <c r="G186">
        <v>0.2</v>
      </c>
      <c r="H186" s="29">
        <v>45733</v>
      </c>
      <c r="I186">
        <v>275.77999999999997</v>
      </c>
    </row>
    <row r="187" spans="1:9" x14ac:dyDescent="0.35">
      <c r="A187" t="s">
        <v>26</v>
      </c>
      <c r="B187" t="s">
        <v>56</v>
      </c>
      <c r="C187" t="s">
        <v>12</v>
      </c>
      <c r="D187" t="s">
        <v>16</v>
      </c>
      <c r="E187">
        <v>1493.49</v>
      </c>
      <c r="F187">
        <v>18</v>
      </c>
      <c r="G187">
        <v>0</v>
      </c>
      <c r="H187" s="29">
        <v>45734</v>
      </c>
      <c r="I187">
        <v>746.74</v>
      </c>
    </row>
    <row r="188" spans="1:9" x14ac:dyDescent="0.35">
      <c r="A188" t="s">
        <v>33</v>
      </c>
      <c r="B188" t="s">
        <v>54</v>
      </c>
      <c r="C188" t="s">
        <v>21</v>
      </c>
      <c r="D188" t="s">
        <v>16</v>
      </c>
      <c r="E188">
        <v>689.43</v>
      </c>
      <c r="F188">
        <v>9</v>
      </c>
      <c r="G188">
        <v>0.1</v>
      </c>
      <c r="H188" s="29">
        <v>45736</v>
      </c>
      <c r="I188">
        <v>310.24</v>
      </c>
    </row>
    <row r="189" spans="1:9" x14ac:dyDescent="0.35">
      <c r="A189" t="s">
        <v>41</v>
      </c>
      <c r="B189" t="s">
        <v>60</v>
      </c>
      <c r="C189" t="s">
        <v>21</v>
      </c>
      <c r="D189" t="s">
        <v>16</v>
      </c>
      <c r="E189">
        <v>682.24</v>
      </c>
      <c r="F189">
        <v>1</v>
      </c>
      <c r="G189">
        <v>0</v>
      </c>
      <c r="H189" s="29">
        <v>45738</v>
      </c>
      <c r="I189">
        <v>341.12</v>
      </c>
    </row>
    <row r="190" spans="1:9" x14ac:dyDescent="0.35">
      <c r="A190" t="s">
        <v>42</v>
      </c>
      <c r="B190" t="s">
        <v>27</v>
      </c>
      <c r="C190" t="s">
        <v>25</v>
      </c>
      <c r="D190" t="s">
        <v>22</v>
      </c>
      <c r="E190">
        <v>458.54</v>
      </c>
      <c r="F190">
        <v>15</v>
      </c>
      <c r="G190">
        <v>0.2</v>
      </c>
      <c r="H190" s="29">
        <v>45741</v>
      </c>
      <c r="I190">
        <v>91.71</v>
      </c>
    </row>
    <row r="191" spans="1:9" x14ac:dyDescent="0.35">
      <c r="A191" t="s">
        <v>33</v>
      </c>
      <c r="B191" t="s">
        <v>27</v>
      </c>
      <c r="C191" t="s">
        <v>21</v>
      </c>
      <c r="D191" t="s">
        <v>28</v>
      </c>
      <c r="E191">
        <v>1184.25</v>
      </c>
      <c r="F191">
        <v>11</v>
      </c>
      <c r="G191">
        <v>0.2</v>
      </c>
      <c r="H191" s="29">
        <v>45742</v>
      </c>
      <c r="I191">
        <v>331.59</v>
      </c>
    </row>
    <row r="192" spans="1:9" x14ac:dyDescent="0.35">
      <c r="A192" t="s">
        <v>26</v>
      </c>
      <c r="B192" t="s">
        <v>11</v>
      </c>
      <c r="C192" t="s">
        <v>21</v>
      </c>
      <c r="D192" t="s">
        <v>16</v>
      </c>
      <c r="E192">
        <v>762.14</v>
      </c>
      <c r="F192">
        <v>9</v>
      </c>
      <c r="G192">
        <v>0</v>
      </c>
      <c r="H192" s="29">
        <v>45743</v>
      </c>
      <c r="I192">
        <v>381.07</v>
      </c>
    </row>
    <row r="193" spans="1:9" x14ac:dyDescent="0.35">
      <c r="A193" t="s">
        <v>23</v>
      </c>
      <c r="B193" t="s">
        <v>54</v>
      </c>
      <c r="C193" t="s">
        <v>25</v>
      </c>
      <c r="D193" t="s">
        <v>13</v>
      </c>
      <c r="E193">
        <v>750.71</v>
      </c>
      <c r="F193">
        <v>10</v>
      </c>
      <c r="G193">
        <v>0.15</v>
      </c>
      <c r="H193" s="29">
        <v>45743</v>
      </c>
      <c r="I193">
        <v>255.24</v>
      </c>
    </row>
    <row r="194" spans="1:9" x14ac:dyDescent="0.35">
      <c r="A194" t="s">
        <v>76</v>
      </c>
      <c r="B194" t="s">
        <v>72</v>
      </c>
      <c r="C194" t="s">
        <v>35</v>
      </c>
      <c r="D194" t="s">
        <v>16</v>
      </c>
      <c r="E194">
        <v>1456.94</v>
      </c>
      <c r="F194">
        <v>14</v>
      </c>
      <c r="G194">
        <v>0.05</v>
      </c>
      <c r="H194" s="29">
        <v>45745</v>
      </c>
      <c r="I194">
        <v>692.05</v>
      </c>
    </row>
    <row r="195" spans="1:9" x14ac:dyDescent="0.35">
      <c r="A195" t="s">
        <v>45</v>
      </c>
      <c r="B195" t="s">
        <v>62</v>
      </c>
      <c r="C195" t="s">
        <v>19</v>
      </c>
      <c r="D195" t="s">
        <v>28</v>
      </c>
      <c r="E195">
        <v>1093.3800000000001</v>
      </c>
      <c r="F195">
        <v>17</v>
      </c>
      <c r="G195">
        <v>0.1</v>
      </c>
      <c r="H195" s="29">
        <v>45745</v>
      </c>
      <c r="I195">
        <v>344.41</v>
      </c>
    </row>
    <row r="196" spans="1:9" x14ac:dyDescent="0.35">
      <c r="A196" t="s">
        <v>38</v>
      </c>
      <c r="B196" t="s">
        <v>44</v>
      </c>
      <c r="C196" t="s">
        <v>12</v>
      </c>
      <c r="D196" t="s">
        <v>16</v>
      </c>
      <c r="E196">
        <v>934.27</v>
      </c>
      <c r="F196">
        <v>8</v>
      </c>
      <c r="G196">
        <v>0.15</v>
      </c>
      <c r="H196" s="29">
        <v>45746</v>
      </c>
      <c r="I196">
        <v>397.06</v>
      </c>
    </row>
    <row r="197" spans="1:9" x14ac:dyDescent="0.35">
      <c r="A197" t="s">
        <v>71</v>
      </c>
      <c r="B197" t="s">
        <v>37</v>
      </c>
      <c r="C197" t="s">
        <v>35</v>
      </c>
      <c r="D197" t="s">
        <v>16</v>
      </c>
      <c r="E197">
        <v>1465.35</v>
      </c>
      <c r="F197">
        <v>8</v>
      </c>
      <c r="G197">
        <v>0.2</v>
      </c>
      <c r="H197" s="29">
        <v>45746</v>
      </c>
      <c r="I197">
        <v>586.14</v>
      </c>
    </row>
    <row r="198" spans="1:9" x14ac:dyDescent="0.35">
      <c r="A198" t="s">
        <v>53</v>
      </c>
      <c r="B198" t="s">
        <v>15</v>
      </c>
      <c r="C198" t="s">
        <v>21</v>
      </c>
      <c r="D198" t="s">
        <v>40</v>
      </c>
      <c r="E198">
        <v>740.8</v>
      </c>
      <c r="F198">
        <v>3</v>
      </c>
      <c r="G198">
        <v>0</v>
      </c>
      <c r="H198" s="29">
        <v>45749</v>
      </c>
      <c r="I198">
        <v>333.36</v>
      </c>
    </row>
    <row r="199" spans="1:9" x14ac:dyDescent="0.35">
      <c r="A199" t="s">
        <v>59</v>
      </c>
      <c r="B199" t="s">
        <v>44</v>
      </c>
      <c r="C199" t="s">
        <v>12</v>
      </c>
      <c r="D199" t="s">
        <v>40</v>
      </c>
      <c r="E199">
        <v>545.44000000000005</v>
      </c>
      <c r="F199">
        <v>17</v>
      </c>
      <c r="G199">
        <v>0</v>
      </c>
      <c r="H199" s="29">
        <v>45752</v>
      </c>
      <c r="I199">
        <v>245.45</v>
      </c>
    </row>
    <row r="200" spans="1:9" x14ac:dyDescent="0.35">
      <c r="A200" t="s">
        <v>36</v>
      </c>
      <c r="B200" t="s">
        <v>37</v>
      </c>
      <c r="C200" t="s">
        <v>19</v>
      </c>
      <c r="D200" t="s">
        <v>13</v>
      </c>
      <c r="E200">
        <v>997.61</v>
      </c>
      <c r="F200">
        <v>8</v>
      </c>
      <c r="G200">
        <v>0.05</v>
      </c>
      <c r="H200" s="29">
        <v>45752</v>
      </c>
      <c r="I200">
        <v>379.09</v>
      </c>
    </row>
    <row r="201" spans="1:9" x14ac:dyDescent="0.35">
      <c r="A201" t="s">
        <v>61</v>
      </c>
      <c r="B201" t="s">
        <v>37</v>
      </c>
      <c r="C201" t="s">
        <v>21</v>
      </c>
      <c r="D201" t="s">
        <v>16</v>
      </c>
      <c r="E201">
        <v>928.32</v>
      </c>
      <c r="F201">
        <v>2</v>
      </c>
      <c r="G201">
        <v>0.05</v>
      </c>
      <c r="H201" s="29">
        <v>45754</v>
      </c>
      <c r="I201">
        <v>440.95</v>
      </c>
    </row>
  </sheetData>
  <mergeCells count="4">
    <mergeCell ref="K6:L10"/>
    <mergeCell ref="N12:O12"/>
    <mergeCell ref="N13:O13"/>
    <mergeCell ref="K16:L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7C0D6-6349-43AD-ACF7-12A58F1190C0}">
  <dimension ref="A1:N57"/>
  <sheetViews>
    <sheetView workbookViewId="0">
      <selection activeCell="H33" sqref="H33"/>
    </sheetView>
  </sheetViews>
  <sheetFormatPr defaultRowHeight="14.5" x14ac:dyDescent="0.35"/>
  <cols>
    <col min="1" max="1" width="12.36328125" bestFit="1" customWidth="1"/>
    <col min="2" max="2" width="19.90625" bestFit="1" customWidth="1"/>
    <col min="3" max="3" width="9" bestFit="1" customWidth="1"/>
    <col min="4" max="4" width="10.54296875" bestFit="1" customWidth="1"/>
    <col min="5" max="5" width="9.26953125" bestFit="1" customWidth="1"/>
    <col min="6" max="6" width="14.54296875" bestFit="1" customWidth="1"/>
    <col min="7" max="7" width="11.26953125" bestFit="1" customWidth="1"/>
    <col min="13" max="13" width="27.7265625" customWidth="1"/>
  </cols>
  <sheetData>
    <row r="1" spans="1:14" x14ac:dyDescent="0.35">
      <c r="M1" s="9" t="s">
        <v>78</v>
      </c>
    </row>
    <row r="2" spans="1:14" x14ac:dyDescent="0.35">
      <c r="M2" s="45" t="s">
        <v>83</v>
      </c>
      <c r="N2" s="49" t="s">
        <v>107</v>
      </c>
    </row>
    <row r="3" spans="1:14" x14ac:dyDescent="0.35">
      <c r="A3" s="12" t="s">
        <v>80</v>
      </c>
      <c r="B3" s="13" t="s">
        <v>82</v>
      </c>
      <c r="M3" s="45"/>
      <c r="N3" s="49"/>
    </row>
    <row r="4" spans="1:14" x14ac:dyDescent="0.35">
      <c r="A4" s="14" t="s">
        <v>35</v>
      </c>
      <c r="B4" s="13">
        <v>43468.33</v>
      </c>
      <c r="M4" s="45"/>
      <c r="N4" s="49"/>
    </row>
    <row r="5" spans="1:14" x14ac:dyDescent="0.35">
      <c r="A5" s="14" t="s">
        <v>19</v>
      </c>
      <c r="B5" s="13">
        <v>32441.64</v>
      </c>
      <c r="M5" s="45"/>
      <c r="N5" s="49"/>
    </row>
    <row r="6" spans="1:14" x14ac:dyDescent="0.35">
      <c r="A6" s="14" t="s">
        <v>25</v>
      </c>
      <c r="B6" s="13">
        <v>34975.42</v>
      </c>
      <c r="M6" s="45"/>
      <c r="N6" s="49"/>
    </row>
    <row r="7" spans="1:14" x14ac:dyDescent="0.35">
      <c r="A7" s="14" t="s">
        <v>21</v>
      </c>
      <c r="B7" s="13">
        <v>40248.79</v>
      </c>
      <c r="M7" s="45"/>
      <c r="N7" s="49"/>
    </row>
    <row r="8" spans="1:14" x14ac:dyDescent="0.35">
      <c r="A8" s="14" t="s">
        <v>12</v>
      </c>
      <c r="B8" s="13">
        <v>44083.58</v>
      </c>
      <c r="M8" s="45"/>
      <c r="N8" s="49"/>
    </row>
    <row r="9" spans="1:14" x14ac:dyDescent="0.35">
      <c r="A9" s="14" t="s">
        <v>81</v>
      </c>
      <c r="B9" s="13">
        <v>195217.76</v>
      </c>
      <c r="M9" s="50" t="s">
        <v>85</v>
      </c>
    </row>
    <row r="10" spans="1:14" x14ac:dyDescent="0.35">
      <c r="M10" s="50"/>
    </row>
    <row r="19" spans="1:14" x14ac:dyDescent="0.35">
      <c r="M19" s="9" t="s">
        <v>78</v>
      </c>
    </row>
    <row r="20" spans="1:14" x14ac:dyDescent="0.35">
      <c r="A20" s="12" t="s">
        <v>80</v>
      </c>
      <c r="B20" s="13" t="s">
        <v>82</v>
      </c>
      <c r="M20" s="45" t="s">
        <v>84</v>
      </c>
      <c r="N20" s="49" t="s">
        <v>107</v>
      </c>
    </row>
    <row r="21" spans="1:14" x14ac:dyDescent="0.35">
      <c r="A21" s="14" t="s">
        <v>13</v>
      </c>
      <c r="B21" s="13">
        <v>47002.460000000006</v>
      </c>
      <c r="M21" s="45"/>
      <c r="N21" s="49"/>
    </row>
    <row r="22" spans="1:14" x14ac:dyDescent="0.35">
      <c r="A22" s="14" t="s">
        <v>16</v>
      </c>
      <c r="B22" s="13">
        <v>41927.589999999989</v>
      </c>
      <c r="M22" s="45"/>
      <c r="N22" s="49"/>
    </row>
    <row r="23" spans="1:14" x14ac:dyDescent="0.35">
      <c r="A23" s="14" t="s">
        <v>22</v>
      </c>
      <c r="B23" s="13">
        <v>41044.000000000007</v>
      </c>
      <c r="M23" s="45"/>
      <c r="N23" s="49"/>
    </row>
    <row r="24" spans="1:14" x14ac:dyDescent="0.35">
      <c r="A24" s="14" t="s">
        <v>28</v>
      </c>
      <c r="B24" s="13">
        <v>36612.89</v>
      </c>
      <c r="M24" s="45"/>
      <c r="N24" s="49"/>
    </row>
    <row r="25" spans="1:14" x14ac:dyDescent="0.35">
      <c r="A25" s="14" t="s">
        <v>40</v>
      </c>
      <c r="B25" s="13">
        <v>28630.819999999992</v>
      </c>
      <c r="M25" s="45"/>
      <c r="N25" s="49"/>
    </row>
    <row r="26" spans="1:14" x14ac:dyDescent="0.35">
      <c r="A26" s="14" t="s">
        <v>81</v>
      </c>
      <c r="B26" s="13">
        <v>195217.76</v>
      </c>
      <c r="M26" s="45"/>
      <c r="N26" s="49"/>
    </row>
    <row r="27" spans="1:14" x14ac:dyDescent="0.35">
      <c r="M27" s="50" t="s">
        <v>86</v>
      </c>
    </row>
    <row r="28" spans="1:14" x14ac:dyDescent="0.35">
      <c r="M28" s="51"/>
    </row>
    <row r="36" spans="1:14" x14ac:dyDescent="0.35">
      <c r="A36" s="10" t="s">
        <v>80</v>
      </c>
      <c r="B36" t="s">
        <v>82</v>
      </c>
      <c r="M36" s="9" t="s">
        <v>78</v>
      </c>
    </row>
    <row r="37" spans="1:14" x14ac:dyDescent="0.35">
      <c r="A37" s="11" t="s">
        <v>87</v>
      </c>
      <c r="B37">
        <v>145429.36000000002</v>
      </c>
      <c r="M37" s="45" t="s">
        <v>105</v>
      </c>
      <c r="N37" s="49" t="s">
        <v>107</v>
      </c>
    </row>
    <row r="38" spans="1:14" x14ac:dyDescent="0.35">
      <c r="A38" s="15" t="s">
        <v>89</v>
      </c>
      <c r="B38">
        <v>57724.81</v>
      </c>
      <c r="M38" s="45"/>
      <c r="N38" s="49"/>
    </row>
    <row r="39" spans="1:14" x14ac:dyDescent="0.35">
      <c r="A39" s="16" t="s">
        <v>92</v>
      </c>
      <c r="B39">
        <v>19029.96</v>
      </c>
      <c r="M39" s="45"/>
      <c r="N39" s="49"/>
    </row>
    <row r="40" spans="1:14" x14ac:dyDescent="0.35">
      <c r="A40" s="16" t="s">
        <v>93</v>
      </c>
      <c r="B40">
        <v>18507.339999999997</v>
      </c>
      <c r="M40" s="45"/>
      <c r="N40" s="49"/>
    </row>
    <row r="41" spans="1:14" x14ac:dyDescent="0.35">
      <c r="A41" s="16" t="s">
        <v>94</v>
      </c>
      <c r="B41">
        <v>20187.509999999998</v>
      </c>
      <c r="M41" s="45"/>
      <c r="N41" s="49"/>
    </row>
    <row r="42" spans="1:14" x14ac:dyDescent="0.35">
      <c r="A42" s="15" t="s">
        <v>90</v>
      </c>
      <c r="B42">
        <v>42234.239999999991</v>
      </c>
      <c r="M42" s="45"/>
      <c r="N42" s="49"/>
    </row>
    <row r="43" spans="1:14" x14ac:dyDescent="0.35">
      <c r="A43" s="16" t="s">
        <v>96</v>
      </c>
      <c r="B43">
        <v>11609.039999999999</v>
      </c>
      <c r="M43" s="45"/>
      <c r="N43" s="49"/>
    </row>
    <row r="44" spans="1:14" ht="15" customHeight="1" x14ac:dyDescent="0.35">
      <c r="A44" s="16" t="s">
        <v>97</v>
      </c>
      <c r="B44">
        <v>10091.699999999999</v>
      </c>
      <c r="M44" s="45" t="s">
        <v>106</v>
      </c>
    </row>
    <row r="45" spans="1:14" x14ac:dyDescent="0.35">
      <c r="A45" s="16" t="s">
        <v>98</v>
      </c>
      <c r="B45">
        <v>20533.499999999996</v>
      </c>
      <c r="M45" s="45"/>
    </row>
    <row r="46" spans="1:14" x14ac:dyDescent="0.35">
      <c r="A46" s="15" t="s">
        <v>91</v>
      </c>
      <c r="B46">
        <v>45470.310000000005</v>
      </c>
      <c r="M46" s="45"/>
    </row>
    <row r="47" spans="1:14" x14ac:dyDescent="0.35">
      <c r="A47" s="16" t="s">
        <v>99</v>
      </c>
      <c r="B47">
        <v>14215.240000000002</v>
      </c>
      <c r="M47" s="45"/>
    </row>
    <row r="48" spans="1:14" x14ac:dyDescent="0.35">
      <c r="A48" s="16" t="s">
        <v>100</v>
      </c>
      <c r="B48">
        <v>20135.030000000002</v>
      </c>
    </row>
    <row r="49" spans="1:2" x14ac:dyDescent="0.35">
      <c r="A49" s="16" t="s">
        <v>101</v>
      </c>
      <c r="B49">
        <v>11120.04</v>
      </c>
    </row>
    <row r="50" spans="1:2" x14ac:dyDescent="0.35">
      <c r="A50" s="11" t="s">
        <v>88</v>
      </c>
      <c r="B50">
        <v>49788.399999999994</v>
      </c>
    </row>
    <row r="51" spans="1:2" x14ac:dyDescent="0.35">
      <c r="A51" s="15" t="s">
        <v>95</v>
      </c>
      <c r="B51">
        <v>46576.229999999996</v>
      </c>
    </row>
    <row r="52" spans="1:2" x14ac:dyDescent="0.35">
      <c r="A52" s="16" t="s">
        <v>102</v>
      </c>
      <c r="B52">
        <v>14914.650000000001</v>
      </c>
    </row>
    <row r="53" spans="1:2" x14ac:dyDescent="0.35">
      <c r="A53" s="16" t="s">
        <v>103</v>
      </c>
      <c r="B53">
        <v>14006.359999999999</v>
      </c>
    </row>
    <row r="54" spans="1:2" x14ac:dyDescent="0.35">
      <c r="A54" s="16" t="s">
        <v>104</v>
      </c>
      <c r="B54">
        <v>17655.219999999998</v>
      </c>
    </row>
    <row r="55" spans="1:2" x14ac:dyDescent="0.35">
      <c r="A55" s="15" t="s">
        <v>89</v>
      </c>
      <c r="B55">
        <v>3212.17</v>
      </c>
    </row>
    <row r="56" spans="1:2" x14ac:dyDescent="0.35">
      <c r="A56" s="16" t="s">
        <v>92</v>
      </c>
      <c r="B56">
        <v>3212.17</v>
      </c>
    </row>
    <row r="57" spans="1:2" x14ac:dyDescent="0.35">
      <c r="A57" s="11" t="s">
        <v>81</v>
      </c>
      <c r="B57">
        <v>195217.76</v>
      </c>
    </row>
  </sheetData>
  <mergeCells count="9">
    <mergeCell ref="M44:M47"/>
    <mergeCell ref="N2:N8"/>
    <mergeCell ref="N20:N26"/>
    <mergeCell ref="N37:N43"/>
    <mergeCell ref="M2:M8"/>
    <mergeCell ref="M20:M26"/>
    <mergeCell ref="M9:M10"/>
    <mergeCell ref="M27:M28"/>
    <mergeCell ref="M37:M43"/>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94F7-F097-4126-9806-CCC9D0642FA1}">
  <dimension ref="A1:R203"/>
  <sheetViews>
    <sheetView workbookViewId="0">
      <selection activeCell="J2" sqref="J2:O2"/>
    </sheetView>
  </sheetViews>
  <sheetFormatPr defaultRowHeight="14.5" x14ac:dyDescent="0.35"/>
  <cols>
    <col min="1" max="1" width="12.6328125" customWidth="1"/>
    <col min="2" max="2" width="7.90625" customWidth="1"/>
    <col min="3" max="6" width="13.81640625" customWidth="1"/>
    <col min="7" max="7" width="17.08984375" customWidth="1"/>
    <col min="8" max="8" width="13.81640625" customWidth="1"/>
    <col min="10" max="10" width="12.453125" bestFit="1" customWidth="1"/>
    <col min="11" max="11" width="11.81640625" bestFit="1" customWidth="1"/>
    <col min="12" max="12" width="12.453125" bestFit="1" customWidth="1"/>
    <col min="13" max="13" width="12" bestFit="1" customWidth="1"/>
  </cols>
  <sheetData>
    <row r="1" spans="1:15" ht="18.5" x14ac:dyDescent="0.35">
      <c r="A1" s="17" t="s">
        <v>108</v>
      </c>
      <c r="B1" s="17" t="s">
        <v>109</v>
      </c>
      <c r="C1" s="17"/>
      <c r="D1" s="17"/>
      <c r="E1" s="17"/>
      <c r="F1" s="17"/>
      <c r="G1" s="17"/>
      <c r="H1" s="17"/>
      <c r="J1" s="53" t="s">
        <v>78</v>
      </c>
      <c r="K1" s="53"/>
      <c r="L1" s="53"/>
      <c r="M1" s="53"/>
      <c r="N1" s="53"/>
      <c r="O1" s="53"/>
    </row>
    <row r="2" spans="1:15" s="22" customFormat="1" ht="33.5" customHeight="1" x14ac:dyDescent="0.35">
      <c r="A2" s="23" t="s">
        <v>77</v>
      </c>
      <c r="B2" s="23" t="s">
        <v>9</v>
      </c>
      <c r="C2" s="23" t="s">
        <v>112</v>
      </c>
      <c r="D2" s="23" t="s">
        <v>113</v>
      </c>
      <c r="E2" s="23" t="s">
        <v>114</v>
      </c>
      <c r="F2" s="23" t="s">
        <v>115</v>
      </c>
      <c r="G2" s="23" t="s">
        <v>110</v>
      </c>
      <c r="H2" s="23" t="s">
        <v>111</v>
      </c>
      <c r="J2" s="52" t="s">
        <v>143</v>
      </c>
      <c r="K2" s="52"/>
      <c r="L2" s="52"/>
      <c r="M2" s="52"/>
      <c r="N2" s="52"/>
      <c r="O2" s="52"/>
    </row>
    <row r="3" spans="1:15" x14ac:dyDescent="0.35">
      <c r="A3" s="18">
        <v>1036.0899999999999</v>
      </c>
      <c r="B3" s="18">
        <v>331.55</v>
      </c>
      <c r="C3" s="18">
        <f>(A3-$G$3)</f>
        <v>60.001200000000267</v>
      </c>
      <c r="D3" s="18">
        <f>(B3-$H$3)</f>
        <v>-9.8850500000000352</v>
      </c>
      <c r="E3" s="18">
        <f>(C3*D3)</f>
        <v>-593.11486206000473</v>
      </c>
      <c r="F3" s="18">
        <f>(C3*C3)</f>
        <v>3600.1440014400318</v>
      </c>
      <c r="G3" s="18">
        <f>AVERAGE(A3:A202)</f>
        <v>976.08879999999965</v>
      </c>
      <c r="H3" s="18">
        <f>AVERAGE(B3:B202)</f>
        <v>341.43505000000005</v>
      </c>
    </row>
    <row r="4" spans="1:15" x14ac:dyDescent="0.35">
      <c r="A4" s="18">
        <v>1101.28</v>
      </c>
      <c r="B4" s="18">
        <v>440.51</v>
      </c>
      <c r="C4" s="18">
        <f t="shared" ref="C4:C67" si="0">(A4-$G$3)</f>
        <v>125.19120000000032</v>
      </c>
      <c r="D4" s="18">
        <f t="shared" ref="D4:D67" si="1">(B4-$H$3)</f>
        <v>99.074949999999944</v>
      </c>
      <c r="E4" s="18">
        <f t="shared" ref="E4:E67" si="2">(C4*D4)</f>
        <v>12403.311880440026</v>
      </c>
      <c r="F4" s="18">
        <f t="shared" ref="F4:F67" si="3">(C4*C4)</f>
        <v>15672.836557440081</v>
      </c>
      <c r="J4" t="s">
        <v>116</v>
      </c>
    </row>
    <row r="5" spans="1:15" ht="20" customHeight="1" thickBot="1" x14ac:dyDescent="0.4">
      <c r="A5" s="18">
        <v>713.34</v>
      </c>
      <c r="B5" s="18">
        <v>285.33999999999997</v>
      </c>
      <c r="C5" s="18">
        <f t="shared" si="0"/>
        <v>-262.74879999999962</v>
      </c>
      <c r="D5" s="18">
        <f t="shared" si="1"/>
        <v>-56.095050000000072</v>
      </c>
      <c r="E5" s="18">
        <f t="shared" si="2"/>
        <v>14738.907073439997</v>
      </c>
      <c r="F5" s="18">
        <f t="shared" si="3"/>
        <v>69036.931901439806</v>
      </c>
      <c r="G5" s="24" t="s">
        <v>140</v>
      </c>
      <c r="H5" s="24" t="s">
        <v>127</v>
      </c>
    </row>
    <row r="6" spans="1:15" x14ac:dyDescent="0.35">
      <c r="A6" s="18">
        <v>760.93</v>
      </c>
      <c r="B6" s="18">
        <v>161.69999999999999</v>
      </c>
      <c r="C6" s="18">
        <f t="shared" si="0"/>
        <v>-215.1587999999997</v>
      </c>
      <c r="D6" s="18">
        <f t="shared" si="1"/>
        <v>-179.73505000000006</v>
      </c>
      <c r="E6" s="18">
        <f t="shared" si="2"/>
        <v>38671.57767593996</v>
      </c>
      <c r="F6" s="18">
        <f t="shared" si="3"/>
        <v>46293.30921743987</v>
      </c>
      <c r="G6" s="18">
        <f>($E$203/$F$203)</f>
        <v>0.35085598819512248</v>
      </c>
      <c r="H6" s="18">
        <f>($H$3-($G$6*$G$3))</f>
        <v>-1.0315504901910799</v>
      </c>
      <c r="J6" s="21" t="s">
        <v>117</v>
      </c>
      <c r="K6" s="21"/>
    </row>
    <row r="7" spans="1:15" x14ac:dyDescent="0.35">
      <c r="A7" s="18">
        <v>847</v>
      </c>
      <c r="B7" s="18">
        <v>271.04000000000002</v>
      </c>
      <c r="C7" s="18">
        <f t="shared" si="0"/>
        <v>-129.08879999999965</v>
      </c>
      <c r="D7" s="18">
        <f t="shared" si="1"/>
        <v>-70.395050000000026</v>
      </c>
      <c r="E7" s="18">
        <f t="shared" si="2"/>
        <v>9087.2125304399797</v>
      </c>
      <c r="F7" s="18">
        <f t="shared" si="3"/>
        <v>16663.918285439911</v>
      </c>
      <c r="J7" t="s">
        <v>118</v>
      </c>
      <c r="K7">
        <v>0.77356566420146511</v>
      </c>
    </row>
    <row r="8" spans="1:15" ht="29.5" customHeight="1" x14ac:dyDescent="0.35">
      <c r="A8" s="18">
        <v>965.64</v>
      </c>
      <c r="B8" s="18">
        <v>304.18</v>
      </c>
      <c r="C8" s="18">
        <f t="shared" si="0"/>
        <v>-10.448799999999665</v>
      </c>
      <c r="D8" s="18">
        <f t="shared" si="1"/>
        <v>-37.25505000000004</v>
      </c>
      <c r="E8" s="18">
        <f t="shared" si="2"/>
        <v>389.27056643998793</v>
      </c>
      <c r="F8" s="18">
        <f t="shared" si="3"/>
        <v>109.177421439993</v>
      </c>
      <c r="G8" s="25" t="s">
        <v>142</v>
      </c>
      <c r="H8" s="26" t="s">
        <v>141</v>
      </c>
      <c r="J8" t="s">
        <v>119</v>
      </c>
      <c r="K8">
        <v>0.59840383683145382</v>
      </c>
    </row>
    <row r="9" spans="1:15" x14ac:dyDescent="0.35">
      <c r="A9" s="18">
        <v>1317.53</v>
      </c>
      <c r="B9" s="18">
        <v>312.91000000000003</v>
      </c>
      <c r="C9" s="18">
        <f t="shared" si="0"/>
        <v>341.44120000000032</v>
      </c>
      <c r="D9" s="18">
        <f t="shared" si="1"/>
        <v>-28.525050000000022</v>
      </c>
      <c r="E9" s="18">
        <f t="shared" si="2"/>
        <v>-9739.6273020600165</v>
      </c>
      <c r="F9" s="18">
        <f t="shared" si="3"/>
        <v>116582.09305744022</v>
      </c>
      <c r="G9" s="27">
        <v>2000</v>
      </c>
      <c r="H9" s="28">
        <f>$G$6*$G$9+$H$6</f>
        <v>700.68042590005393</v>
      </c>
      <c r="J9" t="s">
        <v>120</v>
      </c>
      <c r="K9">
        <v>0.59636527762755254</v>
      </c>
    </row>
    <row r="10" spans="1:15" x14ac:dyDescent="0.35">
      <c r="A10" s="18">
        <v>1074.47</v>
      </c>
      <c r="B10" s="18">
        <v>300.85000000000002</v>
      </c>
      <c r="C10" s="18">
        <f t="shared" si="0"/>
        <v>98.381200000000376</v>
      </c>
      <c r="D10" s="18">
        <f t="shared" si="1"/>
        <v>-40.585050000000024</v>
      </c>
      <c r="E10" s="18">
        <f t="shared" si="2"/>
        <v>-3992.8059210600177</v>
      </c>
      <c r="F10" s="18">
        <f t="shared" si="3"/>
        <v>9678.8605134400732</v>
      </c>
      <c r="J10" t="s">
        <v>121</v>
      </c>
      <c r="K10">
        <v>86.471707018508098</v>
      </c>
    </row>
    <row r="11" spans="1:15" ht="15" thickBot="1" x14ac:dyDescent="0.4">
      <c r="A11" s="18">
        <v>501.54</v>
      </c>
      <c r="B11" s="18">
        <v>190.59</v>
      </c>
      <c r="C11" s="18">
        <f t="shared" si="0"/>
        <v>-474.54879999999963</v>
      </c>
      <c r="D11" s="18">
        <f t="shared" si="1"/>
        <v>-150.84505000000004</v>
      </c>
      <c r="E11" s="18">
        <f t="shared" si="2"/>
        <v>71583.337463439966</v>
      </c>
      <c r="F11" s="18">
        <f t="shared" si="3"/>
        <v>225196.56358143964</v>
      </c>
      <c r="J11" s="19" t="s">
        <v>122</v>
      </c>
      <c r="K11" s="19">
        <v>199</v>
      </c>
    </row>
    <row r="12" spans="1:15" x14ac:dyDescent="0.35">
      <c r="A12" s="18">
        <v>737.31</v>
      </c>
      <c r="B12" s="18">
        <v>350.22</v>
      </c>
      <c r="C12" s="18">
        <f t="shared" si="0"/>
        <v>-238.77879999999971</v>
      </c>
      <c r="D12" s="18">
        <f t="shared" si="1"/>
        <v>8.7849499999999807</v>
      </c>
      <c r="E12" s="18">
        <f t="shared" si="2"/>
        <v>-2097.659819059993</v>
      </c>
      <c r="F12" s="18">
        <f t="shared" si="3"/>
        <v>57015.315329439858</v>
      </c>
    </row>
    <row r="13" spans="1:15" ht="15" thickBot="1" x14ac:dyDescent="0.4">
      <c r="A13" s="18">
        <v>1572.82</v>
      </c>
      <c r="B13" s="18">
        <v>672.38</v>
      </c>
      <c r="C13" s="18">
        <f t="shared" si="0"/>
        <v>596.73120000000029</v>
      </c>
      <c r="D13" s="18">
        <f t="shared" si="1"/>
        <v>330.94494999999995</v>
      </c>
      <c r="E13" s="18">
        <f t="shared" si="2"/>
        <v>197485.17714744006</v>
      </c>
      <c r="F13" s="18">
        <f t="shared" si="3"/>
        <v>356088.12505344034</v>
      </c>
      <c r="J13" t="s">
        <v>123</v>
      </c>
    </row>
    <row r="14" spans="1:15" x14ac:dyDescent="0.35">
      <c r="A14" s="18">
        <v>1343.13</v>
      </c>
      <c r="B14" s="18">
        <v>456.66</v>
      </c>
      <c r="C14" s="18">
        <f t="shared" si="0"/>
        <v>367.04120000000046</v>
      </c>
      <c r="D14" s="18">
        <f t="shared" si="1"/>
        <v>115.22494999999998</v>
      </c>
      <c r="E14" s="18">
        <f t="shared" si="2"/>
        <v>42292.303917940044</v>
      </c>
      <c r="F14" s="18">
        <f t="shared" si="3"/>
        <v>134719.24249744034</v>
      </c>
      <c r="J14" s="20"/>
      <c r="K14" s="20" t="s">
        <v>128</v>
      </c>
      <c r="L14" s="20" t="s">
        <v>129</v>
      </c>
      <c r="M14" s="20" t="s">
        <v>130</v>
      </c>
      <c r="N14" s="20" t="s">
        <v>131</v>
      </c>
      <c r="O14" s="20" t="s">
        <v>132</v>
      </c>
    </row>
    <row r="15" spans="1:15" x14ac:dyDescent="0.35">
      <c r="A15" s="18">
        <v>1191.58</v>
      </c>
      <c r="B15" s="18">
        <v>452.8</v>
      </c>
      <c r="C15" s="18">
        <f t="shared" si="0"/>
        <v>215.49120000000028</v>
      </c>
      <c r="D15" s="18">
        <f t="shared" si="1"/>
        <v>111.36494999999996</v>
      </c>
      <c r="E15" s="18">
        <f t="shared" si="2"/>
        <v>23998.166713440023</v>
      </c>
      <c r="F15" s="18">
        <f t="shared" si="3"/>
        <v>46436.457277440117</v>
      </c>
      <c r="J15" t="s">
        <v>124</v>
      </c>
      <c r="K15">
        <v>1</v>
      </c>
      <c r="L15">
        <v>2194922.0703649437</v>
      </c>
      <c r="M15">
        <v>2194922.0703649437</v>
      </c>
      <c r="N15">
        <v>293.54253518184368</v>
      </c>
      <c r="O15">
        <v>6.8782375878390769E-41</v>
      </c>
    </row>
    <row r="16" spans="1:15" x14ac:dyDescent="0.35">
      <c r="A16" s="18">
        <v>822.28</v>
      </c>
      <c r="B16" s="18">
        <v>273.41000000000003</v>
      </c>
      <c r="C16" s="18">
        <f t="shared" si="0"/>
        <v>-153.80879999999968</v>
      </c>
      <c r="D16" s="18">
        <f t="shared" si="1"/>
        <v>-68.025050000000022</v>
      </c>
      <c r="E16" s="18">
        <f t="shared" si="2"/>
        <v>10462.851310439981</v>
      </c>
      <c r="F16" s="18">
        <f t="shared" si="3"/>
        <v>23657.146957439902</v>
      </c>
      <c r="J16" t="s">
        <v>125</v>
      </c>
      <c r="K16">
        <v>197</v>
      </c>
      <c r="L16">
        <v>1473039.1545948565</v>
      </c>
      <c r="M16">
        <v>7477.3561146947031</v>
      </c>
    </row>
    <row r="17" spans="1:18" ht="15" thickBot="1" x14ac:dyDescent="0.4">
      <c r="A17" s="18">
        <v>521.66999999999996</v>
      </c>
      <c r="B17" s="18">
        <v>155.19999999999999</v>
      </c>
      <c r="C17" s="18">
        <f t="shared" si="0"/>
        <v>-454.41879999999969</v>
      </c>
      <c r="D17" s="18">
        <f t="shared" si="1"/>
        <v>-186.23505000000006</v>
      </c>
      <c r="E17" s="18">
        <f t="shared" si="2"/>
        <v>84628.707938939973</v>
      </c>
      <c r="F17" s="18">
        <f t="shared" si="3"/>
        <v>206496.44579343972</v>
      </c>
      <c r="J17" s="19" t="s">
        <v>126</v>
      </c>
      <c r="K17" s="19">
        <v>198</v>
      </c>
      <c r="L17" s="19">
        <v>3667961.2249598</v>
      </c>
      <c r="M17" s="19"/>
      <c r="N17" s="19"/>
      <c r="O17" s="19"/>
    </row>
    <row r="18" spans="1:18" ht="15" thickBot="1" x14ac:dyDescent="0.4">
      <c r="A18" s="18">
        <v>1502.93</v>
      </c>
      <c r="B18" s="18">
        <v>300.58999999999997</v>
      </c>
      <c r="C18" s="18">
        <f t="shared" si="0"/>
        <v>526.84120000000041</v>
      </c>
      <c r="D18" s="18">
        <f t="shared" si="1"/>
        <v>-40.845050000000072</v>
      </c>
      <c r="E18" s="18">
        <f t="shared" si="2"/>
        <v>-21518.855156060054</v>
      </c>
      <c r="F18" s="18">
        <f t="shared" si="3"/>
        <v>277561.65001744044</v>
      </c>
    </row>
    <row r="19" spans="1:18" x14ac:dyDescent="0.35">
      <c r="A19" s="18">
        <v>877.58</v>
      </c>
      <c r="B19" s="18">
        <v>298.38</v>
      </c>
      <c r="C19" s="18">
        <f t="shared" si="0"/>
        <v>-98.50879999999961</v>
      </c>
      <c r="D19" s="18">
        <f t="shared" si="1"/>
        <v>-43.055050000000051</v>
      </c>
      <c r="E19" s="18">
        <f t="shared" si="2"/>
        <v>4241.3013094399885</v>
      </c>
      <c r="F19" s="18">
        <f t="shared" si="3"/>
        <v>9703.9836774399228</v>
      </c>
      <c r="J19" s="20"/>
      <c r="K19" s="20" t="s">
        <v>133</v>
      </c>
      <c r="L19" s="20" t="s">
        <v>121</v>
      </c>
      <c r="M19" s="20" t="s">
        <v>134</v>
      </c>
      <c r="N19" s="20" t="s">
        <v>135</v>
      </c>
      <c r="O19" s="20" t="s">
        <v>136</v>
      </c>
      <c r="P19" s="20" t="s">
        <v>137</v>
      </c>
      <c r="Q19" s="20" t="s">
        <v>138</v>
      </c>
      <c r="R19" s="20" t="s">
        <v>139</v>
      </c>
    </row>
    <row r="20" spans="1:18" x14ac:dyDescent="0.35">
      <c r="A20" s="18">
        <v>636.70000000000005</v>
      </c>
      <c r="B20" s="18">
        <v>203.74</v>
      </c>
      <c r="C20" s="18">
        <f t="shared" si="0"/>
        <v>-339.38879999999961</v>
      </c>
      <c r="D20" s="18">
        <f t="shared" si="1"/>
        <v>-137.69505000000004</v>
      </c>
      <c r="E20" s="18">
        <f t="shared" si="2"/>
        <v>46732.157785439958</v>
      </c>
      <c r="F20" s="18">
        <f t="shared" si="3"/>
        <v>115184.75756543974</v>
      </c>
      <c r="J20" t="s">
        <v>127</v>
      </c>
      <c r="K20">
        <v>-0.97824544662927337</v>
      </c>
      <c r="L20">
        <v>20.907197536053534</v>
      </c>
      <c r="M20">
        <v>-4.6789888742493228E-2</v>
      </c>
      <c r="N20">
        <v>0.96272808608450733</v>
      </c>
      <c r="O20">
        <v>-42.208891362546005</v>
      </c>
      <c r="P20">
        <v>40.252400469287458</v>
      </c>
      <c r="Q20">
        <v>-42.208891362546005</v>
      </c>
      <c r="R20">
        <v>40.252400469287458</v>
      </c>
    </row>
    <row r="21" spans="1:18" ht="15" thickBot="1" x14ac:dyDescent="0.4">
      <c r="A21" s="18">
        <v>1506.14</v>
      </c>
      <c r="B21" s="18">
        <v>481.96</v>
      </c>
      <c r="C21" s="18">
        <f t="shared" si="0"/>
        <v>530.05120000000045</v>
      </c>
      <c r="D21" s="18">
        <f t="shared" si="1"/>
        <v>140.52494999999993</v>
      </c>
      <c r="E21" s="18">
        <f t="shared" si="2"/>
        <v>74485.41837744003</v>
      </c>
      <c r="F21" s="18">
        <f t="shared" si="3"/>
        <v>280954.27462144051</v>
      </c>
      <c r="J21" s="19">
        <v>1036.0899999999999</v>
      </c>
      <c r="K21" s="19">
        <v>0.35096067947030868</v>
      </c>
      <c r="L21" s="19">
        <v>2.0484385572447462E-2</v>
      </c>
      <c r="M21" s="19">
        <v>17.133083061196064</v>
      </c>
      <c r="N21" s="19">
        <v>6.8782375878393705E-41</v>
      </c>
      <c r="O21" s="19">
        <v>0.31056385216305021</v>
      </c>
      <c r="P21" s="19">
        <v>0.39135750677756714</v>
      </c>
      <c r="Q21" s="19">
        <v>0.31056385216305021</v>
      </c>
      <c r="R21" s="19">
        <v>0.39135750677756714</v>
      </c>
    </row>
    <row r="22" spans="1:18" x14ac:dyDescent="0.35">
      <c r="A22" s="18">
        <v>645.02</v>
      </c>
      <c r="B22" s="18">
        <v>161.26</v>
      </c>
      <c r="C22" s="18">
        <f t="shared" si="0"/>
        <v>-331.06879999999967</v>
      </c>
      <c r="D22" s="18">
        <f t="shared" si="1"/>
        <v>-180.17505000000006</v>
      </c>
      <c r="E22" s="18">
        <f t="shared" si="2"/>
        <v>59650.337593439959</v>
      </c>
      <c r="F22" s="18">
        <f t="shared" si="3"/>
        <v>109606.55033343978</v>
      </c>
    </row>
    <row r="23" spans="1:18" x14ac:dyDescent="0.35">
      <c r="A23" s="18">
        <v>953.3</v>
      </c>
      <c r="B23" s="18">
        <v>476.65</v>
      </c>
      <c r="C23" s="18">
        <f t="shared" si="0"/>
        <v>-22.788799999999696</v>
      </c>
      <c r="D23" s="18">
        <f t="shared" si="1"/>
        <v>135.21494999999993</v>
      </c>
      <c r="E23" s="18">
        <f t="shared" si="2"/>
        <v>-3081.3864525599574</v>
      </c>
      <c r="F23" s="18">
        <f t="shared" si="3"/>
        <v>519.3294054399862</v>
      </c>
    </row>
    <row r="24" spans="1:18" x14ac:dyDescent="0.35">
      <c r="A24" s="18">
        <v>388.56</v>
      </c>
      <c r="B24" s="18">
        <v>82.57</v>
      </c>
      <c r="C24" s="18">
        <f t="shared" si="0"/>
        <v>-587.52879999999959</v>
      </c>
      <c r="D24" s="18">
        <f t="shared" si="1"/>
        <v>-258.86505000000005</v>
      </c>
      <c r="E24" s="18">
        <f t="shared" si="2"/>
        <v>152090.67218843993</v>
      </c>
      <c r="F24" s="18">
        <f t="shared" si="3"/>
        <v>345190.09082943952</v>
      </c>
    </row>
    <row r="25" spans="1:18" x14ac:dyDescent="0.35">
      <c r="A25" s="18">
        <v>743.17</v>
      </c>
      <c r="B25" s="18">
        <v>297.27</v>
      </c>
      <c r="C25" s="18">
        <f t="shared" si="0"/>
        <v>-232.91879999999969</v>
      </c>
      <c r="D25" s="18">
        <f t="shared" si="1"/>
        <v>-44.165050000000065</v>
      </c>
      <c r="E25" s="18">
        <f t="shared" si="2"/>
        <v>10286.870447940002</v>
      </c>
      <c r="F25" s="18">
        <f t="shared" si="3"/>
        <v>54251.167393439857</v>
      </c>
    </row>
    <row r="26" spans="1:18" x14ac:dyDescent="0.35">
      <c r="A26" s="18">
        <v>706.37</v>
      </c>
      <c r="B26" s="18">
        <v>176.59</v>
      </c>
      <c r="C26" s="18">
        <f t="shared" si="0"/>
        <v>-269.71879999999965</v>
      </c>
      <c r="D26" s="18">
        <f t="shared" si="1"/>
        <v>-164.84505000000004</v>
      </c>
      <c r="E26" s="18">
        <f t="shared" si="2"/>
        <v>44461.809071939955</v>
      </c>
      <c r="F26" s="18">
        <f t="shared" si="3"/>
        <v>72748.231073439805</v>
      </c>
    </row>
    <row r="27" spans="1:18" x14ac:dyDescent="0.35">
      <c r="A27" s="18">
        <v>925.31</v>
      </c>
      <c r="B27" s="18">
        <v>374.75</v>
      </c>
      <c r="C27" s="18">
        <f t="shared" si="0"/>
        <v>-50.778799999999706</v>
      </c>
      <c r="D27" s="18">
        <f t="shared" si="1"/>
        <v>33.314949999999953</v>
      </c>
      <c r="E27" s="18">
        <f t="shared" si="2"/>
        <v>-1691.6931830599879</v>
      </c>
      <c r="F27" s="18">
        <f t="shared" si="3"/>
        <v>2578.4865294399701</v>
      </c>
    </row>
    <row r="28" spans="1:18" x14ac:dyDescent="0.35">
      <c r="A28" s="18">
        <v>1173.1199999999999</v>
      </c>
      <c r="B28" s="18">
        <v>293.27999999999997</v>
      </c>
      <c r="C28" s="18">
        <f t="shared" si="0"/>
        <v>197.03120000000024</v>
      </c>
      <c r="D28" s="18">
        <f t="shared" si="1"/>
        <v>-48.155050000000074</v>
      </c>
      <c r="E28" s="18">
        <f t="shared" si="2"/>
        <v>-9488.0472875600262</v>
      </c>
      <c r="F28" s="18">
        <f t="shared" si="3"/>
        <v>38821.293773440091</v>
      </c>
    </row>
    <row r="29" spans="1:18" x14ac:dyDescent="0.35">
      <c r="A29" s="18">
        <v>675.54</v>
      </c>
      <c r="B29" s="18">
        <v>236.44</v>
      </c>
      <c r="C29" s="18">
        <f t="shared" si="0"/>
        <v>-300.54879999999969</v>
      </c>
      <c r="D29" s="18">
        <f t="shared" si="1"/>
        <v>-104.99505000000005</v>
      </c>
      <c r="E29" s="18">
        <f t="shared" si="2"/>
        <v>31556.136283439981</v>
      </c>
      <c r="F29" s="18">
        <f t="shared" si="3"/>
        <v>90329.581181439818</v>
      </c>
    </row>
    <row r="30" spans="1:18" x14ac:dyDescent="0.35">
      <c r="A30" s="18">
        <v>939.09</v>
      </c>
      <c r="B30" s="18">
        <v>356.85</v>
      </c>
      <c r="C30" s="18">
        <f t="shared" si="0"/>
        <v>-36.998799999999619</v>
      </c>
      <c r="D30" s="18">
        <f t="shared" si="1"/>
        <v>15.414949999999976</v>
      </c>
      <c r="E30" s="18">
        <f t="shared" si="2"/>
        <v>-570.33465205999323</v>
      </c>
      <c r="F30" s="18">
        <f t="shared" si="3"/>
        <v>1368.9112014399718</v>
      </c>
    </row>
    <row r="31" spans="1:18" x14ac:dyDescent="0.35">
      <c r="A31" s="18">
        <v>983.34</v>
      </c>
      <c r="B31" s="18">
        <v>398.25</v>
      </c>
      <c r="C31" s="18">
        <f t="shared" si="0"/>
        <v>7.2512000000003809</v>
      </c>
      <c r="D31" s="18">
        <f t="shared" si="1"/>
        <v>56.814949999999953</v>
      </c>
      <c r="E31" s="18">
        <f t="shared" si="2"/>
        <v>411.97656544002132</v>
      </c>
      <c r="F31" s="18">
        <f t="shared" si="3"/>
        <v>52.579901440005521</v>
      </c>
    </row>
    <row r="32" spans="1:18" x14ac:dyDescent="0.35">
      <c r="A32" s="18">
        <v>801.21</v>
      </c>
      <c r="B32" s="18">
        <v>160.24</v>
      </c>
      <c r="C32" s="18">
        <f t="shared" si="0"/>
        <v>-174.87879999999961</v>
      </c>
      <c r="D32" s="18">
        <f t="shared" si="1"/>
        <v>-181.19505000000004</v>
      </c>
      <c r="E32" s="18">
        <f t="shared" si="2"/>
        <v>31687.172909939938</v>
      </c>
      <c r="F32" s="18">
        <f t="shared" si="3"/>
        <v>30582.594689439866</v>
      </c>
    </row>
    <row r="33" spans="1:6" x14ac:dyDescent="0.35">
      <c r="A33" s="18">
        <v>1450.71</v>
      </c>
      <c r="B33" s="18">
        <v>326.41000000000003</v>
      </c>
      <c r="C33" s="18">
        <f t="shared" si="0"/>
        <v>474.62120000000039</v>
      </c>
      <c r="D33" s="18">
        <f t="shared" si="1"/>
        <v>-15.025050000000022</v>
      </c>
      <c r="E33" s="18">
        <f t="shared" si="2"/>
        <v>-7131.2072610600162</v>
      </c>
      <c r="F33" s="18">
        <f t="shared" si="3"/>
        <v>225265.28348944036</v>
      </c>
    </row>
    <row r="34" spans="1:6" x14ac:dyDescent="0.35">
      <c r="A34" s="18">
        <v>1023.21</v>
      </c>
      <c r="B34" s="18">
        <v>388.82</v>
      </c>
      <c r="C34" s="18">
        <f t="shared" si="0"/>
        <v>47.121200000000385</v>
      </c>
      <c r="D34" s="18">
        <f t="shared" si="1"/>
        <v>47.384949999999947</v>
      </c>
      <c r="E34" s="18">
        <f t="shared" si="2"/>
        <v>2232.8357059400159</v>
      </c>
      <c r="F34" s="18">
        <f t="shared" si="3"/>
        <v>2220.4074894400364</v>
      </c>
    </row>
    <row r="35" spans="1:6" x14ac:dyDescent="0.35">
      <c r="A35" s="18">
        <v>853.72</v>
      </c>
      <c r="B35" s="18">
        <v>253.98</v>
      </c>
      <c r="C35" s="18">
        <f t="shared" si="0"/>
        <v>-122.36879999999962</v>
      </c>
      <c r="D35" s="18">
        <f t="shared" si="1"/>
        <v>-87.455050000000057</v>
      </c>
      <c r="E35" s="18">
        <f t="shared" si="2"/>
        <v>10701.769522439974</v>
      </c>
      <c r="F35" s="18">
        <f t="shared" si="3"/>
        <v>14974.123213439909</v>
      </c>
    </row>
    <row r="36" spans="1:6" x14ac:dyDescent="0.35">
      <c r="A36" s="18">
        <v>967.89</v>
      </c>
      <c r="B36" s="18">
        <v>217.78</v>
      </c>
      <c r="C36" s="18">
        <f t="shared" si="0"/>
        <v>-8.1987999999996646</v>
      </c>
      <c r="D36" s="18">
        <f t="shared" si="1"/>
        <v>-123.65505000000005</v>
      </c>
      <c r="E36" s="18">
        <f t="shared" si="2"/>
        <v>1013.8230239399589</v>
      </c>
      <c r="F36" s="18">
        <f t="shared" si="3"/>
        <v>67.220321439994507</v>
      </c>
    </row>
    <row r="37" spans="1:6" x14ac:dyDescent="0.35">
      <c r="A37" s="18">
        <v>1200.9000000000001</v>
      </c>
      <c r="B37" s="18">
        <v>513.38</v>
      </c>
      <c r="C37" s="18">
        <f t="shared" si="0"/>
        <v>224.81120000000044</v>
      </c>
      <c r="D37" s="18">
        <f t="shared" si="1"/>
        <v>171.94494999999995</v>
      </c>
      <c r="E37" s="18">
        <f t="shared" si="2"/>
        <v>38655.150543440061</v>
      </c>
      <c r="F37" s="18">
        <f t="shared" si="3"/>
        <v>50540.0756454402</v>
      </c>
    </row>
    <row r="38" spans="1:6" x14ac:dyDescent="0.35">
      <c r="A38" s="18">
        <v>472.38</v>
      </c>
      <c r="B38" s="18">
        <v>151.16</v>
      </c>
      <c r="C38" s="18">
        <f t="shared" si="0"/>
        <v>-503.70879999999966</v>
      </c>
      <c r="D38" s="18">
        <f t="shared" si="1"/>
        <v>-190.27505000000005</v>
      </c>
      <c r="E38" s="18">
        <f t="shared" si="2"/>
        <v>95843.217105439966</v>
      </c>
      <c r="F38" s="18">
        <f t="shared" si="3"/>
        <v>253722.55519743965</v>
      </c>
    </row>
    <row r="39" spans="1:6" x14ac:dyDescent="0.35">
      <c r="A39" s="18">
        <v>840.92</v>
      </c>
      <c r="B39" s="18">
        <v>359.49</v>
      </c>
      <c r="C39" s="18">
        <f t="shared" si="0"/>
        <v>-135.16879999999969</v>
      </c>
      <c r="D39" s="18">
        <f t="shared" si="1"/>
        <v>18.054949999999963</v>
      </c>
      <c r="E39" s="18">
        <f t="shared" si="2"/>
        <v>-2440.4659255599895</v>
      </c>
      <c r="F39" s="18">
        <f t="shared" si="3"/>
        <v>18270.604493439918</v>
      </c>
    </row>
    <row r="40" spans="1:6" x14ac:dyDescent="0.35">
      <c r="A40" s="18">
        <v>1410.06</v>
      </c>
      <c r="B40" s="18">
        <v>468.84</v>
      </c>
      <c r="C40" s="18">
        <f t="shared" si="0"/>
        <v>433.97120000000029</v>
      </c>
      <c r="D40" s="18">
        <f t="shared" si="1"/>
        <v>127.40494999999993</v>
      </c>
      <c r="E40" s="18">
        <f t="shared" si="2"/>
        <v>55290.079037440009</v>
      </c>
      <c r="F40" s="18">
        <f t="shared" si="3"/>
        <v>188331.00242944027</v>
      </c>
    </row>
    <row r="41" spans="1:6" x14ac:dyDescent="0.35">
      <c r="A41" s="18">
        <v>773.09</v>
      </c>
      <c r="B41" s="18">
        <v>229.99</v>
      </c>
      <c r="C41" s="18">
        <f t="shared" si="0"/>
        <v>-202.99879999999962</v>
      </c>
      <c r="D41" s="18">
        <f t="shared" si="1"/>
        <v>-111.44505000000004</v>
      </c>
      <c r="E41" s="18">
        <f t="shared" si="2"/>
        <v>22623.211415939964</v>
      </c>
      <c r="F41" s="18">
        <f t="shared" si="3"/>
        <v>41208.512801439843</v>
      </c>
    </row>
    <row r="42" spans="1:6" x14ac:dyDescent="0.35">
      <c r="A42" s="18">
        <v>580.42999999999995</v>
      </c>
      <c r="B42" s="18">
        <v>197.35</v>
      </c>
      <c r="C42" s="18">
        <f t="shared" si="0"/>
        <v>-395.6587999999997</v>
      </c>
      <c r="D42" s="18">
        <f t="shared" si="1"/>
        <v>-144.08505000000005</v>
      </c>
      <c r="E42" s="18">
        <f t="shared" si="2"/>
        <v>57008.517980939978</v>
      </c>
      <c r="F42" s="18">
        <f t="shared" si="3"/>
        <v>156545.88601743977</v>
      </c>
    </row>
    <row r="43" spans="1:6" x14ac:dyDescent="0.35">
      <c r="A43" s="18">
        <v>1151.21</v>
      </c>
      <c r="B43" s="18">
        <v>414.44</v>
      </c>
      <c r="C43" s="18">
        <f t="shared" si="0"/>
        <v>175.12120000000039</v>
      </c>
      <c r="D43" s="18">
        <f t="shared" si="1"/>
        <v>73.004949999999951</v>
      </c>
      <c r="E43" s="18">
        <f t="shared" si="2"/>
        <v>12784.71444994002</v>
      </c>
      <c r="F43" s="18">
        <f t="shared" si="3"/>
        <v>30667.434689440135</v>
      </c>
    </row>
    <row r="44" spans="1:6" x14ac:dyDescent="0.35">
      <c r="A44" s="18">
        <v>1025.98</v>
      </c>
      <c r="B44" s="18">
        <v>369.35</v>
      </c>
      <c r="C44" s="18">
        <f t="shared" si="0"/>
        <v>49.891200000000367</v>
      </c>
      <c r="D44" s="18">
        <f t="shared" si="1"/>
        <v>27.914949999999976</v>
      </c>
      <c r="E44" s="18">
        <f t="shared" si="2"/>
        <v>1392.7103534400092</v>
      </c>
      <c r="F44" s="18">
        <f t="shared" si="3"/>
        <v>2489.1318374400366</v>
      </c>
    </row>
    <row r="45" spans="1:6" x14ac:dyDescent="0.35">
      <c r="A45" s="18">
        <v>556.41999999999996</v>
      </c>
      <c r="B45" s="18">
        <v>212.83</v>
      </c>
      <c r="C45" s="18">
        <f t="shared" si="0"/>
        <v>-419.66879999999969</v>
      </c>
      <c r="D45" s="18">
        <f t="shared" si="1"/>
        <v>-128.60505000000003</v>
      </c>
      <c r="E45" s="18">
        <f t="shared" si="2"/>
        <v>53971.527007439974</v>
      </c>
      <c r="F45" s="18">
        <f t="shared" si="3"/>
        <v>176121.90169343975</v>
      </c>
    </row>
    <row r="46" spans="1:6" x14ac:dyDescent="0.35">
      <c r="A46" s="18">
        <v>840.85</v>
      </c>
      <c r="B46" s="18">
        <v>302.70999999999998</v>
      </c>
      <c r="C46" s="18">
        <f t="shared" si="0"/>
        <v>-135.23879999999963</v>
      </c>
      <c r="D46" s="18">
        <f t="shared" si="1"/>
        <v>-38.725050000000067</v>
      </c>
      <c r="E46" s="18">
        <f t="shared" si="2"/>
        <v>5237.1292919399948</v>
      </c>
      <c r="F46" s="18">
        <f t="shared" si="3"/>
        <v>18289.533025439898</v>
      </c>
    </row>
    <row r="47" spans="1:6" x14ac:dyDescent="0.35">
      <c r="A47" s="18">
        <v>1227.25</v>
      </c>
      <c r="B47" s="18">
        <v>365.11</v>
      </c>
      <c r="C47" s="18">
        <f t="shared" si="0"/>
        <v>251.16120000000035</v>
      </c>
      <c r="D47" s="18">
        <f t="shared" si="1"/>
        <v>23.674949999999967</v>
      </c>
      <c r="E47" s="18">
        <f t="shared" si="2"/>
        <v>5946.2288519399999</v>
      </c>
      <c r="F47" s="18">
        <f t="shared" si="3"/>
        <v>63081.948385440177</v>
      </c>
    </row>
    <row r="48" spans="1:6" x14ac:dyDescent="0.35">
      <c r="A48" s="18">
        <v>856.7</v>
      </c>
      <c r="B48" s="18">
        <v>214.18</v>
      </c>
      <c r="C48" s="18">
        <f t="shared" si="0"/>
        <v>-119.38879999999961</v>
      </c>
      <c r="D48" s="18">
        <f t="shared" si="1"/>
        <v>-127.25505000000004</v>
      </c>
      <c r="E48" s="18">
        <f t="shared" si="2"/>
        <v>15192.827713439954</v>
      </c>
      <c r="F48" s="18">
        <f t="shared" si="3"/>
        <v>14253.685565439906</v>
      </c>
    </row>
    <row r="49" spans="1:6" x14ac:dyDescent="0.35">
      <c r="A49" s="18">
        <v>1225.42</v>
      </c>
      <c r="B49" s="18">
        <v>468.72</v>
      </c>
      <c r="C49" s="18">
        <f t="shared" si="0"/>
        <v>249.33120000000042</v>
      </c>
      <c r="D49" s="18">
        <f t="shared" si="1"/>
        <v>127.28494999999998</v>
      </c>
      <c r="E49" s="18">
        <f t="shared" si="2"/>
        <v>31736.109325440048</v>
      </c>
      <c r="F49" s="18">
        <f t="shared" si="3"/>
        <v>62166.047293440213</v>
      </c>
    </row>
    <row r="50" spans="1:6" x14ac:dyDescent="0.35">
      <c r="A50" s="18">
        <v>1001.57</v>
      </c>
      <c r="B50" s="18">
        <v>450.71</v>
      </c>
      <c r="C50" s="18">
        <f t="shared" si="0"/>
        <v>25.481200000000399</v>
      </c>
      <c r="D50" s="18">
        <f t="shared" si="1"/>
        <v>109.27494999999993</v>
      </c>
      <c r="E50" s="18">
        <f t="shared" si="2"/>
        <v>2784.4568559400418</v>
      </c>
      <c r="F50" s="18">
        <f t="shared" si="3"/>
        <v>649.29155344002038</v>
      </c>
    </row>
    <row r="51" spans="1:6" x14ac:dyDescent="0.35">
      <c r="A51" s="18">
        <v>1186.8499999999999</v>
      </c>
      <c r="B51" s="18">
        <v>332.32</v>
      </c>
      <c r="C51" s="18">
        <f t="shared" si="0"/>
        <v>210.76120000000026</v>
      </c>
      <c r="D51" s="18">
        <f t="shared" si="1"/>
        <v>-9.1150500000000534</v>
      </c>
      <c r="E51" s="18">
        <f t="shared" si="2"/>
        <v>-1921.0988760600137</v>
      </c>
      <c r="F51" s="18">
        <f t="shared" si="3"/>
        <v>44420.28342544011</v>
      </c>
    </row>
    <row r="52" spans="1:6" x14ac:dyDescent="0.35">
      <c r="A52" s="18">
        <v>775.45</v>
      </c>
      <c r="B52" s="18">
        <v>174.48</v>
      </c>
      <c r="C52" s="18">
        <f t="shared" si="0"/>
        <v>-200.63879999999961</v>
      </c>
      <c r="D52" s="18">
        <f t="shared" si="1"/>
        <v>-166.95505000000006</v>
      </c>
      <c r="E52" s="18">
        <f t="shared" si="2"/>
        <v>33497.660885939942</v>
      </c>
      <c r="F52" s="18">
        <f t="shared" si="3"/>
        <v>40255.928065439839</v>
      </c>
    </row>
    <row r="53" spans="1:6" x14ac:dyDescent="0.35">
      <c r="A53" s="18">
        <v>1021.47</v>
      </c>
      <c r="B53" s="18">
        <v>242.6</v>
      </c>
      <c r="C53" s="18">
        <f t="shared" si="0"/>
        <v>45.381200000000376</v>
      </c>
      <c r="D53" s="18">
        <f t="shared" si="1"/>
        <v>-98.835050000000052</v>
      </c>
      <c r="E53" s="18">
        <f t="shared" si="2"/>
        <v>-4485.2531710600397</v>
      </c>
      <c r="F53" s="18">
        <f t="shared" si="3"/>
        <v>2059.453313440034</v>
      </c>
    </row>
    <row r="54" spans="1:6" x14ac:dyDescent="0.35">
      <c r="A54" s="18">
        <v>1226.6199999999999</v>
      </c>
      <c r="B54" s="18">
        <v>551.98</v>
      </c>
      <c r="C54" s="18">
        <f t="shared" si="0"/>
        <v>250.53120000000024</v>
      </c>
      <c r="D54" s="18">
        <f t="shared" si="1"/>
        <v>210.54494999999997</v>
      </c>
      <c r="E54" s="18">
        <f t="shared" si="2"/>
        <v>52748.07897744004</v>
      </c>
      <c r="F54" s="18">
        <f t="shared" si="3"/>
        <v>62765.882173440121</v>
      </c>
    </row>
    <row r="55" spans="1:6" x14ac:dyDescent="0.35">
      <c r="A55" s="18">
        <v>1086.93</v>
      </c>
      <c r="B55" s="18">
        <v>380.43</v>
      </c>
      <c r="C55" s="18">
        <f t="shared" si="0"/>
        <v>110.84120000000041</v>
      </c>
      <c r="D55" s="18">
        <f t="shared" si="1"/>
        <v>38.99494999999996</v>
      </c>
      <c r="E55" s="18">
        <f t="shared" si="2"/>
        <v>4322.2470519400113</v>
      </c>
      <c r="F55" s="18">
        <f t="shared" si="3"/>
        <v>12285.771617440092</v>
      </c>
    </row>
    <row r="56" spans="1:6" x14ac:dyDescent="0.35">
      <c r="A56" s="18">
        <v>942.9</v>
      </c>
      <c r="B56" s="18">
        <v>339.44</v>
      </c>
      <c r="C56" s="18">
        <f t="shared" si="0"/>
        <v>-33.188799999999674</v>
      </c>
      <c r="D56" s="18">
        <f t="shared" si="1"/>
        <v>-1.9950500000000488</v>
      </c>
      <c r="E56" s="18">
        <f t="shared" si="2"/>
        <v>66.213315440000969</v>
      </c>
      <c r="F56" s="18">
        <f t="shared" si="3"/>
        <v>1101.4964454399783</v>
      </c>
    </row>
    <row r="57" spans="1:6" x14ac:dyDescent="0.35">
      <c r="A57" s="18">
        <v>818.8</v>
      </c>
      <c r="B57" s="18">
        <v>173.99</v>
      </c>
      <c r="C57" s="18">
        <f t="shared" si="0"/>
        <v>-157.2887999999997</v>
      </c>
      <c r="D57" s="18">
        <f t="shared" si="1"/>
        <v>-167.44505000000004</v>
      </c>
      <c r="E57" s="18">
        <f t="shared" si="2"/>
        <v>26337.230980439956</v>
      </c>
      <c r="F57" s="18">
        <f t="shared" si="3"/>
        <v>24739.766605439905</v>
      </c>
    </row>
    <row r="58" spans="1:6" x14ac:dyDescent="0.35">
      <c r="A58" s="18">
        <v>919.04</v>
      </c>
      <c r="B58" s="18">
        <v>257.33</v>
      </c>
      <c r="C58" s="18">
        <f t="shared" si="0"/>
        <v>-57.048799999999687</v>
      </c>
      <c r="D58" s="18">
        <f t="shared" si="1"/>
        <v>-84.105050000000062</v>
      </c>
      <c r="E58" s="18">
        <f t="shared" si="2"/>
        <v>4798.0921764399773</v>
      </c>
      <c r="F58" s="18">
        <f t="shared" si="3"/>
        <v>3254.5655814399643</v>
      </c>
    </row>
    <row r="59" spans="1:6" x14ac:dyDescent="0.35">
      <c r="A59" s="18">
        <v>973.26</v>
      </c>
      <c r="B59" s="18">
        <v>389.3</v>
      </c>
      <c r="C59" s="18">
        <f t="shared" si="0"/>
        <v>-2.82879999999966</v>
      </c>
      <c r="D59" s="18">
        <f t="shared" si="1"/>
        <v>47.864949999999965</v>
      </c>
      <c r="E59" s="18">
        <f t="shared" si="2"/>
        <v>-135.40037055998363</v>
      </c>
      <c r="F59" s="18">
        <f t="shared" si="3"/>
        <v>8.0021094399980761</v>
      </c>
    </row>
    <row r="60" spans="1:6" x14ac:dyDescent="0.35">
      <c r="A60" s="18">
        <v>741.61</v>
      </c>
      <c r="B60" s="18">
        <v>148.32</v>
      </c>
      <c r="C60" s="18">
        <f t="shared" si="0"/>
        <v>-234.47879999999964</v>
      </c>
      <c r="D60" s="18">
        <f t="shared" si="1"/>
        <v>-193.11505000000005</v>
      </c>
      <c r="E60" s="18">
        <f t="shared" si="2"/>
        <v>45281.385185939944</v>
      </c>
      <c r="F60" s="18">
        <f t="shared" si="3"/>
        <v>54980.307649439826</v>
      </c>
    </row>
    <row r="61" spans="1:6" x14ac:dyDescent="0.35">
      <c r="A61" s="18">
        <v>1248.82</v>
      </c>
      <c r="B61" s="18">
        <v>449.58</v>
      </c>
      <c r="C61" s="18">
        <f t="shared" si="0"/>
        <v>272.73120000000029</v>
      </c>
      <c r="D61" s="18">
        <f t="shared" si="1"/>
        <v>108.14494999999994</v>
      </c>
      <c r="E61" s="18">
        <f t="shared" si="2"/>
        <v>29494.501987440013</v>
      </c>
      <c r="F61" s="18">
        <f t="shared" si="3"/>
        <v>74382.307453440153</v>
      </c>
    </row>
    <row r="62" spans="1:6" x14ac:dyDescent="0.35">
      <c r="A62" s="18">
        <v>1360.36</v>
      </c>
      <c r="B62" s="18">
        <v>680.18</v>
      </c>
      <c r="C62" s="18">
        <f t="shared" si="0"/>
        <v>384.27120000000025</v>
      </c>
      <c r="D62" s="18">
        <f t="shared" si="1"/>
        <v>338.7449499999999</v>
      </c>
      <c r="E62" s="18">
        <f t="shared" si="2"/>
        <v>130169.92843044005</v>
      </c>
      <c r="F62" s="18">
        <f t="shared" si="3"/>
        <v>147664.35514944021</v>
      </c>
    </row>
    <row r="63" spans="1:6" x14ac:dyDescent="0.35">
      <c r="A63" s="18">
        <v>1383.3</v>
      </c>
      <c r="B63" s="18">
        <v>497.99</v>
      </c>
      <c r="C63" s="18">
        <f t="shared" si="0"/>
        <v>407.2112000000003</v>
      </c>
      <c r="D63" s="18">
        <f t="shared" si="1"/>
        <v>156.55494999999996</v>
      </c>
      <c r="E63" s="18">
        <f t="shared" si="2"/>
        <v>63750.929055440036</v>
      </c>
      <c r="F63" s="18">
        <f t="shared" si="3"/>
        <v>165820.96140544023</v>
      </c>
    </row>
    <row r="64" spans="1:6" x14ac:dyDescent="0.35">
      <c r="A64" s="18">
        <v>488.99</v>
      </c>
      <c r="B64" s="18">
        <v>220.05</v>
      </c>
      <c r="C64" s="18">
        <f t="shared" si="0"/>
        <v>-487.09879999999964</v>
      </c>
      <c r="D64" s="18">
        <f t="shared" si="1"/>
        <v>-121.38505000000004</v>
      </c>
      <c r="E64" s="18">
        <f t="shared" si="2"/>
        <v>59126.512192939976</v>
      </c>
      <c r="F64" s="18">
        <f t="shared" si="3"/>
        <v>237265.24096143965</v>
      </c>
    </row>
    <row r="65" spans="1:6" x14ac:dyDescent="0.35">
      <c r="A65" s="18">
        <v>933.71</v>
      </c>
      <c r="B65" s="18">
        <v>294.12</v>
      </c>
      <c r="C65" s="18">
        <f t="shared" si="0"/>
        <v>-42.378799999999615</v>
      </c>
      <c r="D65" s="18">
        <f t="shared" si="1"/>
        <v>-47.315050000000042</v>
      </c>
      <c r="E65" s="18">
        <f t="shared" si="2"/>
        <v>2005.1550409399836</v>
      </c>
      <c r="F65" s="18">
        <f t="shared" si="3"/>
        <v>1795.9626894399673</v>
      </c>
    </row>
    <row r="66" spans="1:6" x14ac:dyDescent="0.35">
      <c r="A66" s="18">
        <v>1005.53</v>
      </c>
      <c r="B66" s="18">
        <v>201.11</v>
      </c>
      <c r="C66" s="18">
        <f t="shared" si="0"/>
        <v>29.441200000000322</v>
      </c>
      <c r="D66" s="18">
        <f t="shared" si="1"/>
        <v>-140.32505000000003</v>
      </c>
      <c r="E66" s="18">
        <f t="shared" si="2"/>
        <v>-4131.3378620600461</v>
      </c>
      <c r="F66" s="18">
        <f t="shared" si="3"/>
        <v>866.78425744001891</v>
      </c>
    </row>
    <row r="67" spans="1:6" x14ac:dyDescent="0.35">
      <c r="A67" s="18">
        <v>1100.0999999999999</v>
      </c>
      <c r="B67" s="18">
        <v>261.27</v>
      </c>
      <c r="C67" s="18">
        <f t="shared" si="0"/>
        <v>124.01120000000026</v>
      </c>
      <c r="D67" s="18">
        <f t="shared" si="1"/>
        <v>-80.165050000000065</v>
      </c>
      <c r="E67" s="18">
        <f t="shared" si="2"/>
        <v>-9941.3640485600281</v>
      </c>
      <c r="F67" s="18">
        <f t="shared" si="3"/>
        <v>15378.777725440064</v>
      </c>
    </row>
    <row r="68" spans="1:6" x14ac:dyDescent="0.35">
      <c r="A68" s="18">
        <v>1034.7</v>
      </c>
      <c r="B68" s="18">
        <v>307.82</v>
      </c>
      <c r="C68" s="18">
        <f t="shared" ref="C68:C131" si="4">(A68-$G$3)</f>
        <v>58.611200000000395</v>
      </c>
      <c r="D68" s="18">
        <f t="shared" ref="D68:D131" si="5">(B68-$H$3)</f>
        <v>-33.615050000000053</v>
      </c>
      <c r="E68" s="18">
        <f t="shared" ref="E68:E131" si="6">(C68*D68)</f>
        <v>-1970.2184185600163</v>
      </c>
      <c r="F68" s="18">
        <f t="shared" ref="F68:F131" si="7">(C68*C68)</f>
        <v>3435.2727654400464</v>
      </c>
    </row>
    <row r="69" spans="1:6" x14ac:dyDescent="0.35">
      <c r="A69" s="18">
        <v>876.44</v>
      </c>
      <c r="B69" s="18">
        <v>333.05</v>
      </c>
      <c r="C69" s="18">
        <f t="shared" si="4"/>
        <v>-99.648799999999596</v>
      </c>
      <c r="D69" s="18">
        <f t="shared" si="5"/>
        <v>-8.3850500000000352</v>
      </c>
      <c r="E69" s="18">
        <f t="shared" si="6"/>
        <v>835.56017044000009</v>
      </c>
      <c r="F69" s="18">
        <f t="shared" si="7"/>
        <v>9929.8833414399196</v>
      </c>
    </row>
    <row r="70" spans="1:6" x14ac:dyDescent="0.35">
      <c r="A70" s="18">
        <v>1371.34</v>
      </c>
      <c r="B70" s="18">
        <v>455.97</v>
      </c>
      <c r="C70" s="18">
        <f t="shared" si="4"/>
        <v>395.25120000000027</v>
      </c>
      <c r="D70" s="18">
        <f t="shared" si="5"/>
        <v>114.53494999999998</v>
      </c>
      <c r="E70" s="18">
        <f t="shared" si="6"/>
        <v>45270.076429440021</v>
      </c>
      <c r="F70" s="18">
        <f t="shared" si="7"/>
        <v>156223.51110144021</v>
      </c>
    </row>
    <row r="71" spans="1:6" x14ac:dyDescent="0.35">
      <c r="A71" s="18">
        <v>1020.26</v>
      </c>
      <c r="B71" s="18">
        <v>242.31</v>
      </c>
      <c r="C71" s="18">
        <f t="shared" si="4"/>
        <v>44.17120000000034</v>
      </c>
      <c r="D71" s="18">
        <f t="shared" si="5"/>
        <v>-99.125050000000044</v>
      </c>
      <c r="E71" s="18">
        <f t="shared" si="6"/>
        <v>-4378.4724085600355</v>
      </c>
      <c r="F71" s="18">
        <f t="shared" si="7"/>
        <v>1951.0949094400301</v>
      </c>
    </row>
    <row r="72" spans="1:6" x14ac:dyDescent="0.35">
      <c r="A72" s="18">
        <v>804.81</v>
      </c>
      <c r="B72" s="18">
        <v>344.06</v>
      </c>
      <c r="C72" s="18">
        <f t="shared" si="4"/>
        <v>-171.27879999999971</v>
      </c>
      <c r="D72" s="18">
        <f t="shared" si="5"/>
        <v>2.6249499999999557</v>
      </c>
      <c r="E72" s="18">
        <f t="shared" si="6"/>
        <v>-449.59828605999166</v>
      </c>
      <c r="F72" s="18">
        <f t="shared" si="7"/>
        <v>29336.427329439899</v>
      </c>
    </row>
    <row r="73" spans="1:6" x14ac:dyDescent="0.35">
      <c r="A73" s="18">
        <v>608.66</v>
      </c>
      <c r="B73" s="18">
        <v>144.56</v>
      </c>
      <c r="C73" s="18">
        <f t="shared" si="4"/>
        <v>-367.42879999999968</v>
      </c>
      <c r="D73" s="18">
        <f t="shared" si="5"/>
        <v>-196.87505000000004</v>
      </c>
      <c r="E73" s="18">
        <f t="shared" si="6"/>
        <v>72337.563371439959</v>
      </c>
      <c r="F73" s="18">
        <f t="shared" si="7"/>
        <v>135003.92306943977</v>
      </c>
    </row>
    <row r="74" spans="1:6" x14ac:dyDescent="0.35">
      <c r="A74" s="18">
        <v>981.2</v>
      </c>
      <c r="B74" s="18">
        <v>441.54</v>
      </c>
      <c r="C74" s="18">
        <f t="shared" si="4"/>
        <v>5.1112000000003945</v>
      </c>
      <c r="D74" s="18">
        <f t="shared" si="5"/>
        <v>100.10494999999997</v>
      </c>
      <c r="E74" s="18">
        <f t="shared" si="6"/>
        <v>511.65642044003937</v>
      </c>
      <c r="F74" s="18">
        <f t="shared" si="7"/>
        <v>26.124365440004034</v>
      </c>
    </row>
    <row r="75" spans="1:6" x14ac:dyDescent="0.35">
      <c r="A75" s="18">
        <v>539.77</v>
      </c>
      <c r="B75" s="18">
        <v>114.7</v>
      </c>
      <c r="C75" s="18">
        <f t="shared" si="4"/>
        <v>-436.31879999999967</v>
      </c>
      <c r="D75" s="18">
        <f t="shared" si="5"/>
        <v>-226.73505000000006</v>
      </c>
      <c r="E75" s="18">
        <f t="shared" si="6"/>
        <v>98928.76493393995</v>
      </c>
      <c r="F75" s="18">
        <f t="shared" si="7"/>
        <v>190374.0952334397</v>
      </c>
    </row>
    <row r="76" spans="1:6" x14ac:dyDescent="0.35">
      <c r="A76" s="18">
        <v>804.45</v>
      </c>
      <c r="B76" s="18">
        <v>257.42</v>
      </c>
      <c r="C76" s="18">
        <f t="shared" si="4"/>
        <v>-171.63879999999961</v>
      </c>
      <c r="D76" s="18">
        <f t="shared" si="5"/>
        <v>-84.015050000000031</v>
      </c>
      <c r="E76" s="18">
        <f t="shared" si="6"/>
        <v>14420.242363939971</v>
      </c>
      <c r="F76" s="18">
        <f t="shared" si="7"/>
        <v>29459.877665439864</v>
      </c>
    </row>
    <row r="77" spans="1:6" x14ac:dyDescent="0.35">
      <c r="A77" s="18">
        <v>1526.6</v>
      </c>
      <c r="B77" s="18">
        <v>305.32</v>
      </c>
      <c r="C77" s="18">
        <f t="shared" si="4"/>
        <v>550.51120000000026</v>
      </c>
      <c r="D77" s="18">
        <f t="shared" si="5"/>
        <v>-36.115050000000053</v>
      </c>
      <c r="E77" s="18">
        <f t="shared" si="6"/>
        <v>-19881.739513560038</v>
      </c>
      <c r="F77" s="18">
        <f t="shared" si="7"/>
        <v>303062.58132544026</v>
      </c>
    </row>
    <row r="78" spans="1:6" x14ac:dyDescent="0.35">
      <c r="A78" s="18">
        <v>1215.26</v>
      </c>
      <c r="B78" s="18">
        <v>258.24</v>
      </c>
      <c r="C78" s="18">
        <f t="shared" si="4"/>
        <v>239.17120000000034</v>
      </c>
      <c r="D78" s="18">
        <f t="shared" si="5"/>
        <v>-83.195050000000037</v>
      </c>
      <c r="E78" s="18">
        <f t="shared" si="6"/>
        <v>-19897.859942560037</v>
      </c>
      <c r="F78" s="18">
        <f t="shared" si="7"/>
        <v>57202.862909440162</v>
      </c>
    </row>
    <row r="79" spans="1:6" x14ac:dyDescent="0.35">
      <c r="A79" s="18">
        <v>1261.3399999999999</v>
      </c>
      <c r="B79" s="18">
        <v>441.47</v>
      </c>
      <c r="C79" s="18">
        <f t="shared" si="4"/>
        <v>285.25120000000027</v>
      </c>
      <c r="D79" s="18">
        <f t="shared" si="5"/>
        <v>100.03494999999998</v>
      </c>
      <c r="E79" s="18">
        <f t="shared" si="6"/>
        <v>28535.089529440022</v>
      </c>
      <c r="F79" s="18">
        <f t="shared" si="7"/>
        <v>81368.247101440153</v>
      </c>
    </row>
    <row r="80" spans="1:6" x14ac:dyDescent="0.35">
      <c r="A80" s="18">
        <v>518.07000000000005</v>
      </c>
      <c r="B80" s="18">
        <v>172.26</v>
      </c>
      <c r="C80" s="18">
        <f t="shared" si="4"/>
        <v>-458.0187999999996</v>
      </c>
      <c r="D80" s="18">
        <f t="shared" si="5"/>
        <v>-169.17505000000006</v>
      </c>
      <c r="E80" s="18">
        <f t="shared" si="6"/>
        <v>77485.353390939956</v>
      </c>
      <c r="F80" s="18">
        <f t="shared" si="7"/>
        <v>209781.22115343963</v>
      </c>
    </row>
    <row r="81" spans="1:6" x14ac:dyDescent="0.35">
      <c r="A81" s="18">
        <v>1111.3399999999999</v>
      </c>
      <c r="B81" s="18">
        <v>500.1</v>
      </c>
      <c r="C81" s="18">
        <f t="shared" si="4"/>
        <v>135.25120000000027</v>
      </c>
      <c r="D81" s="18">
        <f t="shared" si="5"/>
        <v>158.66494999999998</v>
      </c>
      <c r="E81" s="18">
        <f t="shared" si="6"/>
        <v>21459.62488544004</v>
      </c>
      <c r="F81" s="18">
        <f t="shared" si="7"/>
        <v>18292.887101440072</v>
      </c>
    </row>
    <row r="82" spans="1:6" x14ac:dyDescent="0.35">
      <c r="A82" s="18">
        <v>1291.47</v>
      </c>
      <c r="B82" s="18">
        <v>581.16</v>
      </c>
      <c r="C82" s="18">
        <f t="shared" si="4"/>
        <v>315.38120000000038</v>
      </c>
      <c r="D82" s="18">
        <f t="shared" si="5"/>
        <v>239.72494999999992</v>
      </c>
      <c r="E82" s="18">
        <f t="shared" si="6"/>
        <v>75604.742400940071</v>
      </c>
      <c r="F82" s="18">
        <f t="shared" si="7"/>
        <v>99465.301313440243</v>
      </c>
    </row>
    <row r="83" spans="1:6" x14ac:dyDescent="0.35">
      <c r="A83" s="18">
        <v>679.71</v>
      </c>
      <c r="B83" s="18">
        <v>271.88</v>
      </c>
      <c r="C83" s="18">
        <f t="shared" si="4"/>
        <v>-296.37879999999961</v>
      </c>
      <c r="D83" s="18">
        <f t="shared" si="5"/>
        <v>-69.555050000000051</v>
      </c>
      <c r="E83" s="18">
        <f t="shared" si="6"/>
        <v>20614.64225293999</v>
      </c>
      <c r="F83" s="18">
        <f t="shared" si="7"/>
        <v>87840.393089439778</v>
      </c>
    </row>
    <row r="84" spans="1:6" x14ac:dyDescent="0.35">
      <c r="A84" s="18">
        <v>1143.69</v>
      </c>
      <c r="B84" s="18">
        <v>400.29</v>
      </c>
      <c r="C84" s="18">
        <f t="shared" si="4"/>
        <v>167.6012000000004</v>
      </c>
      <c r="D84" s="18">
        <f t="shared" si="5"/>
        <v>58.854949999999974</v>
      </c>
      <c r="E84" s="18">
        <f t="shared" si="6"/>
        <v>9864.1602459400201</v>
      </c>
      <c r="F84" s="18">
        <f t="shared" si="7"/>
        <v>28090.162241440135</v>
      </c>
    </row>
    <row r="85" spans="1:6" x14ac:dyDescent="0.35">
      <c r="A85" s="18">
        <v>790.08</v>
      </c>
      <c r="B85" s="18">
        <v>177.77</v>
      </c>
      <c r="C85" s="18">
        <f t="shared" si="4"/>
        <v>-186.00879999999961</v>
      </c>
      <c r="D85" s="18">
        <f t="shared" si="5"/>
        <v>-163.66505000000004</v>
      </c>
      <c r="E85" s="18">
        <f t="shared" si="6"/>
        <v>30443.139552439941</v>
      </c>
      <c r="F85" s="18">
        <f t="shared" si="7"/>
        <v>34599.273677439858</v>
      </c>
    </row>
    <row r="86" spans="1:6" x14ac:dyDescent="0.35">
      <c r="A86" s="18">
        <v>1070.68</v>
      </c>
      <c r="B86" s="18">
        <v>406.86</v>
      </c>
      <c r="C86" s="18">
        <f t="shared" si="4"/>
        <v>94.591200000000413</v>
      </c>
      <c r="D86" s="18">
        <f t="shared" si="5"/>
        <v>65.424949999999967</v>
      </c>
      <c r="E86" s="18">
        <f t="shared" si="6"/>
        <v>6188.6245304400236</v>
      </c>
      <c r="F86" s="18">
        <f t="shared" si="7"/>
        <v>8947.4951174400776</v>
      </c>
    </row>
    <row r="87" spans="1:6" x14ac:dyDescent="0.35">
      <c r="A87" s="18">
        <v>1168.8900000000001</v>
      </c>
      <c r="B87" s="18">
        <v>526</v>
      </c>
      <c r="C87" s="18">
        <f t="shared" si="4"/>
        <v>192.80120000000045</v>
      </c>
      <c r="D87" s="18">
        <f t="shared" si="5"/>
        <v>184.56494999999995</v>
      </c>
      <c r="E87" s="18">
        <f t="shared" si="6"/>
        <v>35584.343837940076</v>
      </c>
      <c r="F87" s="18">
        <f t="shared" si="7"/>
        <v>37172.302721440174</v>
      </c>
    </row>
    <row r="88" spans="1:6" x14ac:dyDescent="0.35">
      <c r="A88" s="18">
        <v>1335.87</v>
      </c>
      <c r="B88" s="18">
        <v>333.97</v>
      </c>
      <c r="C88" s="18">
        <f t="shared" si="4"/>
        <v>359.78120000000024</v>
      </c>
      <c r="D88" s="18">
        <f t="shared" si="5"/>
        <v>-7.4650500000000193</v>
      </c>
      <c r="E88" s="18">
        <f t="shared" si="6"/>
        <v>-2685.7846470600089</v>
      </c>
      <c r="F88" s="18">
        <f t="shared" si="7"/>
        <v>129442.51187344018</v>
      </c>
    </row>
    <row r="89" spans="1:6" x14ac:dyDescent="0.35">
      <c r="A89" s="18">
        <v>873.7</v>
      </c>
      <c r="B89" s="18">
        <v>305.8</v>
      </c>
      <c r="C89" s="18">
        <f t="shared" si="4"/>
        <v>-102.38879999999961</v>
      </c>
      <c r="D89" s="18">
        <f t="shared" si="5"/>
        <v>-35.635050000000035</v>
      </c>
      <c r="E89" s="18">
        <f t="shared" si="6"/>
        <v>3648.6300074399896</v>
      </c>
      <c r="F89" s="18">
        <f t="shared" si="7"/>
        <v>10483.466365439919</v>
      </c>
    </row>
    <row r="90" spans="1:6" x14ac:dyDescent="0.35">
      <c r="A90" s="18">
        <v>1443.98</v>
      </c>
      <c r="B90" s="18">
        <v>649.79</v>
      </c>
      <c r="C90" s="18">
        <f t="shared" si="4"/>
        <v>467.89120000000037</v>
      </c>
      <c r="D90" s="18">
        <f t="shared" si="5"/>
        <v>308.35494999999992</v>
      </c>
      <c r="E90" s="18">
        <f t="shared" si="6"/>
        <v>144276.56758144006</v>
      </c>
      <c r="F90" s="18">
        <f t="shared" si="7"/>
        <v>218922.17503744035</v>
      </c>
    </row>
    <row r="91" spans="1:6" x14ac:dyDescent="0.35">
      <c r="A91" s="18">
        <v>1154.33</v>
      </c>
      <c r="B91" s="18">
        <v>441.53</v>
      </c>
      <c r="C91" s="18">
        <f t="shared" si="4"/>
        <v>178.24120000000028</v>
      </c>
      <c r="D91" s="18">
        <f t="shared" si="5"/>
        <v>100.09494999999993</v>
      </c>
      <c r="E91" s="18">
        <f t="shared" si="6"/>
        <v>17841.044001940016</v>
      </c>
      <c r="F91" s="18">
        <f t="shared" si="7"/>
        <v>31769.925377440097</v>
      </c>
    </row>
    <row r="92" spans="1:6" x14ac:dyDescent="0.35">
      <c r="A92" s="18">
        <v>1264.49</v>
      </c>
      <c r="B92" s="18">
        <v>480.51</v>
      </c>
      <c r="C92" s="18">
        <f t="shared" si="4"/>
        <v>288.40120000000036</v>
      </c>
      <c r="D92" s="18">
        <f t="shared" si="5"/>
        <v>139.07494999999994</v>
      </c>
      <c r="E92" s="18">
        <f t="shared" si="6"/>
        <v>40109.382469940036</v>
      </c>
      <c r="F92" s="18">
        <f t="shared" si="7"/>
        <v>83175.252161440207</v>
      </c>
    </row>
    <row r="93" spans="1:6" x14ac:dyDescent="0.35">
      <c r="A93" s="18">
        <v>1101.55</v>
      </c>
      <c r="B93" s="18">
        <v>346.99</v>
      </c>
      <c r="C93" s="18">
        <f t="shared" si="4"/>
        <v>125.4612000000003</v>
      </c>
      <c r="D93" s="18">
        <f t="shared" si="5"/>
        <v>5.5549499999999625</v>
      </c>
      <c r="E93" s="18">
        <f t="shared" si="6"/>
        <v>696.93069293999702</v>
      </c>
      <c r="F93" s="18">
        <f t="shared" si="7"/>
        <v>15740.512705440076</v>
      </c>
    </row>
    <row r="94" spans="1:6" x14ac:dyDescent="0.35">
      <c r="A94" s="18">
        <v>727.73</v>
      </c>
      <c r="B94" s="18">
        <v>229.23</v>
      </c>
      <c r="C94" s="18">
        <f t="shared" si="4"/>
        <v>-248.35879999999963</v>
      </c>
      <c r="D94" s="18">
        <f t="shared" si="5"/>
        <v>-112.20505000000006</v>
      </c>
      <c r="E94" s="18">
        <f t="shared" si="6"/>
        <v>27867.111571939971</v>
      </c>
      <c r="F94" s="18">
        <f t="shared" si="7"/>
        <v>61682.093537439818</v>
      </c>
    </row>
    <row r="95" spans="1:6" x14ac:dyDescent="0.35">
      <c r="A95" s="18">
        <v>875.41</v>
      </c>
      <c r="B95" s="18">
        <v>334.84</v>
      </c>
      <c r="C95" s="18">
        <f t="shared" si="4"/>
        <v>-100.67879999999968</v>
      </c>
      <c r="D95" s="18">
        <f t="shared" si="5"/>
        <v>-6.5950500000000716</v>
      </c>
      <c r="E95" s="18">
        <f t="shared" si="6"/>
        <v>663.98171994000506</v>
      </c>
      <c r="F95" s="18">
        <f t="shared" si="7"/>
        <v>10136.220769439937</v>
      </c>
    </row>
    <row r="96" spans="1:6" x14ac:dyDescent="0.35">
      <c r="A96" s="18">
        <v>1158.94</v>
      </c>
      <c r="B96" s="18">
        <v>231.79</v>
      </c>
      <c r="C96" s="18">
        <f t="shared" si="4"/>
        <v>182.8512000000004</v>
      </c>
      <c r="D96" s="18">
        <f t="shared" si="5"/>
        <v>-109.64505000000005</v>
      </c>
      <c r="E96" s="18">
        <f t="shared" si="6"/>
        <v>-20048.728966560055</v>
      </c>
      <c r="F96" s="18">
        <f t="shared" si="7"/>
        <v>33434.561341440145</v>
      </c>
    </row>
    <row r="97" spans="1:6" x14ac:dyDescent="0.35">
      <c r="A97" s="18">
        <v>966.3</v>
      </c>
      <c r="B97" s="18">
        <v>328.54</v>
      </c>
      <c r="C97" s="18">
        <f t="shared" si="4"/>
        <v>-9.7887999999996964</v>
      </c>
      <c r="D97" s="18">
        <f t="shared" si="5"/>
        <v>-12.895050000000026</v>
      </c>
      <c r="E97" s="18">
        <f t="shared" si="6"/>
        <v>126.22706543999634</v>
      </c>
      <c r="F97" s="18">
        <f t="shared" si="7"/>
        <v>95.820605439994054</v>
      </c>
    </row>
    <row r="98" spans="1:6" x14ac:dyDescent="0.35">
      <c r="A98" s="18">
        <v>917.48</v>
      </c>
      <c r="B98" s="18">
        <v>366.99</v>
      </c>
      <c r="C98" s="18">
        <f t="shared" si="4"/>
        <v>-58.608799999999633</v>
      </c>
      <c r="D98" s="18">
        <f t="shared" si="5"/>
        <v>25.554949999999963</v>
      </c>
      <c r="E98" s="18">
        <f t="shared" si="6"/>
        <v>-1497.7449535599885</v>
      </c>
      <c r="F98" s="18">
        <f t="shared" si="7"/>
        <v>3434.9914374399568</v>
      </c>
    </row>
    <row r="99" spans="1:6" x14ac:dyDescent="0.35">
      <c r="A99" s="18">
        <v>1172.97</v>
      </c>
      <c r="B99" s="18">
        <v>348.96</v>
      </c>
      <c r="C99" s="18">
        <f t="shared" si="4"/>
        <v>196.88120000000038</v>
      </c>
      <c r="D99" s="18">
        <f t="shared" si="5"/>
        <v>7.524949999999933</v>
      </c>
      <c r="E99" s="18">
        <f t="shared" si="6"/>
        <v>1481.5211859399897</v>
      </c>
      <c r="F99" s="18">
        <f t="shared" si="7"/>
        <v>38762.206913440146</v>
      </c>
    </row>
    <row r="100" spans="1:6" x14ac:dyDescent="0.35">
      <c r="A100" s="18">
        <v>1205.82</v>
      </c>
      <c r="B100" s="18">
        <v>542.62</v>
      </c>
      <c r="C100" s="18">
        <f t="shared" si="4"/>
        <v>229.73120000000029</v>
      </c>
      <c r="D100" s="18">
        <f t="shared" si="5"/>
        <v>201.18494999999996</v>
      </c>
      <c r="E100" s="18">
        <f t="shared" si="6"/>
        <v>46218.459985440051</v>
      </c>
      <c r="F100" s="18">
        <f t="shared" si="7"/>
        <v>52776.424253440135</v>
      </c>
    </row>
    <row r="101" spans="1:6" x14ac:dyDescent="0.35">
      <c r="A101" s="18">
        <v>826.93</v>
      </c>
      <c r="B101" s="18">
        <v>297.69</v>
      </c>
      <c r="C101" s="18">
        <f t="shared" si="4"/>
        <v>-149.1587999999997</v>
      </c>
      <c r="D101" s="18">
        <f t="shared" si="5"/>
        <v>-43.745050000000049</v>
      </c>
      <c r="E101" s="18">
        <f t="shared" si="6"/>
        <v>6524.9591639399941</v>
      </c>
      <c r="F101" s="18">
        <f t="shared" si="7"/>
        <v>22248.347617439911</v>
      </c>
    </row>
    <row r="102" spans="1:6" x14ac:dyDescent="0.35">
      <c r="A102" s="18">
        <v>902.19</v>
      </c>
      <c r="B102" s="18">
        <v>451.1</v>
      </c>
      <c r="C102" s="18">
        <f t="shared" si="4"/>
        <v>-73.898799999999596</v>
      </c>
      <c r="D102" s="18">
        <f t="shared" si="5"/>
        <v>109.66494999999998</v>
      </c>
      <c r="E102" s="18">
        <f t="shared" si="6"/>
        <v>-8104.1082070599541</v>
      </c>
      <c r="F102" s="18">
        <f t="shared" si="7"/>
        <v>5461.0326414399406</v>
      </c>
    </row>
    <row r="103" spans="1:6" x14ac:dyDescent="0.35">
      <c r="A103" s="18">
        <v>585.97</v>
      </c>
      <c r="B103" s="18">
        <v>210.95</v>
      </c>
      <c r="C103" s="18">
        <f t="shared" si="4"/>
        <v>-390.11879999999962</v>
      </c>
      <c r="D103" s="18">
        <f t="shared" si="5"/>
        <v>-130.48505000000006</v>
      </c>
      <c r="E103" s="18">
        <f t="shared" si="6"/>
        <v>50904.671123939974</v>
      </c>
      <c r="F103" s="18">
        <f t="shared" si="7"/>
        <v>152192.6781134397</v>
      </c>
    </row>
    <row r="104" spans="1:6" x14ac:dyDescent="0.35">
      <c r="A104" s="18">
        <v>990.19</v>
      </c>
      <c r="B104" s="18">
        <v>445.59</v>
      </c>
      <c r="C104" s="18">
        <f t="shared" si="4"/>
        <v>14.101200000000404</v>
      </c>
      <c r="D104" s="18">
        <f t="shared" si="5"/>
        <v>104.15494999999993</v>
      </c>
      <c r="E104" s="18">
        <f t="shared" si="6"/>
        <v>1468.7097809400411</v>
      </c>
      <c r="F104" s="18">
        <f t="shared" si="7"/>
        <v>198.84384144001137</v>
      </c>
    </row>
    <row r="105" spans="1:6" x14ac:dyDescent="0.35">
      <c r="A105" s="18">
        <v>1014.09</v>
      </c>
      <c r="B105" s="18">
        <v>202.82</v>
      </c>
      <c r="C105" s="18">
        <f t="shared" si="4"/>
        <v>38.001200000000381</v>
      </c>
      <c r="D105" s="18">
        <f t="shared" si="5"/>
        <v>-138.61505000000005</v>
      </c>
      <c r="E105" s="18">
        <f t="shared" si="6"/>
        <v>-5267.5382380600549</v>
      </c>
      <c r="F105" s="18">
        <f t="shared" si="7"/>
        <v>1444.091201440029</v>
      </c>
    </row>
    <row r="106" spans="1:6" x14ac:dyDescent="0.35">
      <c r="A106" s="18">
        <v>925.29</v>
      </c>
      <c r="B106" s="18">
        <v>231.32</v>
      </c>
      <c r="C106" s="18">
        <f t="shared" si="4"/>
        <v>-50.798799999999687</v>
      </c>
      <c r="D106" s="18">
        <f t="shared" si="5"/>
        <v>-110.11505000000005</v>
      </c>
      <c r="E106" s="18">
        <f t="shared" si="6"/>
        <v>5593.712401939968</v>
      </c>
      <c r="F106" s="18">
        <f t="shared" si="7"/>
        <v>2580.5180814399682</v>
      </c>
    </row>
    <row r="107" spans="1:6" x14ac:dyDescent="0.35">
      <c r="A107" s="18">
        <v>1286.54</v>
      </c>
      <c r="B107" s="18">
        <v>450.29</v>
      </c>
      <c r="C107" s="18">
        <f t="shared" si="4"/>
        <v>310.45120000000031</v>
      </c>
      <c r="D107" s="18">
        <f t="shared" si="5"/>
        <v>108.85494999999997</v>
      </c>
      <c r="E107" s="18">
        <f t="shared" si="6"/>
        <v>33794.149853440023</v>
      </c>
      <c r="F107" s="18">
        <f t="shared" si="7"/>
        <v>96379.947581440196</v>
      </c>
    </row>
    <row r="108" spans="1:6" x14ac:dyDescent="0.35">
      <c r="A108" s="18">
        <v>961.62</v>
      </c>
      <c r="B108" s="18">
        <v>307.72000000000003</v>
      </c>
      <c r="C108" s="18">
        <f t="shared" si="4"/>
        <v>-14.468799999999646</v>
      </c>
      <c r="D108" s="18">
        <f t="shared" si="5"/>
        <v>-33.715050000000019</v>
      </c>
      <c r="E108" s="18">
        <f t="shared" si="6"/>
        <v>487.81631543998833</v>
      </c>
      <c r="F108" s="18">
        <f t="shared" si="7"/>
        <v>209.34617343998977</v>
      </c>
    </row>
    <row r="109" spans="1:6" x14ac:dyDescent="0.35">
      <c r="A109" s="18">
        <v>1081.1400000000001</v>
      </c>
      <c r="B109" s="18">
        <v>367.59</v>
      </c>
      <c r="C109" s="18">
        <f t="shared" si="4"/>
        <v>105.05120000000045</v>
      </c>
      <c r="D109" s="18">
        <f t="shared" si="5"/>
        <v>26.154949999999928</v>
      </c>
      <c r="E109" s="18">
        <f t="shared" si="6"/>
        <v>2747.6088834400043</v>
      </c>
      <c r="F109" s="18">
        <f t="shared" si="7"/>
        <v>11035.754621440094</v>
      </c>
    </row>
    <row r="110" spans="1:6" x14ac:dyDescent="0.35">
      <c r="A110" s="18">
        <v>1923.66</v>
      </c>
      <c r="B110" s="18">
        <v>769.46</v>
      </c>
      <c r="C110" s="18">
        <f t="shared" si="4"/>
        <v>947.57120000000043</v>
      </c>
      <c r="D110" s="18">
        <f t="shared" si="5"/>
        <v>428.02494999999999</v>
      </c>
      <c r="E110" s="18">
        <f t="shared" si="6"/>
        <v>405584.11550144019</v>
      </c>
      <c r="F110" s="18">
        <f t="shared" si="7"/>
        <v>897891.17906944081</v>
      </c>
    </row>
    <row r="111" spans="1:6" x14ac:dyDescent="0.35">
      <c r="A111" s="18">
        <v>728.71</v>
      </c>
      <c r="B111" s="18">
        <v>327.92</v>
      </c>
      <c r="C111" s="18">
        <f t="shared" si="4"/>
        <v>-247.37879999999961</v>
      </c>
      <c r="D111" s="18">
        <f t="shared" si="5"/>
        <v>-13.515050000000031</v>
      </c>
      <c r="E111" s="18">
        <f t="shared" si="6"/>
        <v>3343.3368509400025</v>
      </c>
      <c r="F111" s="18">
        <f t="shared" si="7"/>
        <v>61196.270689439807</v>
      </c>
    </row>
    <row r="112" spans="1:6" x14ac:dyDescent="0.35">
      <c r="A112" s="18">
        <v>1301.8900000000001</v>
      </c>
      <c r="B112" s="18">
        <v>553.29999999999995</v>
      </c>
      <c r="C112" s="18">
        <f t="shared" si="4"/>
        <v>325.80120000000045</v>
      </c>
      <c r="D112" s="18">
        <f t="shared" si="5"/>
        <v>211.86494999999991</v>
      </c>
      <c r="E112" s="18">
        <f t="shared" si="6"/>
        <v>69025.854947940068</v>
      </c>
      <c r="F112" s="18">
        <f t="shared" si="7"/>
        <v>106146.4219214403</v>
      </c>
    </row>
    <row r="113" spans="1:6" x14ac:dyDescent="0.35">
      <c r="A113" s="18">
        <v>980.18</v>
      </c>
      <c r="B113" s="18">
        <v>352.86</v>
      </c>
      <c r="C113" s="18">
        <f t="shared" si="4"/>
        <v>4.091200000000299</v>
      </c>
      <c r="D113" s="18">
        <f t="shared" si="5"/>
        <v>11.424949999999967</v>
      </c>
      <c r="E113" s="18">
        <f t="shared" si="6"/>
        <v>46.741755440003281</v>
      </c>
      <c r="F113" s="18">
        <f t="shared" si="7"/>
        <v>16.737917440002448</v>
      </c>
    </row>
    <row r="114" spans="1:6" x14ac:dyDescent="0.35">
      <c r="A114" s="18">
        <v>697.57</v>
      </c>
      <c r="B114" s="18">
        <v>313.91000000000003</v>
      </c>
      <c r="C114" s="18">
        <f t="shared" si="4"/>
        <v>-278.5187999999996</v>
      </c>
      <c r="D114" s="18">
        <f t="shared" si="5"/>
        <v>-27.525050000000022</v>
      </c>
      <c r="E114" s="18">
        <f t="shared" si="6"/>
        <v>7666.2438959399951</v>
      </c>
      <c r="F114" s="18">
        <f t="shared" si="7"/>
        <v>77572.721953439774</v>
      </c>
    </row>
    <row r="115" spans="1:6" x14ac:dyDescent="0.35">
      <c r="A115" s="18">
        <v>1193.6099999999999</v>
      </c>
      <c r="B115" s="18">
        <v>355.1</v>
      </c>
      <c r="C115" s="18">
        <f t="shared" si="4"/>
        <v>217.52120000000025</v>
      </c>
      <c r="D115" s="18">
        <f t="shared" si="5"/>
        <v>13.664949999999976</v>
      </c>
      <c r="E115" s="18">
        <f t="shared" si="6"/>
        <v>2972.4163219399984</v>
      </c>
      <c r="F115" s="18">
        <f t="shared" si="7"/>
        <v>47315.472449440109</v>
      </c>
    </row>
    <row r="116" spans="1:6" x14ac:dyDescent="0.35">
      <c r="A116" s="18">
        <v>771.02</v>
      </c>
      <c r="B116" s="18">
        <v>192.76</v>
      </c>
      <c r="C116" s="18">
        <f t="shared" si="4"/>
        <v>-205.06879999999967</v>
      </c>
      <c r="D116" s="18">
        <f t="shared" si="5"/>
        <v>-148.67505000000006</v>
      </c>
      <c r="E116" s="18">
        <f t="shared" si="6"/>
        <v>30488.614093439963</v>
      </c>
      <c r="F116" s="18">
        <f t="shared" si="7"/>
        <v>42053.212733439861</v>
      </c>
    </row>
    <row r="117" spans="1:6" x14ac:dyDescent="0.35">
      <c r="A117" s="18">
        <v>661.09</v>
      </c>
      <c r="B117" s="18">
        <v>264.44</v>
      </c>
      <c r="C117" s="18">
        <f t="shared" si="4"/>
        <v>-314.99879999999962</v>
      </c>
      <c r="D117" s="18">
        <f t="shared" si="5"/>
        <v>-76.995050000000049</v>
      </c>
      <c r="E117" s="18">
        <f t="shared" si="6"/>
        <v>24253.348355939987</v>
      </c>
      <c r="F117" s="18">
        <f t="shared" si="7"/>
        <v>99224.244001439758</v>
      </c>
    </row>
    <row r="118" spans="1:6" x14ac:dyDescent="0.35">
      <c r="A118" s="18">
        <v>688.83</v>
      </c>
      <c r="B118" s="18">
        <v>172.21</v>
      </c>
      <c r="C118" s="18">
        <f t="shared" si="4"/>
        <v>-287.25879999999961</v>
      </c>
      <c r="D118" s="18">
        <f t="shared" si="5"/>
        <v>-169.22505000000004</v>
      </c>
      <c r="E118" s="18">
        <f t="shared" si="6"/>
        <v>48611.384792939942</v>
      </c>
      <c r="F118" s="18">
        <f t="shared" si="7"/>
        <v>82517.61817743977</v>
      </c>
    </row>
    <row r="119" spans="1:6" x14ac:dyDescent="0.35">
      <c r="A119" s="18">
        <v>1249.0999999999999</v>
      </c>
      <c r="B119" s="18">
        <v>474.66</v>
      </c>
      <c r="C119" s="18">
        <f t="shared" si="4"/>
        <v>273.01120000000026</v>
      </c>
      <c r="D119" s="18">
        <f t="shared" si="5"/>
        <v>133.22494999999998</v>
      </c>
      <c r="E119" s="18">
        <f t="shared" si="6"/>
        <v>36371.903469440025</v>
      </c>
      <c r="F119" s="18">
        <f t="shared" si="7"/>
        <v>74535.115325440143</v>
      </c>
    </row>
    <row r="120" spans="1:6" x14ac:dyDescent="0.35">
      <c r="A120" s="18">
        <v>1014.22</v>
      </c>
      <c r="B120" s="18">
        <v>433.58</v>
      </c>
      <c r="C120" s="18">
        <f t="shared" si="4"/>
        <v>38.131200000000376</v>
      </c>
      <c r="D120" s="18">
        <f t="shared" si="5"/>
        <v>92.144949999999938</v>
      </c>
      <c r="E120" s="18">
        <f t="shared" si="6"/>
        <v>3513.5975174400323</v>
      </c>
      <c r="F120" s="18">
        <f t="shared" si="7"/>
        <v>1453.9884134400288</v>
      </c>
    </row>
    <row r="121" spans="1:6" x14ac:dyDescent="0.35">
      <c r="A121" s="18">
        <v>1010.58</v>
      </c>
      <c r="B121" s="18">
        <v>343.6</v>
      </c>
      <c r="C121" s="18">
        <f t="shared" si="4"/>
        <v>34.49120000000039</v>
      </c>
      <c r="D121" s="18">
        <f t="shared" si="5"/>
        <v>2.1649499999999762</v>
      </c>
      <c r="E121" s="18">
        <f t="shared" si="6"/>
        <v>74.671723440000022</v>
      </c>
      <c r="F121" s="18">
        <f t="shared" si="7"/>
        <v>1189.642877440027</v>
      </c>
    </row>
    <row r="122" spans="1:6" x14ac:dyDescent="0.35">
      <c r="A122" s="18">
        <v>957.29</v>
      </c>
      <c r="B122" s="18">
        <v>318.3</v>
      </c>
      <c r="C122" s="18">
        <f t="shared" si="4"/>
        <v>-18.798799999999687</v>
      </c>
      <c r="D122" s="18">
        <f t="shared" si="5"/>
        <v>-23.135050000000035</v>
      </c>
      <c r="E122" s="18">
        <f t="shared" si="6"/>
        <v>434.91117793999342</v>
      </c>
      <c r="F122" s="18">
        <f t="shared" si="7"/>
        <v>353.39488143998824</v>
      </c>
    </row>
    <row r="123" spans="1:6" x14ac:dyDescent="0.35">
      <c r="A123" s="18">
        <v>1077.92</v>
      </c>
      <c r="B123" s="18">
        <v>358.41</v>
      </c>
      <c r="C123" s="18">
        <f t="shared" si="4"/>
        <v>101.83120000000042</v>
      </c>
      <c r="D123" s="18">
        <f t="shared" si="5"/>
        <v>16.974949999999978</v>
      </c>
      <c r="E123" s="18">
        <f t="shared" si="6"/>
        <v>1728.5795284400049</v>
      </c>
      <c r="F123" s="18">
        <f t="shared" si="7"/>
        <v>10369.593293440086</v>
      </c>
    </row>
    <row r="124" spans="1:6" x14ac:dyDescent="0.35">
      <c r="A124" s="18">
        <v>1163.01</v>
      </c>
      <c r="B124" s="18">
        <v>581.5</v>
      </c>
      <c r="C124" s="18">
        <f t="shared" si="4"/>
        <v>186.92120000000034</v>
      </c>
      <c r="D124" s="18">
        <f t="shared" si="5"/>
        <v>240.06494999999995</v>
      </c>
      <c r="E124" s="18">
        <f t="shared" si="6"/>
        <v>44873.228531940076</v>
      </c>
      <c r="F124" s="18">
        <f t="shared" si="7"/>
        <v>34939.535009440129</v>
      </c>
    </row>
    <row r="125" spans="1:6" x14ac:dyDescent="0.35">
      <c r="A125" s="18">
        <v>1014.56</v>
      </c>
      <c r="B125" s="18">
        <v>410.9</v>
      </c>
      <c r="C125" s="18">
        <f t="shared" si="4"/>
        <v>38.471200000000294</v>
      </c>
      <c r="D125" s="18">
        <f t="shared" si="5"/>
        <v>69.464949999999931</v>
      </c>
      <c r="E125" s="18">
        <f t="shared" si="6"/>
        <v>2672.3999844400178</v>
      </c>
      <c r="F125" s="18">
        <f t="shared" si="7"/>
        <v>1480.0332294400228</v>
      </c>
    </row>
    <row r="126" spans="1:6" x14ac:dyDescent="0.35">
      <c r="A126" s="18">
        <v>718.04</v>
      </c>
      <c r="B126" s="18">
        <v>179.51</v>
      </c>
      <c r="C126" s="18">
        <f t="shared" si="4"/>
        <v>-258.04879999999969</v>
      </c>
      <c r="D126" s="18">
        <f t="shared" si="5"/>
        <v>-161.92505000000006</v>
      </c>
      <c r="E126" s="18">
        <f t="shared" si="6"/>
        <v>41784.564842439962</v>
      </c>
      <c r="F126" s="18">
        <f t="shared" si="7"/>
        <v>66589.183181439832</v>
      </c>
    </row>
    <row r="127" spans="1:6" x14ac:dyDescent="0.35">
      <c r="A127" s="18">
        <v>1277.8499999999999</v>
      </c>
      <c r="B127" s="18">
        <v>511.14</v>
      </c>
      <c r="C127" s="18">
        <f t="shared" si="4"/>
        <v>301.76120000000026</v>
      </c>
      <c r="D127" s="18">
        <f t="shared" si="5"/>
        <v>169.70494999999994</v>
      </c>
      <c r="E127" s="18">
        <f t="shared" si="6"/>
        <v>51210.369357940028</v>
      </c>
      <c r="F127" s="18">
        <f t="shared" si="7"/>
        <v>91059.821825440158</v>
      </c>
    </row>
    <row r="128" spans="1:6" x14ac:dyDescent="0.35">
      <c r="A128" s="18">
        <v>706.73</v>
      </c>
      <c r="B128" s="18">
        <v>150.18</v>
      </c>
      <c r="C128" s="18">
        <f t="shared" si="4"/>
        <v>-269.35879999999963</v>
      </c>
      <c r="D128" s="18">
        <f t="shared" si="5"/>
        <v>-191.25505000000004</v>
      </c>
      <c r="E128" s="18">
        <f t="shared" si="6"/>
        <v>51516.230761939943</v>
      </c>
      <c r="F128" s="18">
        <f t="shared" si="7"/>
        <v>72554.163137439798</v>
      </c>
    </row>
    <row r="129" spans="1:6" x14ac:dyDescent="0.35">
      <c r="A129" s="18">
        <v>1410.59</v>
      </c>
      <c r="B129" s="18">
        <v>352.65</v>
      </c>
      <c r="C129" s="18">
        <f t="shared" si="4"/>
        <v>434.50120000000027</v>
      </c>
      <c r="D129" s="18">
        <f t="shared" si="5"/>
        <v>11.214949999999931</v>
      </c>
      <c r="E129" s="18">
        <f t="shared" si="6"/>
        <v>4872.9092329399728</v>
      </c>
      <c r="F129" s="18">
        <f t="shared" si="7"/>
        <v>188791.29280144023</v>
      </c>
    </row>
    <row r="130" spans="1:6" x14ac:dyDescent="0.35">
      <c r="A130" s="18">
        <v>1350.33</v>
      </c>
      <c r="B130" s="18">
        <v>472.62</v>
      </c>
      <c r="C130" s="18">
        <f t="shared" si="4"/>
        <v>374.24120000000028</v>
      </c>
      <c r="D130" s="18">
        <f t="shared" si="5"/>
        <v>131.18494999999996</v>
      </c>
      <c r="E130" s="18">
        <f t="shared" si="6"/>
        <v>49094.81310994002</v>
      </c>
      <c r="F130" s="18">
        <f t="shared" si="7"/>
        <v>140056.47577744021</v>
      </c>
    </row>
    <row r="131" spans="1:6" x14ac:dyDescent="0.35">
      <c r="A131" s="18">
        <v>919.18</v>
      </c>
      <c r="B131" s="18">
        <v>195.33</v>
      </c>
      <c r="C131" s="18">
        <f t="shared" si="4"/>
        <v>-56.908799999999701</v>
      </c>
      <c r="D131" s="18">
        <f t="shared" si="5"/>
        <v>-146.10505000000003</v>
      </c>
      <c r="E131" s="18">
        <f t="shared" si="6"/>
        <v>8314.6630694399591</v>
      </c>
      <c r="F131" s="18">
        <f t="shared" si="7"/>
        <v>3238.6115174399661</v>
      </c>
    </row>
    <row r="132" spans="1:6" x14ac:dyDescent="0.35">
      <c r="A132" s="18">
        <v>258.51</v>
      </c>
      <c r="B132" s="18">
        <v>64.63</v>
      </c>
      <c r="C132" s="18">
        <f t="shared" ref="C132:C195" si="8">(A132-$G$3)</f>
        <v>-717.57879999999966</v>
      </c>
      <c r="D132" s="18">
        <f t="shared" ref="D132:D195" si="9">(B132-$H$3)</f>
        <v>-276.80505000000005</v>
      </c>
      <c r="E132" s="18">
        <f t="shared" ref="E132:E195" si="10">(C132*D132)</f>
        <v>198629.43561293994</v>
      </c>
      <c r="F132" s="18">
        <f t="shared" ref="F132:F195" si="11">(C132*C132)</f>
        <v>514919.33420943952</v>
      </c>
    </row>
    <row r="133" spans="1:6" x14ac:dyDescent="0.35">
      <c r="A133" s="18">
        <v>1213.48</v>
      </c>
      <c r="B133" s="18">
        <v>461.12</v>
      </c>
      <c r="C133" s="18">
        <f t="shared" si="8"/>
        <v>237.39120000000037</v>
      </c>
      <c r="D133" s="18">
        <f t="shared" si="9"/>
        <v>119.68494999999996</v>
      </c>
      <c r="E133" s="18">
        <f t="shared" si="10"/>
        <v>28412.153902440034</v>
      </c>
      <c r="F133" s="18">
        <f t="shared" si="11"/>
        <v>56354.581837440172</v>
      </c>
    </row>
    <row r="134" spans="1:6" x14ac:dyDescent="0.35">
      <c r="A134" s="18">
        <v>1150.28</v>
      </c>
      <c r="B134" s="18">
        <v>437.11</v>
      </c>
      <c r="C134" s="18">
        <f t="shared" si="8"/>
        <v>174.19120000000032</v>
      </c>
      <c r="D134" s="18">
        <f t="shared" si="9"/>
        <v>95.674949999999967</v>
      </c>
      <c r="E134" s="18">
        <f t="shared" si="10"/>
        <v>16665.734350440023</v>
      </c>
      <c r="F134" s="18">
        <f t="shared" si="11"/>
        <v>30342.574157440111</v>
      </c>
    </row>
    <row r="135" spans="1:6" x14ac:dyDescent="0.35">
      <c r="A135" s="18">
        <v>853.86</v>
      </c>
      <c r="B135" s="18">
        <v>268.97000000000003</v>
      </c>
      <c r="C135" s="18">
        <f t="shared" si="8"/>
        <v>-122.22879999999964</v>
      </c>
      <c r="D135" s="18">
        <f t="shared" si="9"/>
        <v>-72.465050000000019</v>
      </c>
      <c r="E135" s="18">
        <f t="shared" si="10"/>
        <v>8857.3161034399764</v>
      </c>
      <c r="F135" s="18">
        <f t="shared" si="11"/>
        <v>14939.879549439911</v>
      </c>
    </row>
    <row r="136" spans="1:6" x14ac:dyDescent="0.35">
      <c r="A136" s="18">
        <v>1061.04</v>
      </c>
      <c r="B136" s="18">
        <v>265.26</v>
      </c>
      <c r="C136" s="18">
        <f t="shared" si="8"/>
        <v>84.951200000000313</v>
      </c>
      <c r="D136" s="18">
        <f t="shared" si="9"/>
        <v>-76.175050000000056</v>
      </c>
      <c r="E136" s="18">
        <f t="shared" si="10"/>
        <v>-6471.1619075600283</v>
      </c>
      <c r="F136" s="18">
        <f t="shared" si="11"/>
        <v>7216.7063814400535</v>
      </c>
    </row>
    <row r="137" spans="1:6" x14ac:dyDescent="0.35">
      <c r="A137" s="18">
        <v>894.55</v>
      </c>
      <c r="B137" s="18">
        <v>178.91</v>
      </c>
      <c r="C137" s="18">
        <f t="shared" si="8"/>
        <v>-81.538799999999696</v>
      </c>
      <c r="D137" s="18">
        <f t="shared" si="9"/>
        <v>-162.52505000000005</v>
      </c>
      <c r="E137" s="18">
        <f t="shared" si="10"/>
        <v>13252.097546939955</v>
      </c>
      <c r="F137" s="18">
        <f t="shared" si="11"/>
        <v>6648.5759054399505</v>
      </c>
    </row>
    <row r="138" spans="1:6" x14ac:dyDescent="0.35">
      <c r="A138" s="18">
        <v>833.91</v>
      </c>
      <c r="B138" s="18">
        <v>356.5</v>
      </c>
      <c r="C138" s="18">
        <f t="shared" si="8"/>
        <v>-142.17879999999968</v>
      </c>
      <c r="D138" s="18">
        <f t="shared" si="9"/>
        <v>15.064949999999953</v>
      </c>
      <c r="E138" s="18">
        <f t="shared" si="10"/>
        <v>-2141.9165130599886</v>
      </c>
      <c r="F138" s="18">
        <f t="shared" si="11"/>
        <v>20214.811169439909</v>
      </c>
    </row>
    <row r="139" spans="1:6" x14ac:dyDescent="0.35">
      <c r="A139" s="18">
        <v>820.19</v>
      </c>
      <c r="B139" s="18">
        <v>229.65</v>
      </c>
      <c r="C139" s="18">
        <f t="shared" si="8"/>
        <v>-155.8987999999996</v>
      </c>
      <c r="D139" s="18">
        <f t="shared" si="9"/>
        <v>-111.78505000000004</v>
      </c>
      <c r="E139" s="18">
        <f t="shared" si="10"/>
        <v>17427.155152939962</v>
      </c>
      <c r="F139" s="18">
        <f t="shared" si="11"/>
        <v>24304.435841439874</v>
      </c>
    </row>
    <row r="140" spans="1:6" x14ac:dyDescent="0.35">
      <c r="A140" s="18">
        <v>511.74</v>
      </c>
      <c r="B140" s="18">
        <v>121.54</v>
      </c>
      <c r="C140" s="18">
        <f t="shared" si="8"/>
        <v>-464.34879999999964</v>
      </c>
      <c r="D140" s="18">
        <f t="shared" si="9"/>
        <v>-219.89505000000003</v>
      </c>
      <c r="E140" s="18">
        <f t="shared" si="10"/>
        <v>102108.00259343993</v>
      </c>
      <c r="F140" s="18">
        <f t="shared" si="11"/>
        <v>215619.80806143966</v>
      </c>
    </row>
    <row r="141" spans="1:6" x14ac:dyDescent="0.35">
      <c r="A141" s="18">
        <v>806.03</v>
      </c>
      <c r="B141" s="18">
        <v>268</v>
      </c>
      <c r="C141" s="18">
        <f t="shared" si="8"/>
        <v>-170.05879999999968</v>
      </c>
      <c r="D141" s="18">
        <f t="shared" si="9"/>
        <v>-73.435050000000047</v>
      </c>
      <c r="E141" s="18">
        <f t="shared" si="10"/>
        <v>12488.276480939985</v>
      </c>
      <c r="F141" s="18">
        <f t="shared" si="11"/>
        <v>28919.995457439891</v>
      </c>
    </row>
    <row r="142" spans="1:6" x14ac:dyDescent="0.35">
      <c r="A142" s="18">
        <v>1432.47</v>
      </c>
      <c r="B142" s="18">
        <v>426.16</v>
      </c>
      <c r="C142" s="18">
        <f t="shared" si="8"/>
        <v>456.38120000000038</v>
      </c>
      <c r="D142" s="18">
        <f t="shared" si="9"/>
        <v>84.724949999999978</v>
      </c>
      <c r="E142" s="18">
        <f t="shared" si="10"/>
        <v>38666.874350940023</v>
      </c>
      <c r="F142" s="18">
        <f t="shared" si="11"/>
        <v>208283.79971344036</v>
      </c>
    </row>
    <row r="143" spans="1:6" x14ac:dyDescent="0.35">
      <c r="A143" s="18">
        <v>1488.58</v>
      </c>
      <c r="B143" s="18">
        <v>316.32</v>
      </c>
      <c r="C143" s="18">
        <f t="shared" si="8"/>
        <v>512.49120000000028</v>
      </c>
      <c r="D143" s="18">
        <f t="shared" si="9"/>
        <v>-25.115050000000053</v>
      </c>
      <c r="E143" s="18">
        <f t="shared" si="10"/>
        <v>-12871.242112560034</v>
      </c>
      <c r="F143" s="18">
        <f t="shared" si="11"/>
        <v>262647.23007744027</v>
      </c>
    </row>
    <row r="144" spans="1:6" x14ac:dyDescent="0.35">
      <c r="A144" s="18">
        <v>1231.26</v>
      </c>
      <c r="B144" s="18">
        <v>492.5</v>
      </c>
      <c r="C144" s="18">
        <f t="shared" si="8"/>
        <v>255.17120000000034</v>
      </c>
      <c r="D144" s="18">
        <f t="shared" si="9"/>
        <v>151.06494999999995</v>
      </c>
      <c r="E144" s="18">
        <f t="shared" si="10"/>
        <v>38547.424569440038</v>
      </c>
      <c r="F144" s="18">
        <f t="shared" si="11"/>
        <v>65112.341309440177</v>
      </c>
    </row>
    <row r="145" spans="1:6" x14ac:dyDescent="0.35">
      <c r="A145" s="18">
        <v>1161.67</v>
      </c>
      <c r="B145" s="18">
        <v>232.33</v>
      </c>
      <c r="C145" s="18">
        <f t="shared" si="8"/>
        <v>185.58120000000042</v>
      </c>
      <c r="D145" s="18">
        <f t="shared" si="9"/>
        <v>-109.10505000000003</v>
      </c>
      <c r="E145" s="18">
        <f t="shared" si="10"/>
        <v>-20247.846105060053</v>
      </c>
      <c r="F145" s="18">
        <f t="shared" si="11"/>
        <v>34440.38179344016</v>
      </c>
    </row>
    <row r="146" spans="1:6" x14ac:dyDescent="0.35">
      <c r="A146" s="18">
        <v>388.23</v>
      </c>
      <c r="B146" s="18">
        <v>165.97</v>
      </c>
      <c r="C146" s="18">
        <f t="shared" si="8"/>
        <v>-587.85879999999963</v>
      </c>
      <c r="D146" s="18">
        <f t="shared" si="9"/>
        <v>-175.46505000000005</v>
      </c>
      <c r="E146" s="18">
        <f t="shared" si="10"/>
        <v>103148.67373493996</v>
      </c>
      <c r="F146" s="18">
        <f t="shared" si="11"/>
        <v>345577.96873743954</v>
      </c>
    </row>
    <row r="147" spans="1:6" x14ac:dyDescent="0.35">
      <c r="A147" s="18">
        <v>1589.42</v>
      </c>
      <c r="B147" s="18">
        <v>675.5</v>
      </c>
      <c r="C147" s="18">
        <f t="shared" si="8"/>
        <v>613.33120000000042</v>
      </c>
      <c r="D147" s="18">
        <f t="shared" si="9"/>
        <v>334.06494999999995</v>
      </c>
      <c r="E147" s="18">
        <f t="shared" si="10"/>
        <v>204892.45666144011</v>
      </c>
      <c r="F147" s="18">
        <f t="shared" si="11"/>
        <v>376175.16089344054</v>
      </c>
    </row>
    <row r="148" spans="1:6" x14ac:dyDescent="0.35">
      <c r="A148" s="18">
        <v>336.66</v>
      </c>
      <c r="B148" s="18">
        <v>134.66</v>
      </c>
      <c r="C148" s="18">
        <f t="shared" si="8"/>
        <v>-639.42879999999968</v>
      </c>
      <c r="D148" s="18">
        <f t="shared" si="9"/>
        <v>-206.77505000000005</v>
      </c>
      <c r="E148" s="18">
        <f t="shared" si="10"/>
        <v>132217.92209143998</v>
      </c>
      <c r="F148" s="18">
        <f t="shared" si="11"/>
        <v>408869.1902694396</v>
      </c>
    </row>
    <row r="149" spans="1:6" x14ac:dyDescent="0.35">
      <c r="A149" s="18">
        <v>1353.79</v>
      </c>
      <c r="B149" s="18">
        <v>487.36</v>
      </c>
      <c r="C149" s="18">
        <f t="shared" si="8"/>
        <v>377.70120000000031</v>
      </c>
      <c r="D149" s="18">
        <f t="shared" si="9"/>
        <v>145.92494999999997</v>
      </c>
      <c r="E149" s="18">
        <f t="shared" si="10"/>
        <v>55116.028724940035</v>
      </c>
      <c r="F149" s="18">
        <f t="shared" si="11"/>
        <v>142658.19648144025</v>
      </c>
    </row>
    <row r="150" spans="1:6" x14ac:dyDescent="0.35">
      <c r="A150" s="18">
        <v>662.61</v>
      </c>
      <c r="B150" s="18">
        <v>314.74</v>
      </c>
      <c r="C150" s="18">
        <f t="shared" si="8"/>
        <v>-313.47879999999964</v>
      </c>
      <c r="D150" s="18">
        <f t="shared" si="9"/>
        <v>-26.695050000000037</v>
      </c>
      <c r="E150" s="18">
        <f t="shared" si="10"/>
        <v>8368.3322399400022</v>
      </c>
      <c r="F150" s="18">
        <f t="shared" si="11"/>
        <v>98268.958049439767</v>
      </c>
    </row>
    <row r="151" spans="1:6" x14ac:dyDescent="0.35">
      <c r="A151" s="18">
        <v>309.42</v>
      </c>
      <c r="B151" s="18">
        <v>111.39</v>
      </c>
      <c r="C151" s="18">
        <f t="shared" si="8"/>
        <v>-666.66879999999969</v>
      </c>
      <c r="D151" s="18">
        <f t="shared" si="9"/>
        <v>-230.04505000000006</v>
      </c>
      <c r="E151" s="18">
        <f t="shared" si="10"/>
        <v>153363.85742943996</v>
      </c>
      <c r="F151" s="18">
        <f t="shared" si="11"/>
        <v>444447.28889343957</v>
      </c>
    </row>
    <row r="152" spans="1:6" x14ac:dyDescent="0.35">
      <c r="A152" s="18">
        <v>884.63</v>
      </c>
      <c r="B152" s="18">
        <v>318.47000000000003</v>
      </c>
      <c r="C152" s="18">
        <f t="shared" si="8"/>
        <v>-91.458799999999655</v>
      </c>
      <c r="D152" s="18">
        <f t="shared" si="9"/>
        <v>-22.965050000000019</v>
      </c>
      <c r="E152" s="18">
        <f t="shared" si="10"/>
        <v>2100.3559149399939</v>
      </c>
      <c r="F152" s="18">
        <f t="shared" si="11"/>
        <v>8364.7120974399368</v>
      </c>
    </row>
    <row r="153" spans="1:6" x14ac:dyDescent="0.35">
      <c r="A153" s="18">
        <v>745.05</v>
      </c>
      <c r="B153" s="18">
        <v>301.75</v>
      </c>
      <c r="C153" s="18">
        <f t="shared" si="8"/>
        <v>-231.0387999999997</v>
      </c>
      <c r="D153" s="18">
        <f t="shared" si="9"/>
        <v>-39.685050000000047</v>
      </c>
      <c r="E153" s="18">
        <f t="shared" si="10"/>
        <v>9168.7863299399978</v>
      </c>
      <c r="F153" s="18">
        <f t="shared" si="11"/>
        <v>53378.927105439863</v>
      </c>
    </row>
    <row r="154" spans="1:6" x14ac:dyDescent="0.35">
      <c r="A154" s="18">
        <v>870.23</v>
      </c>
      <c r="B154" s="18">
        <v>413.36</v>
      </c>
      <c r="C154" s="18">
        <f t="shared" si="8"/>
        <v>-105.85879999999963</v>
      </c>
      <c r="D154" s="18">
        <f t="shared" si="9"/>
        <v>71.924949999999967</v>
      </c>
      <c r="E154" s="18">
        <f t="shared" si="10"/>
        <v>-7613.8888970599701</v>
      </c>
      <c r="F154" s="18">
        <f t="shared" si="11"/>
        <v>11206.085537439922</v>
      </c>
    </row>
    <row r="155" spans="1:6" x14ac:dyDescent="0.35">
      <c r="A155" s="18">
        <v>862.19</v>
      </c>
      <c r="B155" s="18">
        <v>286.68</v>
      </c>
      <c r="C155" s="18">
        <f t="shared" si="8"/>
        <v>-113.8987999999996</v>
      </c>
      <c r="D155" s="18">
        <f t="shared" si="9"/>
        <v>-54.75505000000004</v>
      </c>
      <c r="E155" s="18">
        <f t="shared" si="10"/>
        <v>6236.5344889399821</v>
      </c>
      <c r="F155" s="18">
        <f t="shared" si="11"/>
        <v>12972.936641439908</v>
      </c>
    </row>
    <row r="156" spans="1:6" x14ac:dyDescent="0.35">
      <c r="A156" s="18">
        <v>1171.18</v>
      </c>
      <c r="B156" s="18">
        <v>556.30999999999995</v>
      </c>
      <c r="C156" s="18">
        <f t="shared" si="8"/>
        <v>195.09120000000041</v>
      </c>
      <c r="D156" s="18">
        <f t="shared" si="9"/>
        <v>214.8749499999999</v>
      </c>
      <c r="E156" s="18">
        <f t="shared" si="10"/>
        <v>41920.21184544007</v>
      </c>
      <c r="F156" s="18">
        <f t="shared" si="11"/>
        <v>38060.576317440158</v>
      </c>
    </row>
    <row r="157" spans="1:6" x14ac:dyDescent="0.35">
      <c r="A157" s="18">
        <v>1054.56</v>
      </c>
      <c r="B157" s="18">
        <v>332.19</v>
      </c>
      <c r="C157" s="18">
        <f t="shared" si="8"/>
        <v>78.471200000000294</v>
      </c>
      <c r="D157" s="18">
        <f t="shared" si="9"/>
        <v>-9.2450500000000488</v>
      </c>
      <c r="E157" s="18">
        <f t="shared" si="10"/>
        <v>-725.47016756000653</v>
      </c>
      <c r="F157" s="18">
        <f t="shared" si="11"/>
        <v>6157.7292294400459</v>
      </c>
    </row>
    <row r="158" spans="1:6" x14ac:dyDescent="0.35">
      <c r="A158" s="18">
        <v>1681.21</v>
      </c>
      <c r="B158" s="18">
        <v>336.24</v>
      </c>
      <c r="C158" s="18">
        <f t="shared" si="8"/>
        <v>705.12120000000039</v>
      </c>
      <c r="D158" s="18">
        <f t="shared" si="9"/>
        <v>-5.1950500000000375</v>
      </c>
      <c r="E158" s="18">
        <f t="shared" si="10"/>
        <v>-3663.1398900600284</v>
      </c>
      <c r="F158" s="18">
        <f t="shared" si="11"/>
        <v>497195.90668944054</v>
      </c>
    </row>
    <row r="159" spans="1:6" x14ac:dyDescent="0.35">
      <c r="A159" s="18">
        <v>379.77</v>
      </c>
      <c r="B159" s="18">
        <v>180.39</v>
      </c>
      <c r="C159" s="18">
        <f t="shared" si="8"/>
        <v>-596.31879999999967</v>
      </c>
      <c r="D159" s="18">
        <f t="shared" si="9"/>
        <v>-161.04505000000006</v>
      </c>
      <c r="E159" s="18">
        <f t="shared" si="10"/>
        <v>96034.190961939981</v>
      </c>
      <c r="F159" s="18">
        <f t="shared" si="11"/>
        <v>355596.11123343959</v>
      </c>
    </row>
    <row r="160" spans="1:6" x14ac:dyDescent="0.35">
      <c r="A160" s="18">
        <v>1076.33</v>
      </c>
      <c r="B160" s="18">
        <v>484.35</v>
      </c>
      <c r="C160" s="18">
        <f t="shared" si="8"/>
        <v>100.24120000000028</v>
      </c>
      <c r="D160" s="18">
        <f t="shared" si="9"/>
        <v>142.91494999999998</v>
      </c>
      <c r="E160" s="18">
        <f t="shared" si="10"/>
        <v>14325.966085940037</v>
      </c>
      <c r="F160" s="18">
        <f t="shared" si="11"/>
        <v>10048.298177440056</v>
      </c>
    </row>
    <row r="161" spans="1:6" x14ac:dyDescent="0.35">
      <c r="A161" s="18">
        <v>1250.71</v>
      </c>
      <c r="B161" s="18">
        <v>562.82000000000005</v>
      </c>
      <c r="C161" s="18">
        <f t="shared" si="8"/>
        <v>274.62120000000039</v>
      </c>
      <c r="D161" s="18">
        <f t="shared" si="9"/>
        <v>221.38495</v>
      </c>
      <c r="E161" s="18">
        <f t="shared" si="10"/>
        <v>60797.000630940085</v>
      </c>
      <c r="F161" s="18">
        <f t="shared" si="11"/>
        <v>75416.803489440208</v>
      </c>
    </row>
    <row r="162" spans="1:6" x14ac:dyDescent="0.35">
      <c r="A162" s="18">
        <v>1118.3399999999999</v>
      </c>
      <c r="B162" s="18">
        <v>447.34</v>
      </c>
      <c r="C162" s="18">
        <f t="shared" si="8"/>
        <v>142.25120000000027</v>
      </c>
      <c r="D162" s="18">
        <f t="shared" si="9"/>
        <v>105.90494999999993</v>
      </c>
      <c r="E162" s="18">
        <f t="shared" si="10"/>
        <v>15065.106223440018</v>
      </c>
      <c r="F162" s="18">
        <f t="shared" si="11"/>
        <v>20235.403901440077</v>
      </c>
    </row>
    <row r="163" spans="1:6" x14ac:dyDescent="0.35">
      <c r="A163" s="18">
        <v>1622.62</v>
      </c>
      <c r="B163" s="18">
        <v>649.04999999999995</v>
      </c>
      <c r="C163" s="18">
        <f t="shared" si="8"/>
        <v>646.53120000000024</v>
      </c>
      <c r="D163" s="18">
        <f t="shared" si="9"/>
        <v>307.61494999999991</v>
      </c>
      <c r="E163" s="18">
        <f t="shared" si="10"/>
        <v>198882.66276144001</v>
      </c>
      <c r="F163" s="18">
        <f t="shared" si="11"/>
        <v>418002.59257344028</v>
      </c>
    </row>
    <row r="164" spans="1:6" x14ac:dyDescent="0.35">
      <c r="A164" s="18">
        <v>640.64</v>
      </c>
      <c r="B164" s="18">
        <v>205</v>
      </c>
      <c r="C164" s="18">
        <f t="shared" si="8"/>
        <v>-335.44879999999966</v>
      </c>
      <c r="D164" s="18">
        <f t="shared" si="9"/>
        <v>-136.43505000000005</v>
      </c>
      <c r="E164" s="18">
        <f t="shared" si="10"/>
        <v>45766.97380043997</v>
      </c>
      <c r="F164" s="18">
        <f t="shared" si="11"/>
        <v>112525.89742143977</v>
      </c>
    </row>
    <row r="165" spans="1:6" x14ac:dyDescent="0.35">
      <c r="A165" s="18">
        <v>585.16</v>
      </c>
      <c r="B165" s="18">
        <v>263.32</v>
      </c>
      <c r="C165" s="18">
        <f t="shared" si="8"/>
        <v>-390.92879999999968</v>
      </c>
      <c r="D165" s="18">
        <f t="shared" si="9"/>
        <v>-78.115050000000053</v>
      </c>
      <c r="E165" s="18">
        <f t="shared" si="10"/>
        <v>30537.422758439996</v>
      </c>
      <c r="F165" s="18">
        <f t="shared" si="11"/>
        <v>152825.32666943976</v>
      </c>
    </row>
    <row r="166" spans="1:6" x14ac:dyDescent="0.35">
      <c r="A166" s="18">
        <v>1109.98</v>
      </c>
      <c r="B166" s="18">
        <v>443.99</v>
      </c>
      <c r="C166" s="18">
        <f t="shared" si="8"/>
        <v>133.89120000000037</v>
      </c>
      <c r="D166" s="18">
        <f t="shared" si="9"/>
        <v>102.55494999999996</v>
      </c>
      <c r="E166" s="18">
        <f t="shared" si="10"/>
        <v>13731.205321440033</v>
      </c>
      <c r="F166" s="18">
        <f t="shared" si="11"/>
        <v>17926.853437440099</v>
      </c>
    </row>
    <row r="167" spans="1:6" x14ac:dyDescent="0.35">
      <c r="A167" s="18">
        <v>1098.08</v>
      </c>
      <c r="B167" s="18">
        <v>395.31</v>
      </c>
      <c r="C167" s="18">
        <f t="shared" si="8"/>
        <v>121.99120000000028</v>
      </c>
      <c r="D167" s="18">
        <f t="shared" si="9"/>
        <v>53.874949999999956</v>
      </c>
      <c r="E167" s="18">
        <f t="shared" si="10"/>
        <v>6572.2698004400099</v>
      </c>
      <c r="F167" s="18">
        <f t="shared" si="11"/>
        <v>14881.852877440067</v>
      </c>
    </row>
    <row r="168" spans="1:6" x14ac:dyDescent="0.35">
      <c r="A168" s="18">
        <v>827.25</v>
      </c>
      <c r="B168" s="18">
        <v>335.04</v>
      </c>
      <c r="C168" s="18">
        <f t="shared" si="8"/>
        <v>-148.83879999999965</v>
      </c>
      <c r="D168" s="18">
        <f t="shared" si="9"/>
        <v>-6.3950500000000261</v>
      </c>
      <c r="E168" s="18">
        <f t="shared" si="10"/>
        <v>951.83156794000161</v>
      </c>
      <c r="F168" s="18">
        <f t="shared" si="11"/>
        <v>22152.988385439898</v>
      </c>
    </row>
    <row r="169" spans="1:6" x14ac:dyDescent="0.35">
      <c r="A169" s="18">
        <v>741.88</v>
      </c>
      <c r="B169" s="18">
        <v>333.85</v>
      </c>
      <c r="C169" s="18">
        <f t="shared" si="8"/>
        <v>-234.20879999999966</v>
      </c>
      <c r="D169" s="18">
        <f t="shared" si="9"/>
        <v>-7.5850500000000238</v>
      </c>
      <c r="E169" s="18">
        <f t="shared" si="10"/>
        <v>1776.485458440003</v>
      </c>
      <c r="F169" s="18">
        <f t="shared" si="11"/>
        <v>54853.76199743984</v>
      </c>
    </row>
    <row r="170" spans="1:6" x14ac:dyDescent="0.35">
      <c r="A170" s="18">
        <v>1311.26</v>
      </c>
      <c r="B170" s="18">
        <v>531.05999999999995</v>
      </c>
      <c r="C170" s="18">
        <f t="shared" si="8"/>
        <v>335.17120000000034</v>
      </c>
      <c r="D170" s="18">
        <f t="shared" si="9"/>
        <v>189.6249499999999</v>
      </c>
      <c r="E170" s="18">
        <f t="shared" si="10"/>
        <v>63556.822041440028</v>
      </c>
      <c r="F170" s="18">
        <f t="shared" si="11"/>
        <v>112339.73330944023</v>
      </c>
    </row>
    <row r="171" spans="1:6" x14ac:dyDescent="0.35">
      <c r="A171" s="18">
        <v>573.32000000000005</v>
      </c>
      <c r="B171" s="18">
        <v>232.19</v>
      </c>
      <c r="C171" s="18">
        <f t="shared" si="8"/>
        <v>-402.7687999999996</v>
      </c>
      <c r="D171" s="18">
        <f t="shared" si="9"/>
        <v>-109.24505000000005</v>
      </c>
      <c r="E171" s="18">
        <f t="shared" si="10"/>
        <v>44000.497694439975</v>
      </c>
      <c r="F171" s="18">
        <f t="shared" si="11"/>
        <v>162222.70625343968</v>
      </c>
    </row>
    <row r="172" spans="1:6" x14ac:dyDescent="0.35">
      <c r="A172" s="18">
        <v>1115.22</v>
      </c>
      <c r="B172" s="18">
        <v>223.04</v>
      </c>
      <c r="C172" s="18">
        <f t="shared" si="8"/>
        <v>139.13120000000038</v>
      </c>
      <c r="D172" s="18">
        <f t="shared" si="9"/>
        <v>-118.39505000000005</v>
      </c>
      <c r="E172" s="18">
        <f t="shared" si="10"/>
        <v>-16472.445380560053</v>
      </c>
      <c r="F172" s="18">
        <f t="shared" si="11"/>
        <v>19357.490813440105</v>
      </c>
    </row>
    <row r="173" spans="1:6" x14ac:dyDescent="0.35">
      <c r="A173" s="18">
        <v>845.84</v>
      </c>
      <c r="B173" s="18">
        <v>422.92</v>
      </c>
      <c r="C173" s="18">
        <f t="shared" si="8"/>
        <v>-130.24879999999962</v>
      </c>
      <c r="D173" s="18">
        <f t="shared" si="9"/>
        <v>81.484949999999969</v>
      </c>
      <c r="E173" s="18">
        <f t="shared" si="10"/>
        <v>-10613.316955559965</v>
      </c>
      <c r="F173" s="18">
        <f t="shared" si="11"/>
        <v>16964.7499014399</v>
      </c>
    </row>
    <row r="174" spans="1:6" x14ac:dyDescent="0.35">
      <c r="A174" s="18">
        <v>1029.8</v>
      </c>
      <c r="B174" s="18">
        <v>257.45</v>
      </c>
      <c r="C174" s="18">
        <f t="shared" si="8"/>
        <v>53.711200000000304</v>
      </c>
      <c r="D174" s="18">
        <f t="shared" si="9"/>
        <v>-83.985050000000058</v>
      </c>
      <c r="E174" s="18">
        <f t="shared" si="10"/>
        <v>-4510.9378175600286</v>
      </c>
      <c r="F174" s="18">
        <f t="shared" si="11"/>
        <v>2884.8930054400325</v>
      </c>
    </row>
    <row r="175" spans="1:6" x14ac:dyDescent="0.35">
      <c r="A175" s="18">
        <v>1189.83</v>
      </c>
      <c r="B175" s="18">
        <v>380.75</v>
      </c>
      <c r="C175" s="18">
        <f t="shared" si="8"/>
        <v>213.74120000000028</v>
      </c>
      <c r="D175" s="18">
        <f t="shared" si="9"/>
        <v>39.314949999999953</v>
      </c>
      <c r="E175" s="18">
        <f t="shared" si="10"/>
        <v>8403.2245909400008</v>
      </c>
      <c r="F175" s="18">
        <f t="shared" si="11"/>
        <v>45685.300577440117</v>
      </c>
    </row>
    <row r="176" spans="1:6" x14ac:dyDescent="0.35">
      <c r="A176" s="18">
        <v>704.28</v>
      </c>
      <c r="B176" s="18">
        <v>225.37</v>
      </c>
      <c r="C176" s="18">
        <f t="shared" si="8"/>
        <v>-271.80879999999968</v>
      </c>
      <c r="D176" s="18">
        <f t="shared" si="9"/>
        <v>-116.06505000000004</v>
      </c>
      <c r="E176" s="18">
        <f t="shared" si="10"/>
        <v>31547.501962439976</v>
      </c>
      <c r="F176" s="18">
        <f t="shared" si="11"/>
        <v>73880.02375743982</v>
      </c>
    </row>
    <row r="177" spans="1:6" x14ac:dyDescent="0.35">
      <c r="A177" s="18">
        <v>1618.22</v>
      </c>
      <c r="B177" s="18">
        <v>582.55999999999995</v>
      </c>
      <c r="C177" s="18">
        <f t="shared" si="8"/>
        <v>642.13120000000038</v>
      </c>
      <c r="D177" s="18">
        <f t="shared" si="9"/>
        <v>241.1249499999999</v>
      </c>
      <c r="E177" s="18">
        <f t="shared" si="10"/>
        <v>154833.85349344002</v>
      </c>
      <c r="F177" s="18">
        <f t="shared" si="11"/>
        <v>412332.4780134405</v>
      </c>
    </row>
    <row r="178" spans="1:6" x14ac:dyDescent="0.35">
      <c r="A178" s="18">
        <v>1014.43</v>
      </c>
      <c r="B178" s="18">
        <v>344.91</v>
      </c>
      <c r="C178" s="18">
        <f t="shared" si="8"/>
        <v>38.341200000000299</v>
      </c>
      <c r="D178" s="18">
        <f t="shared" si="9"/>
        <v>3.4749499999999784</v>
      </c>
      <c r="E178" s="18">
        <f t="shared" si="10"/>
        <v>133.23375294000022</v>
      </c>
      <c r="F178" s="18">
        <f t="shared" si="11"/>
        <v>1470.047617440023</v>
      </c>
    </row>
    <row r="179" spans="1:6" x14ac:dyDescent="0.35">
      <c r="A179" s="18">
        <v>826.97</v>
      </c>
      <c r="B179" s="18">
        <v>330.79</v>
      </c>
      <c r="C179" s="18">
        <f t="shared" si="8"/>
        <v>-149.11879999999962</v>
      </c>
      <c r="D179" s="18">
        <f t="shared" si="9"/>
        <v>-10.645050000000026</v>
      </c>
      <c r="E179" s="18">
        <f t="shared" si="10"/>
        <v>1587.3770819399999</v>
      </c>
      <c r="F179" s="18">
        <f t="shared" si="11"/>
        <v>22236.416513439886</v>
      </c>
    </row>
    <row r="180" spans="1:6" x14ac:dyDescent="0.35">
      <c r="A180" s="18">
        <v>1022.23</v>
      </c>
      <c r="B180" s="18">
        <v>460</v>
      </c>
      <c r="C180" s="18">
        <f t="shared" si="8"/>
        <v>46.141200000000367</v>
      </c>
      <c r="D180" s="18">
        <f t="shared" si="9"/>
        <v>118.56494999999995</v>
      </c>
      <c r="E180" s="18">
        <f t="shared" si="10"/>
        <v>5470.7290709400413</v>
      </c>
      <c r="F180" s="18">
        <f t="shared" si="11"/>
        <v>2129.0103374400337</v>
      </c>
    </row>
    <row r="181" spans="1:6" x14ac:dyDescent="0.35">
      <c r="A181" s="18">
        <v>1099.69</v>
      </c>
      <c r="B181" s="18">
        <v>439.88</v>
      </c>
      <c r="C181" s="18">
        <f t="shared" si="8"/>
        <v>123.6012000000004</v>
      </c>
      <c r="D181" s="18">
        <f t="shared" si="9"/>
        <v>98.444949999999949</v>
      </c>
      <c r="E181" s="18">
        <f t="shared" si="10"/>
        <v>12167.913953940033</v>
      </c>
      <c r="F181" s="18">
        <f t="shared" si="11"/>
        <v>15277.256641440099</v>
      </c>
    </row>
    <row r="182" spans="1:6" x14ac:dyDescent="0.35">
      <c r="A182" s="18">
        <v>710.52</v>
      </c>
      <c r="B182" s="18">
        <v>255.79</v>
      </c>
      <c r="C182" s="18">
        <f t="shared" si="8"/>
        <v>-265.56879999999967</v>
      </c>
      <c r="D182" s="18">
        <f t="shared" si="9"/>
        <v>-85.645050000000055</v>
      </c>
      <c r="E182" s="18">
        <f t="shared" si="10"/>
        <v>22744.653154439988</v>
      </c>
      <c r="F182" s="18">
        <f t="shared" si="11"/>
        <v>70526.787533439827</v>
      </c>
    </row>
    <row r="183" spans="1:6" x14ac:dyDescent="0.35">
      <c r="A183" s="18">
        <v>499.18</v>
      </c>
      <c r="B183" s="18">
        <v>159.74</v>
      </c>
      <c r="C183" s="18">
        <f t="shared" si="8"/>
        <v>-476.90879999999964</v>
      </c>
      <c r="D183" s="18">
        <f t="shared" si="9"/>
        <v>-181.69505000000004</v>
      </c>
      <c r="E183" s="18">
        <f t="shared" si="10"/>
        <v>86651.96826143995</v>
      </c>
      <c r="F183" s="18">
        <f t="shared" si="11"/>
        <v>227442.00351743965</v>
      </c>
    </row>
    <row r="184" spans="1:6" x14ac:dyDescent="0.35">
      <c r="A184" s="18">
        <v>1064.19</v>
      </c>
      <c r="B184" s="18">
        <v>404.39</v>
      </c>
      <c r="C184" s="18">
        <f t="shared" si="8"/>
        <v>88.101200000000404</v>
      </c>
      <c r="D184" s="18">
        <f t="shared" si="9"/>
        <v>62.95494999999994</v>
      </c>
      <c r="E184" s="18">
        <f t="shared" si="10"/>
        <v>5546.4066409400202</v>
      </c>
      <c r="F184" s="18">
        <f t="shared" si="11"/>
        <v>7761.8214414400709</v>
      </c>
    </row>
    <row r="185" spans="1:6" x14ac:dyDescent="0.35">
      <c r="A185" s="18">
        <v>438.76</v>
      </c>
      <c r="B185" s="18">
        <v>187.57</v>
      </c>
      <c r="C185" s="18">
        <f t="shared" si="8"/>
        <v>-537.32879999999966</v>
      </c>
      <c r="D185" s="18">
        <f t="shared" si="9"/>
        <v>-153.86505000000005</v>
      </c>
      <c r="E185" s="18">
        <f t="shared" si="10"/>
        <v>82676.122678439977</v>
      </c>
      <c r="F185" s="18">
        <f t="shared" si="11"/>
        <v>288722.23930943961</v>
      </c>
    </row>
    <row r="186" spans="1:6" x14ac:dyDescent="0.35">
      <c r="A186" s="18">
        <v>864.98</v>
      </c>
      <c r="B186" s="18">
        <v>410.87</v>
      </c>
      <c r="C186" s="18">
        <f t="shared" si="8"/>
        <v>-111.10879999999963</v>
      </c>
      <c r="D186" s="18">
        <f t="shared" si="9"/>
        <v>69.434949999999958</v>
      </c>
      <c r="E186" s="18">
        <f t="shared" si="10"/>
        <v>-7714.8339725599699</v>
      </c>
      <c r="F186" s="18">
        <f t="shared" si="11"/>
        <v>12345.165437439919</v>
      </c>
    </row>
    <row r="187" spans="1:6" x14ac:dyDescent="0.35">
      <c r="A187" s="18">
        <v>984.93</v>
      </c>
      <c r="B187" s="18">
        <v>275.77999999999997</v>
      </c>
      <c r="C187" s="18">
        <f t="shared" si="8"/>
        <v>8.841200000000299</v>
      </c>
      <c r="D187" s="18">
        <f t="shared" si="9"/>
        <v>-65.655050000000074</v>
      </c>
      <c r="E187" s="18">
        <f t="shared" si="10"/>
        <v>-580.46942806002028</v>
      </c>
      <c r="F187" s="18">
        <f t="shared" si="11"/>
        <v>78.166817440005289</v>
      </c>
    </row>
    <row r="188" spans="1:6" x14ac:dyDescent="0.35">
      <c r="A188" s="18">
        <v>1493.49</v>
      </c>
      <c r="B188" s="18">
        <v>746.74</v>
      </c>
      <c r="C188" s="18">
        <f t="shared" si="8"/>
        <v>517.40120000000036</v>
      </c>
      <c r="D188" s="18">
        <f t="shared" si="9"/>
        <v>405.30494999999996</v>
      </c>
      <c r="E188" s="18">
        <f t="shared" si="10"/>
        <v>209705.26749594012</v>
      </c>
      <c r="F188" s="18">
        <f t="shared" si="11"/>
        <v>267704.00176144036</v>
      </c>
    </row>
    <row r="189" spans="1:6" x14ac:dyDescent="0.35">
      <c r="A189" s="18">
        <v>689.43</v>
      </c>
      <c r="B189" s="18">
        <v>310.24</v>
      </c>
      <c r="C189" s="18">
        <f t="shared" si="8"/>
        <v>-286.6587999999997</v>
      </c>
      <c r="D189" s="18">
        <f t="shared" si="9"/>
        <v>-31.195050000000037</v>
      </c>
      <c r="E189" s="18">
        <f t="shared" si="10"/>
        <v>8942.3355989400006</v>
      </c>
      <c r="F189" s="18">
        <f t="shared" si="11"/>
        <v>82173.267617439822</v>
      </c>
    </row>
    <row r="190" spans="1:6" x14ac:dyDescent="0.35">
      <c r="A190" s="18">
        <v>682.24</v>
      </c>
      <c r="B190" s="18">
        <v>341.12</v>
      </c>
      <c r="C190" s="18">
        <f t="shared" si="8"/>
        <v>-293.84879999999964</v>
      </c>
      <c r="D190" s="18">
        <f t="shared" si="9"/>
        <v>-0.31505000000004202</v>
      </c>
      <c r="E190" s="18">
        <f t="shared" si="10"/>
        <v>92.577064440012236</v>
      </c>
      <c r="F190" s="18">
        <f t="shared" si="11"/>
        <v>86347.117261439795</v>
      </c>
    </row>
    <row r="191" spans="1:6" x14ac:dyDescent="0.35">
      <c r="A191" s="18">
        <v>458.54</v>
      </c>
      <c r="B191" s="18">
        <v>91.71</v>
      </c>
      <c r="C191" s="18">
        <f t="shared" si="8"/>
        <v>-517.54879999999957</v>
      </c>
      <c r="D191" s="18">
        <f t="shared" si="9"/>
        <v>-249.72505000000007</v>
      </c>
      <c r="E191" s="18">
        <f t="shared" si="10"/>
        <v>129244.89995743993</v>
      </c>
      <c r="F191" s="18">
        <f t="shared" si="11"/>
        <v>267856.76038143958</v>
      </c>
    </row>
    <row r="192" spans="1:6" x14ac:dyDescent="0.35">
      <c r="A192" s="18">
        <v>1184.25</v>
      </c>
      <c r="B192" s="18">
        <v>331.59</v>
      </c>
      <c r="C192" s="18">
        <f t="shared" si="8"/>
        <v>208.16120000000035</v>
      </c>
      <c r="D192" s="18">
        <f t="shared" si="9"/>
        <v>-9.8450500000000716</v>
      </c>
      <c r="E192" s="18">
        <f t="shared" si="10"/>
        <v>-2049.3574220600185</v>
      </c>
      <c r="F192" s="18">
        <f t="shared" si="11"/>
        <v>43331.085185440148</v>
      </c>
    </row>
    <row r="193" spans="1:6" x14ac:dyDescent="0.35">
      <c r="A193" s="18">
        <v>762.14</v>
      </c>
      <c r="B193" s="18">
        <v>381.07</v>
      </c>
      <c r="C193" s="18">
        <f t="shared" si="8"/>
        <v>-213.94879999999966</v>
      </c>
      <c r="D193" s="18">
        <f t="shared" si="9"/>
        <v>39.634949999999947</v>
      </c>
      <c r="E193" s="18">
        <f t="shared" si="10"/>
        <v>-8479.8499905599747</v>
      </c>
      <c r="F193" s="18">
        <f t="shared" si="11"/>
        <v>45774.089021439853</v>
      </c>
    </row>
    <row r="194" spans="1:6" x14ac:dyDescent="0.35">
      <c r="A194" s="18">
        <v>750.71</v>
      </c>
      <c r="B194" s="18">
        <v>255.24</v>
      </c>
      <c r="C194" s="18">
        <f t="shared" si="8"/>
        <v>-225.37879999999961</v>
      </c>
      <c r="D194" s="18">
        <f t="shared" si="9"/>
        <v>-86.195050000000037</v>
      </c>
      <c r="E194" s="18">
        <f t="shared" si="10"/>
        <v>19426.536934939973</v>
      </c>
      <c r="F194" s="18">
        <f t="shared" si="11"/>
        <v>50795.603489439825</v>
      </c>
    </row>
    <row r="195" spans="1:6" x14ac:dyDescent="0.35">
      <c r="A195" s="18">
        <v>1456.94</v>
      </c>
      <c r="B195" s="18">
        <v>692.05</v>
      </c>
      <c r="C195" s="18">
        <f t="shared" si="8"/>
        <v>480.8512000000004</v>
      </c>
      <c r="D195" s="18">
        <f t="shared" si="9"/>
        <v>350.61494999999991</v>
      </c>
      <c r="E195" s="18">
        <f t="shared" si="10"/>
        <v>168593.6194454401</v>
      </c>
      <c r="F195" s="18">
        <f t="shared" si="11"/>
        <v>231217.87654144038</v>
      </c>
    </row>
    <row r="196" spans="1:6" x14ac:dyDescent="0.35">
      <c r="A196" s="18">
        <v>1093.3800000000001</v>
      </c>
      <c r="B196" s="18">
        <v>344.41</v>
      </c>
      <c r="C196" s="18">
        <f t="shared" ref="C196:C202" si="12">(A196-$G$3)</f>
        <v>117.29120000000046</v>
      </c>
      <c r="D196" s="18">
        <f t="shared" ref="D196:D202" si="13">(B196-$H$3)</f>
        <v>2.9749499999999784</v>
      </c>
      <c r="E196" s="18">
        <f t="shared" ref="E196:E202" si="14">(C196*D196)</f>
        <v>348.93545543999886</v>
      </c>
      <c r="F196" s="18">
        <f t="shared" ref="F196:F202" si="15">(C196*C196)</f>
        <v>13757.225597440107</v>
      </c>
    </row>
    <row r="197" spans="1:6" x14ac:dyDescent="0.35">
      <c r="A197" s="18">
        <v>934.27</v>
      </c>
      <c r="B197" s="18">
        <v>397.06</v>
      </c>
      <c r="C197" s="18">
        <f t="shared" si="12"/>
        <v>-41.818799999999669</v>
      </c>
      <c r="D197" s="18">
        <f t="shared" si="13"/>
        <v>55.624949999999956</v>
      </c>
      <c r="E197" s="18">
        <f t="shared" si="14"/>
        <v>-2326.1686590599797</v>
      </c>
      <c r="F197" s="18">
        <f t="shared" si="15"/>
        <v>1748.8120334399723</v>
      </c>
    </row>
    <row r="198" spans="1:6" x14ac:dyDescent="0.35">
      <c r="A198" s="18">
        <v>1465.35</v>
      </c>
      <c r="B198" s="18">
        <v>586.14</v>
      </c>
      <c r="C198" s="18">
        <f t="shared" si="12"/>
        <v>489.26120000000026</v>
      </c>
      <c r="D198" s="18">
        <f t="shared" si="13"/>
        <v>244.70494999999994</v>
      </c>
      <c r="E198" s="18">
        <f t="shared" si="14"/>
        <v>119724.63748294003</v>
      </c>
      <c r="F198" s="18">
        <f t="shared" si="15"/>
        <v>239376.52182544026</v>
      </c>
    </row>
    <row r="199" spans="1:6" x14ac:dyDescent="0.35">
      <c r="A199" s="18">
        <v>740.8</v>
      </c>
      <c r="B199" s="18">
        <v>333.36</v>
      </c>
      <c r="C199" s="18">
        <f t="shared" si="12"/>
        <v>-235.2887999999997</v>
      </c>
      <c r="D199" s="18">
        <f t="shared" si="13"/>
        <v>-8.0750500000000329</v>
      </c>
      <c r="E199" s="18">
        <f t="shared" si="14"/>
        <v>1899.9688244400054</v>
      </c>
      <c r="F199" s="18">
        <f t="shared" si="15"/>
        <v>55360.819405439855</v>
      </c>
    </row>
    <row r="200" spans="1:6" x14ac:dyDescent="0.35">
      <c r="A200" s="18">
        <v>545.44000000000005</v>
      </c>
      <c r="B200" s="18">
        <v>245.45</v>
      </c>
      <c r="C200" s="18">
        <f t="shared" si="12"/>
        <v>-430.6487999999996</v>
      </c>
      <c r="D200" s="18">
        <f t="shared" si="13"/>
        <v>-95.985050000000058</v>
      </c>
      <c r="E200" s="18">
        <f t="shared" si="14"/>
        <v>41335.846600439989</v>
      </c>
      <c r="F200" s="18">
        <f t="shared" si="15"/>
        <v>185458.38894143965</v>
      </c>
    </row>
    <row r="201" spans="1:6" x14ac:dyDescent="0.35">
      <c r="A201" s="18">
        <v>997.61</v>
      </c>
      <c r="B201" s="18">
        <v>379.09</v>
      </c>
      <c r="C201" s="18">
        <f t="shared" si="12"/>
        <v>21.521200000000363</v>
      </c>
      <c r="D201" s="18">
        <f t="shared" si="13"/>
        <v>37.654949999999928</v>
      </c>
      <c r="E201" s="18">
        <f t="shared" si="14"/>
        <v>810.37970994001216</v>
      </c>
      <c r="F201" s="18">
        <f t="shared" si="15"/>
        <v>463.16204944001561</v>
      </c>
    </row>
    <row r="202" spans="1:6" x14ac:dyDescent="0.35">
      <c r="A202" s="18">
        <v>928.32</v>
      </c>
      <c r="B202" s="18">
        <v>440.95</v>
      </c>
      <c r="C202" s="18">
        <f t="shared" si="12"/>
        <v>-47.768799999999601</v>
      </c>
      <c r="D202" s="18">
        <f t="shared" si="13"/>
        <v>99.514949999999942</v>
      </c>
      <c r="E202" s="18">
        <f t="shared" si="14"/>
        <v>-4753.7097435599571</v>
      </c>
      <c r="F202" s="18">
        <f t="shared" si="15"/>
        <v>2281.858253439962</v>
      </c>
    </row>
    <row r="203" spans="1:6" x14ac:dyDescent="0.35">
      <c r="E203">
        <f>SUM(E3:E202)</f>
        <v>6253443.7409120016</v>
      </c>
      <c r="F203">
        <f>SUM(F3:F202)</f>
        <v>17823391.794111997</v>
      </c>
    </row>
  </sheetData>
  <mergeCells count="2">
    <mergeCell ref="J2:O2"/>
    <mergeCell ref="J1:O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7F10-FA3F-45DC-ACCB-53D534594EEE}">
  <dimension ref="A1:P201"/>
  <sheetViews>
    <sheetView workbookViewId="0">
      <selection activeCell="E2" sqref="E2"/>
    </sheetView>
  </sheetViews>
  <sheetFormatPr defaultRowHeight="14.5" x14ac:dyDescent="0.35"/>
  <cols>
    <col min="1" max="1" width="16" bestFit="1" customWidth="1"/>
    <col min="2" max="2" width="6.81640625" bestFit="1" customWidth="1"/>
    <col min="3" max="3" width="15.7265625" bestFit="1" customWidth="1"/>
    <col min="4" max="4" width="13.453125" style="30" bestFit="1" customWidth="1"/>
    <col min="5" max="5" width="8" style="30" bestFit="1" customWidth="1"/>
    <col min="6" max="6" width="8.08984375" style="30" bestFit="1" customWidth="1"/>
    <col min="7" max="7" width="6.81640625" style="30" bestFit="1" customWidth="1"/>
    <col min="9" max="9" width="21.36328125" bestFit="1" customWidth="1"/>
    <col min="10" max="10" width="12.453125" bestFit="1" customWidth="1"/>
    <col min="11" max="11" width="21.36328125" bestFit="1" customWidth="1"/>
    <col min="12" max="12" width="12.453125" bestFit="1" customWidth="1"/>
    <col min="13" max="13" width="21.36328125" bestFit="1" customWidth="1"/>
    <col min="14" max="14" width="12.453125" bestFit="1" customWidth="1"/>
    <col min="15" max="15" width="21.36328125" bestFit="1" customWidth="1"/>
    <col min="16" max="16" width="11.81640625" bestFit="1" customWidth="1"/>
  </cols>
  <sheetData>
    <row r="1" spans="1:16" x14ac:dyDescent="0.35">
      <c r="A1" t="s">
        <v>3</v>
      </c>
      <c r="B1" t="s">
        <v>4</v>
      </c>
      <c r="C1" t="s">
        <v>5</v>
      </c>
      <c r="D1" s="32" t="s">
        <v>77</v>
      </c>
      <c r="E1" s="32" t="s">
        <v>6</v>
      </c>
      <c r="F1" s="32" t="s">
        <v>7</v>
      </c>
      <c r="G1" s="32" t="s">
        <v>9</v>
      </c>
    </row>
    <row r="2" spans="1:16" x14ac:dyDescent="0.35">
      <c r="A2" t="s">
        <v>11</v>
      </c>
      <c r="B2" t="s">
        <v>12</v>
      </c>
      <c r="C2" t="s">
        <v>13</v>
      </c>
      <c r="D2" s="32">
        <v>1036.0899999999999</v>
      </c>
      <c r="E2" s="32">
        <v>4</v>
      </c>
      <c r="F2" s="32">
        <v>0.2</v>
      </c>
      <c r="G2" s="32">
        <v>331.55</v>
      </c>
      <c r="I2" s="26" t="s">
        <v>78</v>
      </c>
    </row>
    <row r="3" spans="1:16" x14ac:dyDescent="0.35">
      <c r="A3" t="s">
        <v>15</v>
      </c>
      <c r="B3" t="s">
        <v>12</v>
      </c>
      <c r="C3" t="s">
        <v>16</v>
      </c>
      <c r="D3" s="32">
        <v>1101.28</v>
      </c>
      <c r="E3" s="32">
        <v>3</v>
      </c>
      <c r="F3" s="32">
        <v>0.2</v>
      </c>
      <c r="G3" s="32">
        <v>440.51</v>
      </c>
      <c r="I3" s="46" t="s">
        <v>164</v>
      </c>
      <c r="J3" s="46"/>
      <c r="K3" s="46"/>
      <c r="L3" s="46"/>
      <c r="M3" s="46"/>
    </row>
    <row r="4" spans="1:16" x14ac:dyDescent="0.35">
      <c r="A4" t="s">
        <v>18</v>
      </c>
      <c r="B4" t="s">
        <v>19</v>
      </c>
      <c r="C4" t="s">
        <v>13</v>
      </c>
      <c r="D4" s="32">
        <v>713.34</v>
      </c>
      <c r="E4" s="32">
        <v>17</v>
      </c>
      <c r="F4" s="32">
        <v>0</v>
      </c>
      <c r="G4" s="32">
        <v>285.33999999999997</v>
      </c>
      <c r="I4" s="46"/>
      <c r="J4" s="46"/>
      <c r="K4" s="46"/>
      <c r="L4" s="46"/>
      <c r="M4" s="46"/>
    </row>
    <row r="5" spans="1:16" x14ac:dyDescent="0.35">
      <c r="A5" t="s">
        <v>15</v>
      </c>
      <c r="B5" t="s">
        <v>21</v>
      </c>
      <c r="C5" t="s">
        <v>22</v>
      </c>
      <c r="D5" s="32">
        <v>760.93</v>
      </c>
      <c r="E5" s="32">
        <v>4</v>
      </c>
      <c r="F5" s="32">
        <v>0.15</v>
      </c>
      <c r="G5" s="32">
        <v>161.69999999999999</v>
      </c>
    </row>
    <row r="6" spans="1:16" x14ac:dyDescent="0.35">
      <c r="A6" t="s">
        <v>24</v>
      </c>
      <c r="B6" t="s">
        <v>25</v>
      </c>
      <c r="C6" t="s">
        <v>13</v>
      </c>
      <c r="D6" s="32">
        <v>847</v>
      </c>
      <c r="E6" s="32">
        <v>12</v>
      </c>
      <c r="F6" s="32">
        <v>0.2</v>
      </c>
      <c r="G6" s="32">
        <v>271.04000000000002</v>
      </c>
    </row>
    <row r="7" spans="1:16" ht="15" thickBot="1" x14ac:dyDescent="0.4">
      <c r="A7" t="s">
        <v>27</v>
      </c>
      <c r="B7" t="s">
        <v>25</v>
      </c>
      <c r="C7" t="s">
        <v>28</v>
      </c>
      <c r="D7" s="32">
        <v>965.64</v>
      </c>
      <c r="E7" s="32">
        <v>8</v>
      </c>
      <c r="F7" s="32">
        <v>0.1</v>
      </c>
      <c r="G7" s="32">
        <v>304.18</v>
      </c>
    </row>
    <row r="8" spans="1:16" x14ac:dyDescent="0.35">
      <c r="A8" t="s">
        <v>30</v>
      </c>
      <c r="B8" t="s">
        <v>12</v>
      </c>
      <c r="C8" t="s">
        <v>22</v>
      </c>
      <c r="D8" s="32">
        <v>1317.53</v>
      </c>
      <c r="E8" s="32">
        <v>12</v>
      </c>
      <c r="F8" s="32">
        <v>0.05</v>
      </c>
      <c r="G8" s="32">
        <v>312.91000000000003</v>
      </c>
      <c r="I8" s="20" t="s">
        <v>145</v>
      </c>
      <c r="J8" s="20"/>
      <c r="K8" s="20" t="s">
        <v>146</v>
      </c>
      <c r="L8" s="20"/>
      <c r="M8" s="20" t="s">
        <v>147</v>
      </c>
      <c r="N8" s="20"/>
      <c r="O8" s="20" t="s">
        <v>148</v>
      </c>
      <c r="P8" s="20"/>
    </row>
    <row r="9" spans="1:16" x14ac:dyDescent="0.35">
      <c r="A9" t="s">
        <v>32</v>
      </c>
      <c r="B9" t="s">
        <v>19</v>
      </c>
      <c r="C9" t="s">
        <v>28</v>
      </c>
      <c r="D9" s="32">
        <v>1074.47</v>
      </c>
      <c r="E9" s="32">
        <v>6</v>
      </c>
      <c r="F9" s="32">
        <v>0.2</v>
      </c>
      <c r="G9" s="32">
        <v>300.85000000000002</v>
      </c>
    </row>
    <row r="10" spans="1:16" x14ac:dyDescent="0.35">
      <c r="A10" t="s">
        <v>34</v>
      </c>
      <c r="B10" t="s">
        <v>35</v>
      </c>
      <c r="C10" t="s">
        <v>13</v>
      </c>
      <c r="D10" s="32">
        <v>501.54</v>
      </c>
      <c r="E10" s="32">
        <v>11</v>
      </c>
      <c r="F10" s="32">
        <v>0.05</v>
      </c>
      <c r="G10" s="32">
        <v>190.59</v>
      </c>
      <c r="I10" s="28" t="s">
        <v>149</v>
      </c>
      <c r="J10" s="28">
        <v>976.08879999999965</v>
      </c>
      <c r="K10" s="28" t="s">
        <v>149</v>
      </c>
      <c r="L10" s="28">
        <v>9.9949999999999992</v>
      </c>
      <c r="M10" s="28" t="s">
        <v>149</v>
      </c>
      <c r="N10" s="28">
        <v>9.7250000000000003E-2</v>
      </c>
      <c r="O10" s="28" t="s">
        <v>149</v>
      </c>
      <c r="P10" s="28">
        <v>341.43505000000005</v>
      </c>
    </row>
    <row r="11" spans="1:16" x14ac:dyDescent="0.35">
      <c r="A11" t="s">
        <v>37</v>
      </c>
      <c r="B11" t="s">
        <v>35</v>
      </c>
      <c r="C11" t="s">
        <v>16</v>
      </c>
      <c r="D11" s="32">
        <v>737.31</v>
      </c>
      <c r="E11" s="32">
        <v>2</v>
      </c>
      <c r="F11" s="32">
        <v>0.05</v>
      </c>
      <c r="G11" s="32">
        <v>350.22</v>
      </c>
      <c r="I11" s="13" t="s">
        <v>121</v>
      </c>
      <c r="J11" s="13">
        <v>21.161850448978406</v>
      </c>
      <c r="K11" s="13" t="s">
        <v>121</v>
      </c>
      <c r="L11" s="13">
        <v>0.39927682743257598</v>
      </c>
      <c r="M11" s="13" t="s">
        <v>121</v>
      </c>
      <c r="N11" s="13">
        <v>5.1142413732752686E-3</v>
      </c>
      <c r="O11" s="13" t="s">
        <v>121</v>
      </c>
      <c r="P11" s="13">
        <v>9.6001196472332531</v>
      </c>
    </row>
    <row r="12" spans="1:16" x14ac:dyDescent="0.35">
      <c r="A12" t="s">
        <v>39</v>
      </c>
      <c r="B12" t="s">
        <v>12</v>
      </c>
      <c r="C12" t="s">
        <v>40</v>
      </c>
      <c r="D12" s="32">
        <v>1572.82</v>
      </c>
      <c r="E12" s="32">
        <v>6</v>
      </c>
      <c r="F12" s="32">
        <v>0.05</v>
      </c>
      <c r="G12" s="32">
        <v>672.38</v>
      </c>
      <c r="I12" s="28" t="s">
        <v>150</v>
      </c>
      <c r="J12" s="28">
        <v>976.72</v>
      </c>
      <c r="K12" s="28" t="s">
        <v>150</v>
      </c>
      <c r="L12" s="28">
        <v>10</v>
      </c>
      <c r="M12" s="28" t="s">
        <v>150</v>
      </c>
      <c r="N12" s="28">
        <v>0.1</v>
      </c>
      <c r="O12" s="28" t="s">
        <v>150</v>
      </c>
      <c r="P12" s="28">
        <v>332.255</v>
      </c>
    </row>
    <row r="13" spans="1:16" x14ac:dyDescent="0.35">
      <c r="A13" t="s">
        <v>37</v>
      </c>
      <c r="B13" t="s">
        <v>35</v>
      </c>
      <c r="C13" t="s">
        <v>13</v>
      </c>
      <c r="D13" s="32">
        <v>1343.13</v>
      </c>
      <c r="E13" s="32">
        <v>14</v>
      </c>
      <c r="F13" s="32">
        <v>0.15</v>
      </c>
      <c r="G13" s="32">
        <v>456.66</v>
      </c>
      <c r="I13" s="31" t="s">
        <v>151</v>
      </c>
      <c r="J13" s="13" t="e">
        <v>#N/A</v>
      </c>
      <c r="K13" s="13" t="s">
        <v>151</v>
      </c>
      <c r="L13" s="13">
        <v>8</v>
      </c>
      <c r="M13" s="13" t="s">
        <v>151</v>
      </c>
      <c r="N13" s="13">
        <v>0.2</v>
      </c>
      <c r="O13" s="13" t="s">
        <v>151</v>
      </c>
      <c r="P13" s="13" t="e">
        <v>#N/A</v>
      </c>
    </row>
    <row r="14" spans="1:16" x14ac:dyDescent="0.35">
      <c r="A14" t="s">
        <v>27</v>
      </c>
      <c r="B14" t="s">
        <v>35</v>
      </c>
      <c r="C14" t="s">
        <v>13</v>
      </c>
      <c r="D14" s="32">
        <v>1191.58</v>
      </c>
      <c r="E14" s="32">
        <v>14</v>
      </c>
      <c r="F14" s="32">
        <v>0.05</v>
      </c>
      <c r="G14" s="32">
        <v>452.8</v>
      </c>
      <c r="I14" s="13" t="s">
        <v>152</v>
      </c>
      <c r="J14" s="13">
        <v>299.27375909856431</v>
      </c>
      <c r="K14" s="13" t="s">
        <v>152</v>
      </c>
      <c r="L14" s="13">
        <v>5.6466270449645082</v>
      </c>
      <c r="M14" s="13" t="s">
        <v>152</v>
      </c>
      <c r="N14" s="13">
        <v>7.232629511335488E-2</v>
      </c>
      <c r="O14" s="13" t="s">
        <v>152</v>
      </c>
      <c r="P14" s="13">
        <v>135.7661940552168</v>
      </c>
    </row>
    <row r="15" spans="1:16" x14ac:dyDescent="0.35">
      <c r="A15" t="s">
        <v>15</v>
      </c>
      <c r="B15" t="s">
        <v>12</v>
      </c>
      <c r="C15" t="s">
        <v>28</v>
      </c>
      <c r="D15" s="32">
        <v>822.28</v>
      </c>
      <c r="E15" s="32">
        <v>7</v>
      </c>
      <c r="F15" s="32">
        <v>0.05</v>
      </c>
      <c r="G15" s="32">
        <v>273.41000000000003</v>
      </c>
      <c r="I15" s="13" t="s">
        <v>153</v>
      </c>
      <c r="J15" s="13">
        <v>89564.782884985514</v>
      </c>
      <c r="K15" s="13" t="s">
        <v>153</v>
      </c>
      <c r="L15" s="13">
        <v>31.884396984924617</v>
      </c>
      <c r="M15" s="13" t="s">
        <v>153</v>
      </c>
      <c r="N15" s="13">
        <v>5.2310929648241022E-3</v>
      </c>
      <c r="O15" s="13" t="s">
        <v>153</v>
      </c>
      <c r="P15" s="13">
        <v>18432.459448238787</v>
      </c>
    </row>
    <row r="16" spans="1:16" x14ac:dyDescent="0.35">
      <c r="A16" t="s">
        <v>43</v>
      </c>
      <c r="B16" t="s">
        <v>25</v>
      </c>
      <c r="C16" t="s">
        <v>28</v>
      </c>
      <c r="D16" s="32">
        <v>521.66999999999996</v>
      </c>
      <c r="E16" s="32">
        <v>15</v>
      </c>
      <c r="F16" s="32">
        <v>0.15</v>
      </c>
      <c r="G16" s="32">
        <v>155.19999999999999</v>
      </c>
      <c r="I16" s="13" t="s">
        <v>154</v>
      </c>
      <c r="J16" s="13">
        <v>-8.8595231919740502E-2</v>
      </c>
      <c r="K16" s="13" t="s">
        <v>154</v>
      </c>
      <c r="L16" s="13">
        <v>-1.2091053826620759</v>
      </c>
      <c r="M16" s="13" t="s">
        <v>154</v>
      </c>
      <c r="N16" s="13">
        <v>-1.3257012415855784</v>
      </c>
      <c r="O16" s="13" t="s">
        <v>154</v>
      </c>
      <c r="P16" s="13">
        <v>0.26450643813582442</v>
      </c>
    </row>
    <row r="17" spans="1:16" x14ac:dyDescent="0.35">
      <c r="A17" t="s">
        <v>44</v>
      </c>
      <c r="B17" t="s">
        <v>21</v>
      </c>
      <c r="C17" t="s">
        <v>22</v>
      </c>
      <c r="D17" s="32">
        <v>1502.93</v>
      </c>
      <c r="E17" s="32">
        <v>14</v>
      </c>
      <c r="F17" s="32">
        <v>0.2</v>
      </c>
      <c r="G17" s="32">
        <v>300.58999999999997</v>
      </c>
      <c r="I17" s="13" t="s">
        <v>155</v>
      </c>
      <c r="J17" s="13">
        <v>0.14685796564193557</v>
      </c>
      <c r="K17" s="13" t="s">
        <v>155</v>
      </c>
      <c r="L17" s="13">
        <v>6.084586432077814E-2</v>
      </c>
      <c r="M17" s="13" t="s">
        <v>155</v>
      </c>
      <c r="N17" s="13">
        <v>9.6827385576684841E-2</v>
      </c>
      <c r="O17" s="13" t="s">
        <v>155</v>
      </c>
      <c r="P17" s="13">
        <v>0.57339636063424715</v>
      </c>
    </row>
    <row r="18" spans="1:16" x14ac:dyDescent="0.35">
      <c r="A18" t="s">
        <v>15</v>
      </c>
      <c r="B18" t="s">
        <v>21</v>
      </c>
      <c r="C18" t="s">
        <v>13</v>
      </c>
      <c r="D18" s="32">
        <v>877.58</v>
      </c>
      <c r="E18" s="32">
        <v>10</v>
      </c>
      <c r="F18" s="32">
        <v>0.15</v>
      </c>
      <c r="G18" s="32">
        <v>298.38</v>
      </c>
      <c r="I18" s="13" t="s">
        <v>156</v>
      </c>
      <c r="J18" s="13">
        <v>1665.15</v>
      </c>
      <c r="K18" s="13" t="s">
        <v>156</v>
      </c>
      <c r="L18" s="13">
        <v>18</v>
      </c>
      <c r="M18" s="13" t="s">
        <v>156</v>
      </c>
      <c r="N18" s="13">
        <v>0.2</v>
      </c>
      <c r="O18" s="13" t="s">
        <v>156</v>
      </c>
      <c r="P18" s="13">
        <v>704.83</v>
      </c>
    </row>
    <row r="19" spans="1:16" x14ac:dyDescent="0.35">
      <c r="A19" t="s">
        <v>46</v>
      </c>
      <c r="B19" t="s">
        <v>12</v>
      </c>
      <c r="C19" t="s">
        <v>13</v>
      </c>
      <c r="D19" s="32">
        <v>636.70000000000005</v>
      </c>
      <c r="E19" s="32">
        <v>4</v>
      </c>
      <c r="F19" s="32">
        <v>0.2</v>
      </c>
      <c r="G19" s="32">
        <v>203.74</v>
      </c>
      <c r="I19" s="28" t="s">
        <v>157</v>
      </c>
      <c r="J19" s="28">
        <v>258.51</v>
      </c>
      <c r="K19" s="28" t="s">
        <v>157</v>
      </c>
      <c r="L19" s="28">
        <v>1</v>
      </c>
      <c r="M19" s="28" t="s">
        <v>157</v>
      </c>
      <c r="N19" s="28">
        <v>0</v>
      </c>
      <c r="O19" s="28" t="s">
        <v>157</v>
      </c>
      <c r="P19" s="28">
        <v>64.63</v>
      </c>
    </row>
    <row r="20" spans="1:16" x14ac:dyDescent="0.35">
      <c r="A20" t="s">
        <v>48</v>
      </c>
      <c r="B20" t="s">
        <v>12</v>
      </c>
      <c r="C20" t="s">
        <v>13</v>
      </c>
      <c r="D20" s="32">
        <v>1506.14</v>
      </c>
      <c r="E20" s="32">
        <v>13</v>
      </c>
      <c r="F20" s="32">
        <v>0.2</v>
      </c>
      <c r="G20" s="32">
        <v>481.96</v>
      </c>
      <c r="I20" s="28" t="s">
        <v>158</v>
      </c>
      <c r="J20" s="28">
        <v>1923.66</v>
      </c>
      <c r="K20" s="28" t="s">
        <v>158</v>
      </c>
      <c r="L20" s="28">
        <v>19</v>
      </c>
      <c r="M20" s="28" t="s">
        <v>158</v>
      </c>
      <c r="N20" s="28">
        <v>0.2</v>
      </c>
      <c r="O20" s="28" t="s">
        <v>158</v>
      </c>
      <c r="P20" s="28">
        <v>769.46</v>
      </c>
    </row>
    <row r="21" spans="1:16" x14ac:dyDescent="0.35">
      <c r="A21" t="s">
        <v>32</v>
      </c>
      <c r="B21" t="s">
        <v>35</v>
      </c>
      <c r="C21" t="s">
        <v>22</v>
      </c>
      <c r="D21" s="32">
        <v>645.02</v>
      </c>
      <c r="E21" s="32">
        <v>4</v>
      </c>
      <c r="F21" s="32">
        <v>0</v>
      </c>
      <c r="G21" s="32">
        <v>161.26</v>
      </c>
      <c r="I21" s="28" t="s">
        <v>159</v>
      </c>
      <c r="J21" s="28">
        <v>195217.75999999992</v>
      </c>
      <c r="K21" s="28" t="s">
        <v>159</v>
      </c>
      <c r="L21" s="28">
        <v>1999</v>
      </c>
      <c r="M21" s="28" t="s">
        <v>159</v>
      </c>
      <c r="N21" s="28">
        <v>19.45</v>
      </c>
      <c r="O21" s="28" t="s">
        <v>159</v>
      </c>
      <c r="P21" s="28">
        <v>68287.010000000009</v>
      </c>
    </row>
    <row r="22" spans="1:16" x14ac:dyDescent="0.35">
      <c r="A22" t="s">
        <v>49</v>
      </c>
      <c r="B22" t="s">
        <v>21</v>
      </c>
      <c r="C22" t="s">
        <v>16</v>
      </c>
      <c r="D22" s="32">
        <v>953.3</v>
      </c>
      <c r="E22" s="32">
        <v>11</v>
      </c>
      <c r="F22" s="32">
        <v>0</v>
      </c>
      <c r="G22" s="32">
        <v>476.65</v>
      </c>
      <c r="I22" s="28" t="s">
        <v>160</v>
      </c>
      <c r="J22" s="28">
        <v>200</v>
      </c>
      <c r="K22" s="28" t="s">
        <v>160</v>
      </c>
      <c r="L22" s="28">
        <v>200</v>
      </c>
      <c r="M22" s="28" t="s">
        <v>160</v>
      </c>
      <c r="N22" s="28">
        <v>200</v>
      </c>
      <c r="O22" s="28" t="s">
        <v>160</v>
      </c>
      <c r="P22" s="28">
        <v>200</v>
      </c>
    </row>
    <row r="23" spans="1:16" x14ac:dyDescent="0.35">
      <c r="A23" t="s">
        <v>15</v>
      </c>
      <c r="B23" t="s">
        <v>25</v>
      </c>
      <c r="C23" t="s">
        <v>22</v>
      </c>
      <c r="D23" s="32">
        <v>388.56</v>
      </c>
      <c r="E23" s="32">
        <v>14</v>
      </c>
      <c r="F23" s="32">
        <v>0.15</v>
      </c>
      <c r="G23" s="32">
        <v>82.57</v>
      </c>
      <c r="I23" s="28" t="s">
        <v>161</v>
      </c>
      <c r="J23" s="28">
        <v>1923.66</v>
      </c>
      <c r="K23" s="28" t="s">
        <v>161</v>
      </c>
      <c r="L23" s="28">
        <v>19</v>
      </c>
      <c r="M23" s="28" t="s">
        <v>161</v>
      </c>
      <c r="N23" s="28">
        <v>0.2</v>
      </c>
      <c r="O23" s="28" t="s">
        <v>161</v>
      </c>
      <c r="P23" s="28">
        <v>769.46</v>
      </c>
    </row>
    <row r="24" spans="1:16" x14ac:dyDescent="0.35">
      <c r="A24" t="s">
        <v>32</v>
      </c>
      <c r="B24" t="s">
        <v>12</v>
      </c>
      <c r="C24" t="s">
        <v>13</v>
      </c>
      <c r="D24" s="32">
        <v>743.17</v>
      </c>
      <c r="E24" s="32">
        <v>9</v>
      </c>
      <c r="F24" s="32">
        <v>0</v>
      </c>
      <c r="G24" s="32">
        <v>297.27</v>
      </c>
      <c r="I24" s="28" t="s">
        <v>162</v>
      </c>
      <c r="J24" s="28">
        <v>258.51</v>
      </c>
      <c r="K24" s="28" t="s">
        <v>162</v>
      </c>
      <c r="L24" s="28">
        <v>1</v>
      </c>
      <c r="M24" s="28" t="s">
        <v>162</v>
      </c>
      <c r="N24" s="28">
        <v>0</v>
      </c>
      <c r="O24" s="28" t="s">
        <v>162</v>
      </c>
      <c r="P24" s="28">
        <v>64.63</v>
      </c>
    </row>
    <row r="25" spans="1:16" x14ac:dyDescent="0.35">
      <c r="A25" t="s">
        <v>32</v>
      </c>
      <c r="B25" t="s">
        <v>35</v>
      </c>
      <c r="C25" t="s">
        <v>22</v>
      </c>
      <c r="D25" s="32">
        <v>706.37</v>
      </c>
      <c r="E25" s="32">
        <v>6</v>
      </c>
      <c r="F25" s="32">
        <v>0</v>
      </c>
      <c r="G25" s="32">
        <v>176.59</v>
      </c>
      <c r="I25" s="13" t="s">
        <v>163</v>
      </c>
      <c r="J25" s="13">
        <v>41.730249481339911</v>
      </c>
      <c r="K25" s="13" t="s">
        <v>163</v>
      </c>
      <c r="L25" s="13">
        <v>0.78735655282374695</v>
      </c>
      <c r="M25" s="13" t="s">
        <v>163</v>
      </c>
      <c r="N25" s="13">
        <v>1.008506174491325E-2</v>
      </c>
      <c r="O25" s="13" t="s">
        <v>163</v>
      </c>
      <c r="P25" s="13">
        <v>18.931018763961465</v>
      </c>
    </row>
    <row r="26" spans="1:16" x14ac:dyDescent="0.35">
      <c r="A26" t="s">
        <v>32</v>
      </c>
      <c r="B26" t="s">
        <v>35</v>
      </c>
      <c r="C26" t="s">
        <v>40</v>
      </c>
      <c r="D26" s="32">
        <v>925.31</v>
      </c>
      <c r="E26" s="32">
        <v>8</v>
      </c>
      <c r="F26" s="32">
        <v>0.1</v>
      </c>
      <c r="G26" s="32">
        <v>374.75</v>
      </c>
    </row>
    <row r="27" spans="1:16" x14ac:dyDescent="0.35">
      <c r="A27" t="s">
        <v>51</v>
      </c>
      <c r="B27" t="s">
        <v>21</v>
      </c>
      <c r="C27" t="s">
        <v>22</v>
      </c>
      <c r="D27" s="32">
        <v>1173.1199999999999</v>
      </c>
      <c r="E27" s="32">
        <v>18</v>
      </c>
      <c r="F27" s="32">
        <v>0</v>
      </c>
      <c r="G27" s="32">
        <v>293.27999999999997</v>
      </c>
    </row>
    <row r="28" spans="1:16" x14ac:dyDescent="0.35">
      <c r="A28" t="s">
        <v>52</v>
      </c>
      <c r="B28" t="s">
        <v>25</v>
      </c>
      <c r="C28" t="s">
        <v>28</v>
      </c>
      <c r="D28" s="32">
        <v>675.54</v>
      </c>
      <c r="E28" s="32">
        <v>17</v>
      </c>
      <c r="F28" s="32">
        <v>0</v>
      </c>
      <c r="G28" s="32">
        <v>236.44</v>
      </c>
    </row>
    <row r="29" spans="1:16" x14ac:dyDescent="0.35">
      <c r="A29" t="s">
        <v>15</v>
      </c>
      <c r="B29" t="s">
        <v>35</v>
      </c>
      <c r="C29" t="s">
        <v>13</v>
      </c>
      <c r="D29" s="32">
        <v>939.09</v>
      </c>
      <c r="E29" s="32">
        <v>2</v>
      </c>
      <c r="F29" s="32">
        <v>0.05</v>
      </c>
      <c r="G29" s="32">
        <v>356.85</v>
      </c>
    </row>
    <row r="30" spans="1:16" x14ac:dyDescent="0.35">
      <c r="A30" t="s">
        <v>54</v>
      </c>
      <c r="B30" t="s">
        <v>19</v>
      </c>
      <c r="C30" t="s">
        <v>40</v>
      </c>
      <c r="D30" s="32">
        <v>983.34</v>
      </c>
      <c r="E30" s="32">
        <v>19</v>
      </c>
      <c r="F30" s="32">
        <v>0.1</v>
      </c>
      <c r="G30" s="32">
        <v>398.25</v>
      </c>
    </row>
    <row r="31" spans="1:16" x14ac:dyDescent="0.35">
      <c r="A31" t="s">
        <v>24</v>
      </c>
      <c r="B31" t="s">
        <v>21</v>
      </c>
      <c r="C31" t="s">
        <v>22</v>
      </c>
      <c r="D31" s="32">
        <v>801.21</v>
      </c>
      <c r="E31" s="32">
        <v>3</v>
      </c>
      <c r="F31" s="32">
        <v>0.2</v>
      </c>
      <c r="G31" s="32">
        <v>160.24</v>
      </c>
    </row>
    <row r="32" spans="1:16" x14ac:dyDescent="0.35">
      <c r="A32" t="s">
        <v>56</v>
      </c>
      <c r="B32" t="s">
        <v>25</v>
      </c>
      <c r="C32" t="s">
        <v>22</v>
      </c>
      <c r="D32" s="32">
        <v>1450.71</v>
      </c>
      <c r="E32" s="32">
        <v>5</v>
      </c>
      <c r="F32" s="32">
        <v>0.1</v>
      </c>
      <c r="G32" s="32">
        <v>326.41000000000003</v>
      </c>
    </row>
    <row r="33" spans="1:7" x14ac:dyDescent="0.35">
      <c r="A33" t="s">
        <v>57</v>
      </c>
      <c r="B33" t="s">
        <v>35</v>
      </c>
      <c r="C33" t="s">
        <v>13</v>
      </c>
      <c r="D33" s="32">
        <v>1023.21</v>
      </c>
      <c r="E33" s="32">
        <v>18</v>
      </c>
      <c r="F33" s="32">
        <v>0.05</v>
      </c>
      <c r="G33" s="32">
        <v>388.82</v>
      </c>
    </row>
    <row r="34" spans="1:7" x14ac:dyDescent="0.35">
      <c r="A34" t="s">
        <v>48</v>
      </c>
      <c r="B34" t="s">
        <v>12</v>
      </c>
      <c r="C34" t="s">
        <v>28</v>
      </c>
      <c r="D34" s="32">
        <v>853.72</v>
      </c>
      <c r="E34" s="32">
        <v>5</v>
      </c>
      <c r="F34" s="32">
        <v>0.15</v>
      </c>
      <c r="G34" s="32">
        <v>253.98</v>
      </c>
    </row>
    <row r="35" spans="1:7" x14ac:dyDescent="0.35">
      <c r="A35" t="s">
        <v>44</v>
      </c>
      <c r="B35" t="s">
        <v>21</v>
      </c>
      <c r="C35" t="s">
        <v>22</v>
      </c>
      <c r="D35" s="32">
        <v>967.89</v>
      </c>
      <c r="E35" s="32">
        <v>10</v>
      </c>
      <c r="F35" s="32">
        <v>0.1</v>
      </c>
      <c r="G35" s="32">
        <v>217.78</v>
      </c>
    </row>
    <row r="36" spans="1:7" x14ac:dyDescent="0.35">
      <c r="A36" t="s">
        <v>54</v>
      </c>
      <c r="B36" t="s">
        <v>25</v>
      </c>
      <c r="C36" t="s">
        <v>40</v>
      </c>
      <c r="D36" s="32">
        <v>1200.9000000000001</v>
      </c>
      <c r="E36" s="32">
        <v>14</v>
      </c>
      <c r="F36" s="32">
        <v>0.05</v>
      </c>
      <c r="G36" s="32">
        <v>513.38</v>
      </c>
    </row>
    <row r="37" spans="1:7" x14ac:dyDescent="0.35">
      <c r="A37" t="s">
        <v>27</v>
      </c>
      <c r="B37" t="s">
        <v>12</v>
      </c>
      <c r="C37" t="s">
        <v>13</v>
      </c>
      <c r="D37" s="32">
        <v>472.38</v>
      </c>
      <c r="E37" s="32">
        <v>12</v>
      </c>
      <c r="F37" s="32">
        <v>0.2</v>
      </c>
      <c r="G37" s="32">
        <v>151.16</v>
      </c>
    </row>
    <row r="38" spans="1:7" x14ac:dyDescent="0.35">
      <c r="A38" t="s">
        <v>56</v>
      </c>
      <c r="B38" t="s">
        <v>19</v>
      </c>
      <c r="C38" t="s">
        <v>40</v>
      </c>
      <c r="D38" s="32">
        <v>840.92</v>
      </c>
      <c r="E38" s="32">
        <v>9</v>
      </c>
      <c r="F38" s="32">
        <v>0.05</v>
      </c>
      <c r="G38" s="32">
        <v>359.49</v>
      </c>
    </row>
    <row r="39" spans="1:7" x14ac:dyDescent="0.35">
      <c r="A39" t="s">
        <v>49</v>
      </c>
      <c r="B39" t="s">
        <v>35</v>
      </c>
      <c r="C39" t="s">
        <v>28</v>
      </c>
      <c r="D39" s="32">
        <v>1410.06</v>
      </c>
      <c r="E39" s="32">
        <v>11</v>
      </c>
      <c r="F39" s="32">
        <v>0.05</v>
      </c>
      <c r="G39" s="32">
        <v>468.84</v>
      </c>
    </row>
    <row r="40" spans="1:7" x14ac:dyDescent="0.35">
      <c r="A40" t="s">
        <v>60</v>
      </c>
      <c r="B40" t="s">
        <v>35</v>
      </c>
      <c r="C40" t="s">
        <v>28</v>
      </c>
      <c r="D40" s="32">
        <v>773.09</v>
      </c>
      <c r="E40" s="32">
        <v>13</v>
      </c>
      <c r="F40" s="32">
        <v>0.15</v>
      </c>
      <c r="G40" s="32">
        <v>229.99</v>
      </c>
    </row>
    <row r="41" spans="1:7" x14ac:dyDescent="0.35">
      <c r="A41" t="s">
        <v>62</v>
      </c>
      <c r="B41" t="s">
        <v>19</v>
      </c>
      <c r="C41" t="s">
        <v>13</v>
      </c>
      <c r="D41" s="32">
        <v>580.42999999999995</v>
      </c>
      <c r="E41" s="32">
        <v>19</v>
      </c>
      <c r="F41" s="32">
        <v>0.15</v>
      </c>
      <c r="G41" s="32">
        <v>197.35</v>
      </c>
    </row>
    <row r="42" spans="1:7" x14ac:dyDescent="0.35">
      <c r="A42" t="s">
        <v>43</v>
      </c>
      <c r="B42" t="s">
        <v>21</v>
      </c>
      <c r="C42" t="s">
        <v>13</v>
      </c>
      <c r="D42" s="32">
        <v>1151.21</v>
      </c>
      <c r="E42" s="32">
        <v>15</v>
      </c>
      <c r="F42" s="32">
        <v>0.1</v>
      </c>
      <c r="G42" s="32">
        <v>414.44</v>
      </c>
    </row>
    <row r="43" spans="1:7" x14ac:dyDescent="0.35">
      <c r="A43" t="s">
        <v>24</v>
      </c>
      <c r="B43" t="s">
        <v>35</v>
      </c>
      <c r="C43" t="s">
        <v>40</v>
      </c>
      <c r="D43" s="32">
        <v>1025.98</v>
      </c>
      <c r="E43" s="32">
        <v>5</v>
      </c>
      <c r="F43" s="32">
        <v>0.2</v>
      </c>
      <c r="G43" s="32">
        <v>369.35</v>
      </c>
    </row>
    <row r="44" spans="1:7" x14ac:dyDescent="0.35">
      <c r="A44" t="s">
        <v>57</v>
      </c>
      <c r="B44" t="s">
        <v>19</v>
      </c>
      <c r="C44" t="s">
        <v>40</v>
      </c>
      <c r="D44" s="32">
        <v>556.41999999999996</v>
      </c>
      <c r="E44" s="32">
        <v>11</v>
      </c>
      <c r="F44" s="32">
        <v>0.15</v>
      </c>
      <c r="G44" s="32">
        <v>212.83</v>
      </c>
    </row>
    <row r="45" spans="1:7" x14ac:dyDescent="0.35">
      <c r="A45" t="s">
        <v>24</v>
      </c>
      <c r="B45" t="s">
        <v>35</v>
      </c>
      <c r="C45" t="s">
        <v>13</v>
      </c>
      <c r="D45" s="32">
        <v>840.85</v>
      </c>
      <c r="E45" s="32">
        <v>19</v>
      </c>
      <c r="F45" s="32">
        <v>0.1</v>
      </c>
      <c r="G45" s="32">
        <v>302.70999999999998</v>
      </c>
    </row>
    <row r="46" spans="1:7" x14ac:dyDescent="0.35">
      <c r="A46" t="s">
        <v>62</v>
      </c>
      <c r="B46" t="s">
        <v>25</v>
      </c>
      <c r="C46" t="s">
        <v>28</v>
      </c>
      <c r="D46" s="32">
        <v>1227.25</v>
      </c>
      <c r="E46" s="32">
        <v>12</v>
      </c>
      <c r="F46" s="32">
        <v>0.15</v>
      </c>
      <c r="G46" s="32">
        <v>365.11</v>
      </c>
    </row>
    <row r="47" spans="1:7" x14ac:dyDescent="0.35">
      <c r="A47" t="s">
        <v>63</v>
      </c>
      <c r="B47" t="s">
        <v>35</v>
      </c>
      <c r="C47" t="s">
        <v>22</v>
      </c>
      <c r="D47" s="32">
        <v>856.7</v>
      </c>
      <c r="E47" s="32">
        <v>2</v>
      </c>
      <c r="F47" s="32">
        <v>0</v>
      </c>
      <c r="G47" s="32">
        <v>214.18</v>
      </c>
    </row>
    <row r="48" spans="1:7" x14ac:dyDescent="0.35">
      <c r="A48" t="s">
        <v>57</v>
      </c>
      <c r="B48" t="s">
        <v>35</v>
      </c>
      <c r="C48" t="s">
        <v>40</v>
      </c>
      <c r="D48" s="32">
        <v>1225.42</v>
      </c>
      <c r="E48" s="32">
        <v>8</v>
      </c>
      <c r="F48" s="32">
        <v>0.15</v>
      </c>
      <c r="G48" s="32">
        <v>468.72</v>
      </c>
    </row>
    <row r="49" spans="1:7" x14ac:dyDescent="0.35">
      <c r="A49" t="s">
        <v>32</v>
      </c>
      <c r="B49" t="s">
        <v>25</v>
      </c>
      <c r="C49" t="s">
        <v>40</v>
      </c>
      <c r="D49" s="32">
        <v>1001.57</v>
      </c>
      <c r="E49" s="32">
        <v>12</v>
      </c>
      <c r="F49" s="32">
        <v>0</v>
      </c>
      <c r="G49" s="32">
        <v>450.71</v>
      </c>
    </row>
    <row r="50" spans="1:7" x14ac:dyDescent="0.35">
      <c r="A50" t="s">
        <v>27</v>
      </c>
      <c r="B50" t="s">
        <v>19</v>
      </c>
      <c r="C50" t="s">
        <v>28</v>
      </c>
      <c r="D50" s="32">
        <v>1186.8499999999999</v>
      </c>
      <c r="E50" s="32">
        <v>19</v>
      </c>
      <c r="F50" s="32">
        <v>0.2</v>
      </c>
      <c r="G50" s="32">
        <v>332.32</v>
      </c>
    </row>
    <row r="51" spans="1:7" x14ac:dyDescent="0.35">
      <c r="A51" t="s">
        <v>52</v>
      </c>
      <c r="B51" t="s">
        <v>21</v>
      </c>
      <c r="C51" t="s">
        <v>22</v>
      </c>
      <c r="D51" s="32">
        <v>775.45</v>
      </c>
      <c r="E51" s="32">
        <v>6</v>
      </c>
      <c r="F51" s="32">
        <v>0.1</v>
      </c>
      <c r="G51" s="32">
        <v>174.48</v>
      </c>
    </row>
    <row r="52" spans="1:7" x14ac:dyDescent="0.35">
      <c r="A52" t="s">
        <v>34</v>
      </c>
      <c r="B52" t="s">
        <v>21</v>
      </c>
      <c r="C52" t="s">
        <v>22</v>
      </c>
      <c r="D52" s="32">
        <v>1021.47</v>
      </c>
      <c r="E52" s="32">
        <v>6</v>
      </c>
      <c r="F52" s="32">
        <v>0.05</v>
      </c>
      <c r="G52" s="32">
        <v>242.6</v>
      </c>
    </row>
    <row r="53" spans="1:7" x14ac:dyDescent="0.35">
      <c r="A53" t="s">
        <v>24</v>
      </c>
      <c r="B53" t="s">
        <v>21</v>
      </c>
      <c r="C53" t="s">
        <v>16</v>
      </c>
      <c r="D53" s="32">
        <v>1226.6199999999999</v>
      </c>
      <c r="E53" s="32">
        <v>7</v>
      </c>
      <c r="F53" s="32">
        <v>0.1</v>
      </c>
      <c r="G53" s="32">
        <v>551.98</v>
      </c>
    </row>
    <row r="54" spans="1:7" x14ac:dyDescent="0.35">
      <c r="A54" t="s">
        <v>65</v>
      </c>
      <c r="B54" t="s">
        <v>21</v>
      </c>
      <c r="C54" t="s">
        <v>28</v>
      </c>
      <c r="D54" s="32">
        <v>1086.93</v>
      </c>
      <c r="E54" s="32">
        <v>2</v>
      </c>
      <c r="F54" s="32">
        <v>0</v>
      </c>
      <c r="G54" s="32">
        <v>380.43</v>
      </c>
    </row>
    <row r="55" spans="1:7" x14ac:dyDescent="0.35">
      <c r="A55" t="s">
        <v>49</v>
      </c>
      <c r="B55" t="s">
        <v>12</v>
      </c>
      <c r="C55" t="s">
        <v>13</v>
      </c>
      <c r="D55" s="32">
        <v>942.9</v>
      </c>
      <c r="E55" s="32">
        <v>18</v>
      </c>
      <c r="F55" s="32">
        <v>0.1</v>
      </c>
      <c r="G55" s="32">
        <v>339.44</v>
      </c>
    </row>
    <row r="56" spans="1:7" x14ac:dyDescent="0.35">
      <c r="A56" t="s">
        <v>39</v>
      </c>
      <c r="B56" t="s">
        <v>25</v>
      </c>
      <c r="C56" t="s">
        <v>22</v>
      </c>
      <c r="D56" s="32">
        <v>818.8</v>
      </c>
      <c r="E56" s="32">
        <v>15</v>
      </c>
      <c r="F56" s="32">
        <v>0.15</v>
      </c>
      <c r="G56" s="32">
        <v>173.99</v>
      </c>
    </row>
    <row r="57" spans="1:7" x14ac:dyDescent="0.35">
      <c r="A57" t="s">
        <v>15</v>
      </c>
      <c r="B57" t="s">
        <v>21</v>
      </c>
      <c r="C57" t="s">
        <v>28</v>
      </c>
      <c r="D57" s="32">
        <v>919.04</v>
      </c>
      <c r="E57" s="32">
        <v>10</v>
      </c>
      <c r="F57" s="32">
        <v>0.2</v>
      </c>
      <c r="G57" s="32">
        <v>257.33</v>
      </c>
    </row>
    <row r="58" spans="1:7" x14ac:dyDescent="0.35">
      <c r="A58" t="s">
        <v>67</v>
      </c>
      <c r="B58" t="s">
        <v>35</v>
      </c>
      <c r="C58" t="s">
        <v>13</v>
      </c>
      <c r="D58" s="32">
        <v>973.26</v>
      </c>
      <c r="E58" s="32">
        <v>11</v>
      </c>
      <c r="F58" s="32">
        <v>0</v>
      </c>
      <c r="G58" s="32">
        <v>389.3</v>
      </c>
    </row>
    <row r="59" spans="1:7" x14ac:dyDescent="0.35">
      <c r="A59" t="s">
        <v>65</v>
      </c>
      <c r="B59" t="s">
        <v>25</v>
      </c>
      <c r="C59" t="s">
        <v>22</v>
      </c>
      <c r="D59" s="32">
        <v>741.61</v>
      </c>
      <c r="E59" s="32">
        <v>1</v>
      </c>
      <c r="F59" s="32">
        <v>0.2</v>
      </c>
      <c r="G59" s="32">
        <v>148.32</v>
      </c>
    </row>
    <row r="60" spans="1:7" x14ac:dyDescent="0.35">
      <c r="A60" t="s">
        <v>39</v>
      </c>
      <c r="B60" t="s">
        <v>25</v>
      </c>
      <c r="C60" t="s">
        <v>13</v>
      </c>
      <c r="D60" s="32">
        <v>1248.82</v>
      </c>
      <c r="E60" s="32">
        <v>2</v>
      </c>
      <c r="F60" s="32">
        <v>0.1</v>
      </c>
      <c r="G60" s="32">
        <v>449.58</v>
      </c>
    </row>
    <row r="61" spans="1:7" x14ac:dyDescent="0.35">
      <c r="A61" t="s">
        <v>60</v>
      </c>
      <c r="B61" t="s">
        <v>12</v>
      </c>
      <c r="C61" t="s">
        <v>16</v>
      </c>
      <c r="D61" s="32">
        <v>1360.36</v>
      </c>
      <c r="E61" s="32">
        <v>17</v>
      </c>
      <c r="F61" s="32">
        <v>0</v>
      </c>
      <c r="G61" s="32">
        <v>680.18</v>
      </c>
    </row>
    <row r="62" spans="1:7" x14ac:dyDescent="0.35">
      <c r="A62" t="s">
        <v>32</v>
      </c>
      <c r="B62" t="s">
        <v>19</v>
      </c>
      <c r="C62" t="s">
        <v>13</v>
      </c>
      <c r="D62" s="32">
        <v>1383.3</v>
      </c>
      <c r="E62" s="32">
        <v>8</v>
      </c>
      <c r="F62" s="32">
        <v>0.1</v>
      </c>
      <c r="G62" s="32">
        <v>497.99</v>
      </c>
    </row>
    <row r="63" spans="1:7" x14ac:dyDescent="0.35">
      <c r="A63" t="s">
        <v>56</v>
      </c>
      <c r="B63" t="s">
        <v>35</v>
      </c>
      <c r="C63" t="s">
        <v>40</v>
      </c>
      <c r="D63" s="32">
        <v>488.99</v>
      </c>
      <c r="E63" s="32">
        <v>9</v>
      </c>
      <c r="F63" s="32">
        <v>0</v>
      </c>
      <c r="G63" s="32">
        <v>220.05</v>
      </c>
    </row>
    <row r="64" spans="1:7" x14ac:dyDescent="0.35">
      <c r="A64" t="s">
        <v>32</v>
      </c>
      <c r="B64" t="s">
        <v>19</v>
      </c>
      <c r="C64" t="s">
        <v>28</v>
      </c>
      <c r="D64" s="32">
        <v>933.71</v>
      </c>
      <c r="E64" s="32">
        <v>17</v>
      </c>
      <c r="F64" s="32">
        <v>0.1</v>
      </c>
      <c r="G64" s="32">
        <v>294.12</v>
      </c>
    </row>
    <row r="65" spans="1:7" x14ac:dyDescent="0.35">
      <c r="A65" t="s">
        <v>11</v>
      </c>
      <c r="B65" t="s">
        <v>12</v>
      </c>
      <c r="C65" t="s">
        <v>22</v>
      </c>
      <c r="D65" s="32">
        <v>1005.53</v>
      </c>
      <c r="E65" s="32">
        <v>17</v>
      </c>
      <c r="F65" s="32">
        <v>0.2</v>
      </c>
      <c r="G65" s="32">
        <v>201.11</v>
      </c>
    </row>
    <row r="66" spans="1:7" x14ac:dyDescent="0.35">
      <c r="A66" t="s">
        <v>62</v>
      </c>
      <c r="B66" t="s">
        <v>21</v>
      </c>
      <c r="C66" t="s">
        <v>22</v>
      </c>
      <c r="D66" s="32">
        <v>1100.0999999999999</v>
      </c>
      <c r="E66" s="32">
        <v>5</v>
      </c>
      <c r="F66" s="32">
        <v>0.05</v>
      </c>
      <c r="G66" s="32">
        <v>261.27</v>
      </c>
    </row>
    <row r="67" spans="1:7" x14ac:dyDescent="0.35">
      <c r="A67" t="s">
        <v>24</v>
      </c>
      <c r="B67" t="s">
        <v>25</v>
      </c>
      <c r="C67" t="s">
        <v>28</v>
      </c>
      <c r="D67" s="32">
        <v>1034.7</v>
      </c>
      <c r="E67" s="32">
        <v>15</v>
      </c>
      <c r="F67" s="32">
        <v>0.15</v>
      </c>
      <c r="G67" s="32">
        <v>307.82</v>
      </c>
    </row>
    <row r="68" spans="1:7" x14ac:dyDescent="0.35">
      <c r="A68" t="s">
        <v>32</v>
      </c>
      <c r="B68" t="s">
        <v>21</v>
      </c>
      <c r="C68" t="s">
        <v>13</v>
      </c>
      <c r="D68" s="32">
        <v>876.44</v>
      </c>
      <c r="E68" s="32">
        <v>12</v>
      </c>
      <c r="F68" s="32">
        <v>0.05</v>
      </c>
      <c r="G68" s="32">
        <v>333.05</v>
      </c>
    </row>
    <row r="69" spans="1:7" x14ac:dyDescent="0.35">
      <c r="A69" t="s">
        <v>56</v>
      </c>
      <c r="B69" t="s">
        <v>12</v>
      </c>
      <c r="C69" t="s">
        <v>28</v>
      </c>
      <c r="D69" s="32">
        <v>1371.34</v>
      </c>
      <c r="E69" s="32">
        <v>5</v>
      </c>
      <c r="F69" s="32">
        <v>0.05</v>
      </c>
      <c r="G69" s="32">
        <v>455.97</v>
      </c>
    </row>
    <row r="70" spans="1:7" x14ac:dyDescent="0.35">
      <c r="A70" t="s">
        <v>48</v>
      </c>
      <c r="B70" t="s">
        <v>25</v>
      </c>
      <c r="C70" t="s">
        <v>22</v>
      </c>
      <c r="D70" s="32">
        <v>1020.26</v>
      </c>
      <c r="E70" s="32">
        <v>11</v>
      </c>
      <c r="F70" s="32">
        <v>0.05</v>
      </c>
      <c r="G70" s="32">
        <v>242.31</v>
      </c>
    </row>
    <row r="71" spans="1:7" x14ac:dyDescent="0.35">
      <c r="A71" t="s">
        <v>11</v>
      </c>
      <c r="B71" t="s">
        <v>35</v>
      </c>
      <c r="C71" t="s">
        <v>40</v>
      </c>
      <c r="D71" s="32">
        <v>804.81</v>
      </c>
      <c r="E71" s="32">
        <v>1</v>
      </c>
      <c r="F71" s="32">
        <v>0.05</v>
      </c>
      <c r="G71" s="32">
        <v>344.06</v>
      </c>
    </row>
    <row r="72" spans="1:7" x14ac:dyDescent="0.35">
      <c r="A72" t="s">
        <v>56</v>
      </c>
      <c r="B72" t="s">
        <v>35</v>
      </c>
      <c r="C72" t="s">
        <v>22</v>
      </c>
      <c r="D72" s="32">
        <v>608.66</v>
      </c>
      <c r="E72" s="32">
        <v>1</v>
      </c>
      <c r="F72" s="32">
        <v>0.05</v>
      </c>
      <c r="G72" s="32">
        <v>144.56</v>
      </c>
    </row>
    <row r="73" spans="1:7" x14ac:dyDescent="0.35">
      <c r="A73" t="s">
        <v>70</v>
      </c>
      <c r="B73" t="s">
        <v>21</v>
      </c>
      <c r="C73" t="s">
        <v>40</v>
      </c>
      <c r="D73" s="32">
        <v>981.2</v>
      </c>
      <c r="E73" s="32">
        <v>19</v>
      </c>
      <c r="F73" s="32">
        <v>0</v>
      </c>
      <c r="G73" s="32">
        <v>441.54</v>
      </c>
    </row>
    <row r="74" spans="1:7" x14ac:dyDescent="0.35">
      <c r="A74" t="s">
        <v>56</v>
      </c>
      <c r="B74" t="s">
        <v>19</v>
      </c>
      <c r="C74" t="s">
        <v>22</v>
      </c>
      <c r="D74" s="32">
        <v>539.77</v>
      </c>
      <c r="E74" s="32">
        <v>10</v>
      </c>
      <c r="F74" s="32">
        <v>0.15</v>
      </c>
      <c r="G74" s="32">
        <v>114.7</v>
      </c>
    </row>
    <row r="75" spans="1:7" x14ac:dyDescent="0.35">
      <c r="A75" t="s">
        <v>72</v>
      </c>
      <c r="B75" t="s">
        <v>21</v>
      </c>
      <c r="C75" t="s">
        <v>13</v>
      </c>
      <c r="D75" s="32">
        <v>804.45</v>
      </c>
      <c r="E75" s="32">
        <v>5</v>
      </c>
      <c r="F75" s="32">
        <v>0.2</v>
      </c>
      <c r="G75" s="32">
        <v>257.42</v>
      </c>
    </row>
    <row r="76" spans="1:7" x14ac:dyDescent="0.35">
      <c r="A76" t="s">
        <v>39</v>
      </c>
      <c r="B76" t="s">
        <v>12</v>
      </c>
      <c r="C76" t="s">
        <v>22</v>
      </c>
      <c r="D76" s="32">
        <v>1526.6</v>
      </c>
      <c r="E76" s="32">
        <v>13</v>
      </c>
      <c r="F76" s="32">
        <v>0.2</v>
      </c>
      <c r="G76" s="32">
        <v>305.32</v>
      </c>
    </row>
    <row r="77" spans="1:7" x14ac:dyDescent="0.35">
      <c r="A77" t="s">
        <v>30</v>
      </c>
      <c r="B77" t="s">
        <v>12</v>
      </c>
      <c r="C77" t="s">
        <v>22</v>
      </c>
      <c r="D77" s="32">
        <v>1215.26</v>
      </c>
      <c r="E77" s="32">
        <v>5</v>
      </c>
      <c r="F77" s="32">
        <v>0.15</v>
      </c>
      <c r="G77" s="32">
        <v>258.24</v>
      </c>
    </row>
    <row r="78" spans="1:7" x14ac:dyDescent="0.35">
      <c r="A78" t="s">
        <v>54</v>
      </c>
      <c r="B78" t="s">
        <v>35</v>
      </c>
      <c r="C78" t="s">
        <v>28</v>
      </c>
      <c r="D78" s="32">
        <v>1261.3399999999999</v>
      </c>
      <c r="E78" s="32">
        <v>3</v>
      </c>
      <c r="F78" s="32">
        <v>0</v>
      </c>
      <c r="G78" s="32">
        <v>441.47</v>
      </c>
    </row>
    <row r="79" spans="1:7" x14ac:dyDescent="0.35">
      <c r="A79" t="s">
        <v>46</v>
      </c>
      <c r="B79" t="s">
        <v>25</v>
      </c>
      <c r="C79" t="s">
        <v>28</v>
      </c>
      <c r="D79" s="32">
        <v>518.07000000000005</v>
      </c>
      <c r="E79" s="32">
        <v>7</v>
      </c>
      <c r="F79" s="32">
        <v>0.05</v>
      </c>
      <c r="G79" s="32">
        <v>172.26</v>
      </c>
    </row>
    <row r="80" spans="1:7" x14ac:dyDescent="0.35">
      <c r="A80" t="s">
        <v>30</v>
      </c>
      <c r="B80" t="s">
        <v>12</v>
      </c>
      <c r="C80" t="s">
        <v>40</v>
      </c>
      <c r="D80" s="32">
        <v>1111.3399999999999</v>
      </c>
      <c r="E80" s="32">
        <v>1</v>
      </c>
      <c r="F80" s="32">
        <v>0</v>
      </c>
      <c r="G80" s="32">
        <v>500.1</v>
      </c>
    </row>
    <row r="81" spans="1:7" x14ac:dyDescent="0.35">
      <c r="A81" t="s">
        <v>32</v>
      </c>
      <c r="B81" t="s">
        <v>19</v>
      </c>
      <c r="C81" t="s">
        <v>16</v>
      </c>
      <c r="D81" s="32">
        <v>1291.47</v>
      </c>
      <c r="E81" s="32">
        <v>18</v>
      </c>
      <c r="F81" s="32">
        <v>0.1</v>
      </c>
      <c r="G81" s="32">
        <v>581.16</v>
      </c>
    </row>
    <row r="82" spans="1:7" x14ac:dyDescent="0.35">
      <c r="A82" t="s">
        <v>56</v>
      </c>
      <c r="B82" t="s">
        <v>25</v>
      </c>
      <c r="C82" t="s">
        <v>13</v>
      </c>
      <c r="D82" s="32">
        <v>679.71</v>
      </c>
      <c r="E82" s="32">
        <v>19</v>
      </c>
      <c r="F82" s="32">
        <v>0</v>
      </c>
      <c r="G82" s="32">
        <v>271.88</v>
      </c>
    </row>
    <row r="83" spans="1:7" x14ac:dyDescent="0.35">
      <c r="A83" t="s">
        <v>34</v>
      </c>
      <c r="B83" t="s">
        <v>19</v>
      </c>
      <c r="C83" t="s">
        <v>28</v>
      </c>
      <c r="D83" s="32">
        <v>1143.69</v>
      </c>
      <c r="E83" s="32">
        <v>17</v>
      </c>
      <c r="F83" s="32">
        <v>0</v>
      </c>
      <c r="G83" s="32">
        <v>400.29</v>
      </c>
    </row>
    <row r="84" spans="1:7" x14ac:dyDescent="0.35">
      <c r="A84" t="s">
        <v>51</v>
      </c>
      <c r="B84" t="s">
        <v>35</v>
      </c>
      <c r="C84" t="s">
        <v>22</v>
      </c>
      <c r="D84" s="32">
        <v>790.08</v>
      </c>
      <c r="E84" s="32">
        <v>7</v>
      </c>
      <c r="F84" s="32">
        <v>0.1</v>
      </c>
      <c r="G84" s="32">
        <v>177.77</v>
      </c>
    </row>
    <row r="85" spans="1:7" x14ac:dyDescent="0.35">
      <c r="A85" t="s">
        <v>49</v>
      </c>
      <c r="B85" t="s">
        <v>35</v>
      </c>
      <c r="C85" t="s">
        <v>13</v>
      </c>
      <c r="D85" s="32">
        <v>1070.68</v>
      </c>
      <c r="E85" s="32">
        <v>7</v>
      </c>
      <c r="F85" s="32">
        <v>0.05</v>
      </c>
      <c r="G85" s="32">
        <v>406.86</v>
      </c>
    </row>
    <row r="86" spans="1:7" x14ac:dyDescent="0.35">
      <c r="A86" t="s">
        <v>37</v>
      </c>
      <c r="B86" t="s">
        <v>12</v>
      </c>
      <c r="C86" t="s">
        <v>16</v>
      </c>
      <c r="D86" s="32">
        <v>1168.8900000000001</v>
      </c>
      <c r="E86" s="32">
        <v>4</v>
      </c>
      <c r="F86" s="32">
        <v>0.1</v>
      </c>
      <c r="G86" s="32">
        <v>526</v>
      </c>
    </row>
    <row r="87" spans="1:7" x14ac:dyDescent="0.35">
      <c r="A87" t="s">
        <v>11</v>
      </c>
      <c r="B87" t="s">
        <v>21</v>
      </c>
      <c r="C87" t="s">
        <v>22</v>
      </c>
      <c r="D87" s="32">
        <v>1335.87</v>
      </c>
      <c r="E87" s="32">
        <v>17</v>
      </c>
      <c r="F87" s="32">
        <v>0</v>
      </c>
      <c r="G87" s="32">
        <v>333.97</v>
      </c>
    </row>
    <row r="88" spans="1:7" x14ac:dyDescent="0.35">
      <c r="A88" t="s">
        <v>56</v>
      </c>
      <c r="B88" t="s">
        <v>19</v>
      </c>
      <c r="C88" t="s">
        <v>28</v>
      </c>
      <c r="D88" s="32">
        <v>873.7</v>
      </c>
      <c r="E88" s="32">
        <v>9</v>
      </c>
      <c r="F88" s="32">
        <v>0</v>
      </c>
      <c r="G88" s="32">
        <v>305.8</v>
      </c>
    </row>
    <row r="89" spans="1:7" x14ac:dyDescent="0.35">
      <c r="A89" t="s">
        <v>65</v>
      </c>
      <c r="B89" t="s">
        <v>12</v>
      </c>
      <c r="C89" t="s">
        <v>40</v>
      </c>
      <c r="D89" s="32">
        <v>1443.98</v>
      </c>
      <c r="E89" s="32">
        <v>19</v>
      </c>
      <c r="F89" s="32">
        <v>0</v>
      </c>
      <c r="G89" s="32">
        <v>649.79</v>
      </c>
    </row>
    <row r="90" spans="1:7" x14ac:dyDescent="0.35">
      <c r="A90" t="s">
        <v>24</v>
      </c>
      <c r="B90" t="s">
        <v>19</v>
      </c>
      <c r="C90" t="s">
        <v>40</v>
      </c>
      <c r="D90" s="32">
        <v>1154.33</v>
      </c>
      <c r="E90" s="32">
        <v>11</v>
      </c>
      <c r="F90" s="32">
        <v>0.15</v>
      </c>
      <c r="G90" s="32">
        <v>441.53</v>
      </c>
    </row>
    <row r="91" spans="1:7" x14ac:dyDescent="0.35">
      <c r="A91" t="s">
        <v>51</v>
      </c>
      <c r="B91" t="s">
        <v>21</v>
      </c>
      <c r="C91" t="s">
        <v>13</v>
      </c>
      <c r="D91" s="32">
        <v>1264.49</v>
      </c>
      <c r="E91" s="32">
        <v>16</v>
      </c>
      <c r="F91" s="32">
        <v>0.05</v>
      </c>
      <c r="G91" s="32">
        <v>480.51</v>
      </c>
    </row>
    <row r="92" spans="1:7" x14ac:dyDescent="0.35">
      <c r="A92" t="s">
        <v>67</v>
      </c>
      <c r="B92" t="s">
        <v>12</v>
      </c>
      <c r="C92" t="s">
        <v>28</v>
      </c>
      <c r="D92" s="32">
        <v>1101.55</v>
      </c>
      <c r="E92" s="32">
        <v>4</v>
      </c>
      <c r="F92" s="32">
        <v>0.1</v>
      </c>
      <c r="G92" s="32">
        <v>346.99</v>
      </c>
    </row>
    <row r="93" spans="1:7" x14ac:dyDescent="0.35">
      <c r="A93" t="s">
        <v>15</v>
      </c>
      <c r="B93" t="s">
        <v>21</v>
      </c>
      <c r="C93" t="s">
        <v>28</v>
      </c>
      <c r="D93" s="32">
        <v>727.73</v>
      </c>
      <c r="E93" s="32">
        <v>1</v>
      </c>
      <c r="F93" s="32">
        <v>0.1</v>
      </c>
      <c r="G93" s="32">
        <v>229.23</v>
      </c>
    </row>
    <row r="94" spans="1:7" x14ac:dyDescent="0.35">
      <c r="A94" t="s">
        <v>39</v>
      </c>
      <c r="B94" t="s">
        <v>19</v>
      </c>
      <c r="C94" t="s">
        <v>40</v>
      </c>
      <c r="D94" s="32">
        <v>875.41</v>
      </c>
      <c r="E94" s="32">
        <v>13</v>
      </c>
      <c r="F94" s="32">
        <v>0.15</v>
      </c>
      <c r="G94" s="32">
        <v>334.84</v>
      </c>
    </row>
    <row r="95" spans="1:7" x14ac:dyDescent="0.35">
      <c r="A95" t="s">
        <v>24</v>
      </c>
      <c r="B95" t="s">
        <v>12</v>
      </c>
      <c r="C95" t="s">
        <v>22</v>
      </c>
      <c r="D95" s="32">
        <v>1158.94</v>
      </c>
      <c r="E95" s="32">
        <v>19</v>
      </c>
      <c r="F95" s="32">
        <v>0.2</v>
      </c>
      <c r="G95" s="32">
        <v>231.79</v>
      </c>
    </row>
    <row r="96" spans="1:7" x14ac:dyDescent="0.35">
      <c r="A96" t="s">
        <v>48</v>
      </c>
      <c r="B96" t="s">
        <v>21</v>
      </c>
      <c r="C96" t="s">
        <v>13</v>
      </c>
      <c r="D96" s="32">
        <v>966.3</v>
      </c>
      <c r="E96" s="32">
        <v>2</v>
      </c>
      <c r="F96" s="32">
        <v>0.15</v>
      </c>
      <c r="G96" s="32">
        <v>328.54</v>
      </c>
    </row>
    <row r="97" spans="1:7" x14ac:dyDescent="0.35">
      <c r="A97" t="s">
        <v>18</v>
      </c>
      <c r="B97" t="s">
        <v>21</v>
      </c>
      <c r="C97" t="s">
        <v>13</v>
      </c>
      <c r="D97" s="32">
        <v>917.48</v>
      </c>
      <c r="E97" s="32">
        <v>6</v>
      </c>
      <c r="F97" s="32">
        <v>0</v>
      </c>
      <c r="G97" s="32">
        <v>366.99</v>
      </c>
    </row>
    <row r="98" spans="1:7" x14ac:dyDescent="0.35">
      <c r="A98" t="s">
        <v>62</v>
      </c>
      <c r="B98" t="s">
        <v>12</v>
      </c>
      <c r="C98" t="s">
        <v>28</v>
      </c>
      <c r="D98" s="32">
        <v>1172.97</v>
      </c>
      <c r="E98" s="32">
        <v>7</v>
      </c>
      <c r="F98" s="32">
        <v>0.15</v>
      </c>
      <c r="G98" s="32">
        <v>348.96</v>
      </c>
    </row>
    <row r="99" spans="1:7" x14ac:dyDescent="0.35">
      <c r="A99" t="s">
        <v>24</v>
      </c>
      <c r="B99" t="s">
        <v>25</v>
      </c>
      <c r="C99" t="s">
        <v>16</v>
      </c>
      <c r="D99" s="32">
        <v>1205.82</v>
      </c>
      <c r="E99" s="32">
        <v>11</v>
      </c>
      <c r="F99" s="32">
        <v>0.1</v>
      </c>
      <c r="G99" s="32">
        <v>542.62</v>
      </c>
    </row>
    <row r="100" spans="1:7" x14ac:dyDescent="0.35">
      <c r="A100" t="s">
        <v>65</v>
      </c>
      <c r="B100" t="s">
        <v>12</v>
      </c>
      <c r="C100" t="s">
        <v>40</v>
      </c>
      <c r="D100" s="32">
        <v>826.93</v>
      </c>
      <c r="E100" s="32">
        <v>10</v>
      </c>
      <c r="F100" s="32">
        <v>0.2</v>
      </c>
      <c r="G100" s="32">
        <v>297.69</v>
      </c>
    </row>
    <row r="101" spans="1:7" x14ac:dyDescent="0.35">
      <c r="A101" t="s">
        <v>24</v>
      </c>
      <c r="B101" t="s">
        <v>35</v>
      </c>
      <c r="C101" t="s">
        <v>16</v>
      </c>
      <c r="D101" s="32">
        <v>902.19</v>
      </c>
      <c r="E101" s="32">
        <v>12</v>
      </c>
      <c r="F101" s="32">
        <v>0</v>
      </c>
      <c r="G101" s="32">
        <v>451.1</v>
      </c>
    </row>
    <row r="102" spans="1:7" x14ac:dyDescent="0.35">
      <c r="A102" t="s">
        <v>39</v>
      </c>
      <c r="B102" t="s">
        <v>25</v>
      </c>
      <c r="C102" t="s">
        <v>13</v>
      </c>
      <c r="D102" s="32">
        <v>585.97</v>
      </c>
      <c r="E102" s="32">
        <v>17</v>
      </c>
      <c r="F102" s="32">
        <v>0.1</v>
      </c>
      <c r="G102" s="32">
        <v>210.95</v>
      </c>
    </row>
    <row r="103" spans="1:7" x14ac:dyDescent="0.35">
      <c r="A103" t="s">
        <v>27</v>
      </c>
      <c r="B103" t="s">
        <v>25</v>
      </c>
      <c r="C103" t="s">
        <v>16</v>
      </c>
      <c r="D103" s="32">
        <v>990.19</v>
      </c>
      <c r="E103" s="32">
        <v>8</v>
      </c>
      <c r="F103" s="32">
        <v>0.1</v>
      </c>
      <c r="G103" s="32">
        <v>445.59</v>
      </c>
    </row>
    <row r="104" spans="1:7" x14ac:dyDescent="0.35">
      <c r="A104" t="s">
        <v>57</v>
      </c>
      <c r="B104" t="s">
        <v>35</v>
      </c>
      <c r="C104" t="s">
        <v>22</v>
      </c>
      <c r="D104" s="32">
        <v>1014.09</v>
      </c>
      <c r="E104" s="32">
        <v>13</v>
      </c>
      <c r="F104" s="32">
        <v>0.2</v>
      </c>
      <c r="G104" s="32">
        <v>202.82</v>
      </c>
    </row>
    <row r="105" spans="1:7" x14ac:dyDescent="0.35">
      <c r="A105" t="s">
        <v>49</v>
      </c>
      <c r="B105" t="s">
        <v>25</v>
      </c>
      <c r="C105" t="s">
        <v>22</v>
      </c>
      <c r="D105" s="32">
        <v>925.29</v>
      </c>
      <c r="E105" s="32">
        <v>17</v>
      </c>
      <c r="F105" s="32">
        <v>0</v>
      </c>
      <c r="G105" s="32">
        <v>231.32</v>
      </c>
    </row>
    <row r="106" spans="1:7" x14ac:dyDescent="0.35">
      <c r="A106" t="s">
        <v>48</v>
      </c>
      <c r="B106" t="s">
        <v>19</v>
      </c>
      <c r="C106" t="s">
        <v>28</v>
      </c>
      <c r="D106" s="32">
        <v>1286.54</v>
      </c>
      <c r="E106" s="32">
        <v>8</v>
      </c>
      <c r="F106" s="32">
        <v>0</v>
      </c>
      <c r="G106" s="32">
        <v>450.29</v>
      </c>
    </row>
    <row r="107" spans="1:7" x14ac:dyDescent="0.35">
      <c r="A107" t="s">
        <v>65</v>
      </c>
      <c r="B107" t="s">
        <v>21</v>
      </c>
      <c r="C107" t="s">
        <v>13</v>
      </c>
      <c r="D107" s="32">
        <v>961.62</v>
      </c>
      <c r="E107" s="32">
        <v>8</v>
      </c>
      <c r="F107" s="32">
        <v>0.2</v>
      </c>
      <c r="G107" s="32">
        <v>307.72000000000003</v>
      </c>
    </row>
    <row r="108" spans="1:7" x14ac:dyDescent="0.35">
      <c r="A108" t="s">
        <v>24</v>
      </c>
      <c r="B108" t="s">
        <v>19</v>
      </c>
      <c r="C108" t="s">
        <v>13</v>
      </c>
      <c r="D108" s="32">
        <v>1081.1400000000001</v>
      </c>
      <c r="E108" s="32">
        <v>19</v>
      </c>
      <c r="F108" s="32">
        <v>0.15</v>
      </c>
      <c r="G108" s="32">
        <v>367.59</v>
      </c>
    </row>
    <row r="109" spans="1:7" x14ac:dyDescent="0.35">
      <c r="A109" t="s">
        <v>24</v>
      </c>
      <c r="B109" t="s">
        <v>12</v>
      </c>
      <c r="C109" t="s">
        <v>16</v>
      </c>
      <c r="D109" s="32">
        <v>1923.66</v>
      </c>
      <c r="E109" s="32">
        <v>9</v>
      </c>
      <c r="F109" s="32">
        <v>0.2</v>
      </c>
      <c r="G109" s="32">
        <v>769.46</v>
      </c>
    </row>
    <row r="110" spans="1:7" x14ac:dyDescent="0.35">
      <c r="A110" t="s">
        <v>67</v>
      </c>
      <c r="B110" t="s">
        <v>35</v>
      </c>
      <c r="C110" t="s">
        <v>16</v>
      </c>
      <c r="D110" s="32">
        <v>728.71</v>
      </c>
      <c r="E110" s="32">
        <v>14</v>
      </c>
      <c r="F110" s="32">
        <v>0.1</v>
      </c>
      <c r="G110" s="32">
        <v>327.92</v>
      </c>
    </row>
    <row r="111" spans="1:7" x14ac:dyDescent="0.35">
      <c r="A111" t="s">
        <v>34</v>
      </c>
      <c r="B111" t="s">
        <v>35</v>
      </c>
      <c r="C111" t="s">
        <v>16</v>
      </c>
      <c r="D111" s="32">
        <v>1301.8900000000001</v>
      </c>
      <c r="E111" s="32">
        <v>7</v>
      </c>
      <c r="F111" s="32">
        <v>0.15</v>
      </c>
      <c r="G111" s="32">
        <v>553.29999999999995</v>
      </c>
    </row>
    <row r="112" spans="1:7" x14ac:dyDescent="0.35">
      <c r="A112" t="s">
        <v>67</v>
      </c>
      <c r="B112" t="s">
        <v>19</v>
      </c>
      <c r="C112" t="s">
        <v>13</v>
      </c>
      <c r="D112" s="32">
        <v>980.18</v>
      </c>
      <c r="E112" s="32">
        <v>16</v>
      </c>
      <c r="F112" s="32">
        <v>0.1</v>
      </c>
      <c r="G112" s="32">
        <v>352.86</v>
      </c>
    </row>
    <row r="113" spans="1:7" x14ac:dyDescent="0.35">
      <c r="A113" t="s">
        <v>24</v>
      </c>
      <c r="B113" t="s">
        <v>12</v>
      </c>
      <c r="C113" t="s">
        <v>16</v>
      </c>
      <c r="D113" s="32">
        <v>697.57</v>
      </c>
      <c r="E113" s="32">
        <v>17</v>
      </c>
      <c r="F113" s="32">
        <v>0.1</v>
      </c>
      <c r="G113" s="32">
        <v>313.91000000000003</v>
      </c>
    </row>
    <row r="114" spans="1:7" x14ac:dyDescent="0.35">
      <c r="A114" t="s">
        <v>72</v>
      </c>
      <c r="B114" t="s">
        <v>12</v>
      </c>
      <c r="C114" t="s">
        <v>28</v>
      </c>
      <c r="D114" s="32">
        <v>1193.6099999999999</v>
      </c>
      <c r="E114" s="32">
        <v>1</v>
      </c>
      <c r="F114" s="32">
        <v>0.15</v>
      </c>
      <c r="G114" s="32">
        <v>355.1</v>
      </c>
    </row>
    <row r="115" spans="1:7" x14ac:dyDescent="0.35">
      <c r="A115" t="s">
        <v>39</v>
      </c>
      <c r="B115" t="s">
        <v>21</v>
      </c>
      <c r="C115" t="s">
        <v>22</v>
      </c>
      <c r="D115" s="32">
        <v>771.02</v>
      </c>
      <c r="E115" s="32">
        <v>1</v>
      </c>
      <c r="F115" s="32">
        <v>0</v>
      </c>
      <c r="G115" s="32">
        <v>192.76</v>
      </c>
    </row>
    <row r="116" spans="1:7" x14ac:dyDescent="0.35">
      <c r="A116" t="s">
        <v>70</v>
      </c>
      <c r="B116" t="s">
        <v>25</v>
      </c>
      <c r="C116" t="s">
        <v>16</v>
      </c>
      <c r="D116" s="32">
        <v>661.09</v>
      </c>
      <c r="E116" s="32">
        <v>1</v>
      </c>
      <c r="F116" s="32">
        <v>0.2</v>
      </c>
      <c r="G116" s="32">
        <v>264.44</v>
      </c>
    </row>
    <row r="117" spans="1:7" x14ac:dyDescent="0.35">
      <c r="A117" t="s">
        <v>56</v>
      </c>
      <c r="B117" t="s">
        <v>12</v>
      </c>
      <c r="C117" t="s">
        <v>22</v>
      </c>
      <c r="D117" s="32">
        <v>688.83</v>
      </c>
      <c r="E117" s="32">
        <v>15</v>
      </c>
      <c r="F117" s="32">
        <v>0</v>
      </c>
      <c r="G117" s="32">
        <v>172.21</v>
      </c>
    </row>
    <row r="118" spans="1:7" x14ac:dyDescent="0.35">
      <c r="A118" t="s">
        <v>30</v>
      </c>
      <c r="B118" t="s">
        <v>35</v>
      </c>
      <c r="C118" t="s">
        <v>13</v>
      </c>
      <c r="D118" s="32">
        <v>1249.0999999999999</v>
      </c>
      <c r="E118" s="32">
        <v>4</v>
      </c>
      <c r="F118" s="32">
        <v>0.05</v>
      </c>
      <c r="G118" s="32">
        <v>474.66</v>
      </c>
    </row>
    <row r="119" spans="1:7" x14ac:dyDescent="0.35">
      <c r="A119" t="s">
        <v>24</v>
      </c>
      <c r="B119" t="s">
        <v>19</v>
      </c>
      <c r="C119" t="s">
        <v>40</v>
      </c>
      <c r="D119" s="32">
        <v>1014.22</v>
      </c>
      <c r="E119" s="32">
        <v>14</v>
      </c>
      <c r="F119" s="32">
        <v>0.05</v>
      </c>
      <c r="G119" s="32">
        <v>433.58</v>
      </c>
    </row>
    <row r="120" spans="1:7" x14ac:dyDescent="0.35">
      <c r="A120" t="s">
        <v>49</v>
      </c>
      <c r="B120" t="s">
        <v>19</v>
      </c>
      <c r="C120" t="s">
        <v>13</v>
      </c>
      <c r="D120" s="32">
        <v>1010.58</v>
      </c>
      <c r="E120" s="32">
        <v>2</v>
      </c>
      <c r="F120" s="32">
        <v>0.15</v>
      </c>
      <c r="G120" s="32">
        <v>343.6</v>
      </c>
    </row>
    <row r="121" spans="1:7" x14ac:dyDescent="0.35">
      <c r="A121" t="s">
        <v>60</v>
      </c>
      <c r="B121" t="s">
        <v>25</v>
      </c>
      <c r="C121" t="s">
        <v>28</v>
      </c>
      <c r="D121" s="32">
        <v>957.29</v>
      </c>
      <c r="E121" s="32">
        <v>4</v>
      </c>
      <c r="F121" s="32">
        <v>0.05</v>
      </c>
      <c r="G121" s="32">
        <v>318.3</v>
      </c>
    </row>
    <row r="122" spans="1:7" x14ac:dyDescent="0.35">
      <c r="A122" t="s">
        <v>46</v>
      </c>
      <c r="B122" t="s">
        <v>25</v>
      </c>
      <c r="C122" t="s">
        <v>28</v>
      </c>
      <c r="D122" s="32">
        <v>1077.92</v>
      </c>
      <c r="E122" s="32">
        <v>3</v>
      </c>
      <c r="F122" s="32">
        <v>0.05</v>
      </c>
      <c r="G122" s="32">
        <v>358.41</v>
      </c>
    </row>
    <row r="123" spans="1:7" x14ac:dyDescent="0.35">
      <c r="A123" t="s">
        <v>51</v>
      </c>
      <c r="B123" t="s">
        <v>21</v>
      </c>
      <c r="C123" t="s">
        <v>16</v>
      </c>
      <c r="D123" s="32">
        <v>1163.01</v>
      </c>
      <c r="E123" s="32">
        <v>5</v>
      </c>
      <c r="F123" s="32">
        <v>0</v>
      </c>
      <c r="G123" s="32">
        <v>581.5</v>
      </c>
    </row>
    <row r="124" spans="1:7" x14ac:dyDescent="0.35">
      <c r="A124" t="s">
        <v>46</v>
      </c>
      <c r="B124" t="s">
        <v>19</v>
      </c>
      <c r="C124" t="s">
        <v>40</v>
      </c>
      <c r="D124" s="32">
        <v>1014.56</v>
      </c>
      <c r="E124" s="32">
        <v>10</v>
      </c>
      <c r="F124" s="32">
        <v>0.1</v>
      </c>
      <c r="G124" s="32">
        <v>410.9</v>
      </c>
    </row>
    <row r="125" spans="1:7" x14ac:dyDescent="0.35">
      <c r="A125" t="s">
        <v>18</v>
      </c>
      <c r="B125" t="s">
        <v>21</v>
      </c>
      <c r="C125" t="s">
        <v>22</v>
      </c>
      <c r="D125" s="32">
        <v>718.04</v>
      </c>
      <c r="E125" s="32">
        <v>14</v>
      </c>
      <c r="F125" s="32">
        <v>0</v>
      </c>
      <c r="G125" s="32">
        <v>179.51</v>
      </c>
    </row>
    <row r="126" spans="1:7" x14ac:dyDescent="0.35">
      <c r="A126" t="s">
        <v>18</v>
      </c>
      <c r="B126" t="s">
        <v>35</v>
      </c>
      <c r="C126" t="s">
        <v>16</v>
      </c>
      <c r="D126" s="32">
        <v>1277.8499999999999</v>
      </c>
      <c r="E126" s="32">
        <v>18</v>
      </c>
      <c r="F126" s="32">
        <v>0.2</v>
      </c>
      <c r="G126" s="32">
        <v>511.14</v>
      </c>
    </row>
    <row r="127" spans="1:7" x14ac:dyDescent="0.35">
      <c r="A127" t="s">
        <v>24</v>
      </c>
      <c r="B127" t="s">
        <v>25</v>
      </c>
      <c r="C127" t="s">
        <v>22</v>
      </c>
      <c r="D127" s="32">
        <v>706.73</v>
      </c>
      <c r="E127" s="32">
        <v>1</v>
      </c>
      <c r="F127" s="32">
        <v>0.15</v>
      </c>
      <c r="G127" s="32">
        <v>150.18</v>
      </c>
    </row>
    <row r="128" spans="1:7" x14ac:dyDescent="0.35">
      <c r="A128" t="s">
        <v>51</v>
      </c>
      <c r="B128" t="s">
        <v>19</v>
      </c>
      <c r="C128" t="s">
        <v>22</v>
      </c>
      <c r="D128" s="32">
        <v>1410.59</v>
      </c>
      <c r="E128" s="32">
        <v>15</v>
      </c>
      <c r="F128" s="32">
        <v>0</v>
      </c>
      <c r="G128" s="32">
        <v>352.65</v>
      </c>
    </row>
    <row r="129" spans="1:7" x14ac:dyDescent="0.35">
      <c r="A129" t="s">
        <v>62</v>
      </c>
      <c r="B129" t="s">
        <v>21</v>
      </c>
      <c r="C129" t="s">
        <v>28</v>
      </c>
      <c r="D129" s="32">
        <v>1350.33</v>
      </c>
      <c r="E129" s="32">
        <v>10</v>
      </c>
      <c r="F129" s="32">
        <v>0</v>
      </c>
      <c r="G129" s="32">
        <v>472.62</v>
      </c>
    </row>
    <row r="130" spans="1:7" x14ac:dyDescent="0.35">
      <c r="A130" t="s">
        <v>46</v>
      </c>
      <c r="B130" t="s">
        <v>19</v>
      </c>
      <c r="C130" t="s">
        <v>22</v>
      </c>
      <c r="D130" s="32">
        <v>919.18</v>
      </c>
      <c r="E130" s="32">
        <v>4</v>
      </c>
      <c r="F130" s="32">
        <v>0.15</v>
      </c>
      <c r="G130" s="32">
        <v>195.33</v>
      </c>
    </row>
    <row r="131" spans="1:7" x14ac:dyDescent="0.35">
      <c r="A131" t="s">
        <v>24</v>
      </c>
      <c r="B131" t="s">
        <v>12</v>
      </c>
      <c r="C131" t="s">
        <v>22</v>
      </c>
      <c r="D131" s="32">
        <v>258.51</v>
      </c>
      <c r="E131" s="32">
        <v>19</v>
      </c>
      <c r="F131" s="32">
        <v>0</v>
      </c>
      <c r="G131" s="32">
        <v>64.63</v>
      </c>
    </row>
    <row r="132" spans="1:7" x14ac:dyDescent="0.35">
      <c r="A132" t="s">
        <v>62</v>
      </c>
      <c r="B132" t="s">
        <v>19</v>
      </c>
      <c r="C132" t="s">
        <v>13</v>
      </c>
      <c r="D132" s="32">
        <v>1213.48</v>
      </c>
      <c r="E132" s="32">
        <v>5</v>
      </c>
      <c r="F132" s="32">
        <v>0.05</v>
      </c>
      <c r="G132" s="32">
        <v>461.12</v>
      </c>
    </row>
    <row r="133" spans="1:7" x14ac:dyDescent="0.35">
      <c r="A133" t="s">
        <v>39</v>
      </c>
      <c r="B133" t="s">
        <v>35</v>
      </c>
      <c r="C133" t="s">
        <v>13</v>
      </c>
      <c r="D133" s="32">
        <v>1150.28</v>
      </c>
      <c r="E133" s="32">
        <v>8</v>
      </c>
      <c r="F133" s="32">
        <v>0.05</v>
      </c>
      <c r="G133" s="32">
        <v>437.11</v>
      </c>
    </row>
    <row r="134" spans="1:7" x14ac:dyDescent="0.35">
      <c r="A134" t="s">
        <v>72</v>
      </c>
      <c r="B134" t="s">
        <v>21</v>
      </c>
      <c r="C134" t="s">
        <v>28</v>
      </c>
      <c r="D134" s="32">
        <v>853.86</v>
      </c>
      <c r="E134" s="32">
        <v>8</v>
      </c>
      <c r="F134" s="32">
        <v>0.1</v>
      </c>
      <c r="G134" s="32">
        <v>268.97000000000003</v>
      </c>
    </row>
    <row r="135" spans="1:7" x14ac:dyDescent="0.35">
      <c r="A135" t="s">
        <v>46</v>
      </c>
      <c r="B135" t="s">
        <v>21</v>
      </c>
      <c r="C135" t="s">
        <v>22</v>
      </c>
      <c r="D135" s="32">
        <v>1061.04</v>
      </c>
      <c r="E135" s="32">
        <v>1</v>
      </c>
      <c r="F135" s="32">
        <v>0</v>
      </c>
      <c r="G135" s="32">
        <v>265.26</v>
      </c>
    </row>
    <row r="136" spans="1:7" x14ac:dyDescent="0.35">
      <c r="A136" t="s">
        <v>44</v>
      </c>
      <c r="B136" t="s">
        <v>12</v>
      </c>
      <c r="C136" t="s">
        <v>22</v>
      </c>
      <c r="D136" s="32">
        <v>894.55</v>
      </c>
      <c r="E136" s="32">
        <v>19</v>
      </c>
      <c r="F136" s="32">
        <v>0.2</v>
      </c>
      <c r="G136" s="32">
        <v>178.91</v>
      </c>
    </row>
    <row r="137" spans="1:7" x14ac:dyDescent="0.35">
      <c r="A137" t="s">
        <v>39</v>
      </c>
      <c r="B137" t="s">
        <v>25</v>
      </c>
      <c r="C137" t="s">
        <v>40</v>
      </c>
      <c r="D137" s="32">
        <v>833.91</v>
      </c>
      <c r="E137" s="32">
        <v>3</v>
      </c>
      <c r="F137" s="32">
        <v>0.05</v>
      </c>
      <c r="G137" s="32">
        <v>356.5</v>
      </c>
    </row>
    <row r="138" spans="1:7" x14ac:dyDescent="0.35">
      <c r="A138" t="s">
        <v>72</v>
      </c>
      <c r="B138" t="s">
        <v>12</v>
      </c>
      <c r="C138" t="s">
        <v>28</v>
      </c>
      <c r="D138" s="32">
        <v>820.19</v>
      </c>
      <c r="E138" s="32">
        <v>4</v>
      </c>
      <c r="F138" s="32">
        <v>0.2</v>
      </c>
      <c r="G138" s="32">
        <v>229.65</v>
      </c>
    </row>
    <row r="139" spans="1:7" x14ac:dyDescent="0.35">
      <c r="A139" t="s">
        <v>39</v>
      </c>
      <c r="B139" t="s">
        <v>35</v>
      </c>
      <c r="C139" t="s">
        <v>22</v>
      </c>
      <c r="D139" s="32">
        <v>511.74</v>
      </c>
      <c r="E139" s="32">
        <v>8</v>
      </c>
      <c r="F139" s="32">
        <v>0.05</v>
      </c>
      <c r="G139" s="32">
        <v>121.54</v>
      </c>
    </row>
    <row r="140" spans="1:7" x14ac:dyDescent="0.35">
      <c r="A140" t="s">
        <v>62</v>
      </c>
      <c r="B140" t="s">
        <v>21</v>
      </c>
      <c r="C140" t="s">
        <v>28</v>
      </c>
      <c r="D140" s="32">
        <v>806.03</v>
      </c>
      <c r="E140" s="32">
        <v>19</v>
      </c>
      <c r="F140" s="32">
        <v>0.05</v>
      </c>
      <c r="G140" s="32">
        <v>268</v>
      </c>
    </row>
    <row r="141" spans="1:7" x14ac:dyDescent="0.35">
      <c r="A141" t="s">
        <v>27</v>
      </c>
      <c r="B141" t="s">
        <v>35</v>
      </c>
      <c r="C141" t="s">
        <v>28</v>
      </c>
      <c r="D141" s="32">
        <v>1432.47</v>
      </c>
      <c r="E141" s="32">
        <v>16</v>
      </c>
      <c r="F141" s="32">
        <v>0.15</v>
      </c>
      <c r="G141" s="32">
        <v>426.16</v>
      </c>
    </row>
    <row r="142" spans="1:7" x14ac:dyDescent="0.35">
      <c r="A142" t="s">
        <v>30</v>
      </c>
      <c r="B142" t="s">
        <v>35</v>
      </c>
      <c r="C142" t="s">
        <v>22</v>
      </c>
      <c r="D142" s="32">
        <v>1488.58</v>
      </c>
      <c r="E142" s="32">
        <v>10</v>
      </c>
      <c r="F142" s="32">
        <v>0.15</v>
      </c>
      <c r="G142" s="32">
        <v>316.32</v>
      </c>
    </row>
    <row r="143" spans="1:7" x14ac:dyDescent="0.35">
      <c r="A143" t="s">
        <v>67</v>
      </c>
      <c r="B143" t="s">
        <v>19</v>
      </c>
      <c r="C143" t="s">
        <v>13</v>
      </c>
      <c r="D143" s="32">
        <v>1231.26</v>
      </c>
      <c r="E143" s="32">
        <v>9</v>
      </c>
      <c r="F143" s="32">
        <v>0</v>
      </c>
      <c r="G143" s="32">
        <v>492.5</v>
      </c>
    </row>
    <row r="144" spans="1:7" x14ac:dyDescent="0.35">
      <c r="A144" t="s">
        <v>44</v>
      </c>
      <c r="B144" t="s">
        <v>12</v>
      </c>
      <c r="C144" t="s">
        <v>22</v>
      </c>
      <c r="D144" s="32">
        <v>1161.67</v>
      </c>
      <c r="E144" s="32">
        <v>19</v>
      </c>
      <c r="F144" s="32">
        <v>0.2</v>
      </c>
      <c r="G144" s="32">
        <v>232.33</v>
      </c>
    </row>
    <row r="145" spans="1:7" x14ac:dyDescent="0.35">
      <c r="A145" t="s">
        <v>46</v>
      </c>
      <c r="B145" t="s">
        <v>35</v>
      </c>
      <c r="C145" t="s">
        <v>40</v>
      </c>
      <c r="D145" s="32">
        <v>388.23</v>
      </c>
      <c r="E145" s="32">
        <v>16</v>
      </c>
      <c r="F145" s="32">
        <v>0.05</v>
      </c>
      <c r="G145" s="32">
        <v>165.97</v>
      </c>
    </row>
    <row r="146" spans="1:7" x14ac:dyDescent="0.35">
      <c r="A146" t="s">
        <v>32</v>
      </c>
      <c r="B146" t="s">
        <v>25</v>
      </c>
      <c r="C146" t="s">
        <v>16</v>
      </c>
      <c r="D146" s="32">
        <v>1589.42</v>
      </c>
      <c r="E146" s="32">
        <v>6</v>
      </c>
      <c r="F146" s="32">
        <v>0.15</v>
      </c>
      <c r="G146" s="32">
        <v>675.5</v>
      </c>
    </row>
    <row r="147" spans="1:7" x14ac:dyDescent="0.35">
      <c r="A147" t="s">
        <v>72</v>
      </c>
      <c r="B147" t="s">
        <v>25</v>
      </c>
      <c r="C147" t="s">
        <v>16</v>
      </c>
      <c r="D147" s="32">
        <v>336.66</v>
      </c>
      <c r="E147" s="32">
        <v>13</v>
      </c>
      <c r="F147" s="32">
        <v>0.2</v>
      </c>
      <c r="G147" s="32">
        <v>134.66</v>
      </c>
    </row>
    <row r="148" spans="1:7" x14ac:dyDescent="0.35">
      <c r="A148" t="s">
        <v>24</v>
      </c>
      <c r="B148" t="s">
        <v>12</v>
      </c>
      <c r="C148" t="s">
        <v>13</v>
      </c>
      <c r="D148" s="32">
        <v>1353.79</v>
      </c>
      <c r="E148" s="32">
        <v>14</v>
      </c>
      <c r="F148" s="32">
        <v>0.1</v>
      </c>
      <c r="G148" s="32">
        <v>487.36</v>
      </c>
    </row>
    <row r="149" spans="1:7" x14ac:dyDescent="0.35">
      <c r="A149" t="s">
        <v>70</v>
      </c>
      <c r="B149" t="s">
        <v>35</v>
      </c>
      <c r="C149" t="s">
        <v>16</v>
      </c>
      <c r="D149" s="32">
        <v>662.61</v>
      </c>
      <c r="E149" s="32">
        <v>11</v>
      </c>
      <c r="F149" s="32">
        <v>0.05</v>
      </c>
      <c r="G149" s="32">
        <v>314.74</v>
      </c>
    </row>
    <row r="150" spans="1:7" x14ac:dyDescent="0.35">
      <c r="A150" t="s">
        <v>49</v>
      </c>
      <c r="B150" t="s">
        <v>25</v>
      </c>
      <c r="C150" t="s">
        <v>40</v>
      </c>
      <c r="D150" s="32">
        <v>309.42</v>
      </c>
      <c r="E150" s="32">
        <v>1</v>
      </c>
      <c r="F150" s="32">
        <v>0.2</v>
      </c>
      <c r="G150" s="32">
        <v>111.39</v>
      </c>
    </row>
    <row r="151" spans="1:7" x14ac:dyDescent="0.35">
      <c r="A151" t="s">
        <v>30</v>
      </c>
      <c r="B151" t="s">
        <v>25</v>
      </c>
      <c r="C151" t="s">
        <v>13</v>
      </c>
      <c r="D151" s="32">
        <v>884.63</v>
      </c>
      <c r="E151" s="32">
        <v>18</v>
      </c>
      <c r="F151" s="32">
        <v>0.1</v>
      </c>
      <c r="G151" s="32">
        <v>318.47000000000003</v>
      </c>
    </row>
    <row r="152" spans="1:7" x14ac:dyDescent="0.35">
      <c r="A152" t="s">
        <v>24</v>
      </c>
      <c r="B152" t="s">
        <v>35</v>
      </c>
      <c r="C152" t="s">
        <v>40</v>
      </c>
      <c r="D152" s="32">
        <v>745.05</v>
      </c>
      <c r="E152" s="32">
        <v>10</v>
      </c>
      <c r="F152" s="32">
        <v>0.1</v>
      </c>
      <c r="G152" s="32">
        <v>301.75</v>
      </c>
    </row>
    <row r="153" spans="1:7" x14ac:dyDescent="0.35">
      <c r="A153" t="s">
        <v>18</v>
      </c>
      <c r="B153" t="s">
        <v>21</v>
      </c>
      <c r="C153" t="s">
        <v>16</v>
      </c>
      <c r="D153" s="32">
        <v>870.23</v>
      </c>
      <c r="E153" s="32">
        <v>5</v>
      </c>
      <c r="F153" s="32">
        <v>0.05</v>
      </c>
      <c r="G153" s="32">
        <v>413.36</v>
      </c>
    </row>
    <row r="154" spans="1:7" x14ac:dyDescent="0.35">
      <c r="A154" t="s">
        <v>30</v>
      </c>
      <c r="B154" t="s">
        <v>12</v>
      </c>
      <c r="C154" t="s">
        <v>28</v>
      </c>
      <c r="D154" s="32">
        <v>862.19</v>
      </c>
      <c r="E154" s="32">
        <v>18</v>
      </c>
      <c r="F154" s="32">
        <v>0.05</v>
      </c>
      <c r="G154" s="32">
        <v>286.68</v>
      </c>
    </row>
    <row r="155" spans="1:7" x14ac:dyDescent="0.35">
      <c r="A155" t="s">
        <v>60</v>
      </c>
      <c r="B155" t="s">
        <v>25</v>
      </c>
      <c r="C155" t="s">
        <v>16</v>
      </c>
      <c r="D155" s="32">
        <v>1171.18</v>
      </c>
      <c r="E155" s="32">
        <v>19</v>
      </c>
      <c r="F155" s="32">
        <v>0.05</v>
      </c>
      <c r="G155" s="32">
        <v>556.30999999999995</v>
      </c>
    </row>
    <row r="156" spans="1:7" x14ac:dyDescent="0.35">
      <c r="A156" t="s">
        <v>15</v>
      </c>
      <c r="B156" t="s">
        <v>21</v>
      </c>
      <c r="C156" t="s">
        <v>28</v>
      </c>
      <c r="D156" s="32">
        <v>1054.56</v>
      </c>
      <c r="E156" s="32">
        <v>11</v>
      </c>
      <c r="F156" s="32">
        <v>0.1</v>
      </c>
      <c r="G156" s="32">
        <v>332.19</v>
      </c>
    </row>
    <row r="157" spans="1:7" x14ac:dyDescent="0.35">
      <c r="A157" t="s">
        <v>24</v>
      </c>
      <c r="B157" t="s">
        <v>25</v>
      </c>
      <c r="C157" t="s">
        <v>22</v>
      </c>
      <c r="D157" s="32">
        <v>1681.21</v>
      </c>
      <c r="E157" s="32">
        <v>5</v>
      </c>
      <c r="F157" s="32">
        <v>0.2</v>
      </c>
      <c r="G157" s="32">
        <v>336.24</v>
      </c>
    </row>
    <row r="158" spans="1:7" x14ac:dyDescent="0.35">
      <c r="A158" t="s">
        <v>37</v>
      </c>
      <c r="B158" t="s">
        <v>12</v>
      </c>
      <c r="C158" t="s">
        <v>16</v>
      </c>
      <c r="D158" s="32">
        <v>379.77</v>
      </c>
      <c r="E158" s="32">
        <v>9</v>
      </c>
      <c r="F158" s="32">
        <v>0.05</v>
      </c>
      <c r="G158" s="32">
        <v>180.39</v>
      </c>
    </row>
    <row r="159" spans="1:7" x14ac:dyDescent="0.35">
      <c r="A159" t="s">
        <v>46</v>
      </c>
      <c r="B159" t="s">
        <v>35</v>
      </c>
      <c r="C159" t="s">
        <v>16</v>
      </c>
      <c r="D159" s="32">
        <v>1076.33</v>
      </c>
      <c r="E159" s="32">
        <v>2</v>
      </c>
      <c r="F159" s="32">
        <v>0.1</v>
      </c>
      <c r="G159" s="32">
        <v>484.35</v>
      </c>
    </row>
    <row r="160" spans="1:7" x14ac:dyDescent="0.35">
      <c r="A160" t="s">
        <v>32</v>
      </c>
      <c r="B160" t="s">
        <v>35</v>
      </c>
      <c r="C160" t="s">
        <v>40</v>
      </c>
      <c r="D160" s="32">
        <v>1250.71</v>
      </c>
      <c r="E160" s="32">
        <v>7</v>
      </c>
      <c r="F160" s="32">
        <v>0</v>
      </c>
      <c r="G160" s="32">
        <v>562.82000000000005</v>
      </c>
    </row>
    <row r="161" spans="1:7" x14ac:dyDescent="0.35">
      <c r="A161" t="s">
        <v>18</v>
      </c>
      <c r="B161" t="s">
        <v>21</v>
      </c>
      <c r="C161" t="s">
        <v>16</v>
      </c>
      <c r="D161" s="32">
        <v>1118.3399999999999</v>
      </c>
      <c r="E161" s="32">
        <v>6</v>
      </c>
      <c r="F161" s="32">
        <v>0.2</v>
      </c>
      <c r="G161" s="32">
        <v>447.34</v>
      </c>
    </row>
    <row r="162" spans="1:7" x14ac:dyDescent="0.35">
      <c r="A162" t="s">
        <v>54</v>
      </c>
      <c r="B162" t="s">
        <v>25</v>
      </c>
      <c r="C162" t="s">
        <v>16</v>
      </c>
      <c r="D162" s="32">
        <v>1622.62</v>
      </c>
      <c r="E162" s="32">
        <v>12</v>
      </c>
      <c r="F162" s="32">
        <v>0.2</v>
      </c>
      <c r="G162" s="32">
        <v>649.04999999999995</v>
      </c>
    </row>
    <row r="163" spans="1:7" x14ac:dyDescent="0.35">
      <c r="A163" t="s">
        <v>49</v>
      </c>
      <c r="B163" t="s">
        <v>25</v>
      </c>
      <c r="C163" t="s">
        <v>13</v>
      </c>
      <c r="D163" s="32">
        <v>640.64</v>
      </c>
      <c r="E163" s="32">
        <v>11</v>
      </c>
      <c r="F163" s="32">
        <v>0.2</v>
      </c>
      <c r="G163" s="32">
        <v>205</v>
      </c>
    </row>
    <row r="164" spans="1:7" x14ac:dyDescent="0.35">
      <c r="A164" t="s">
        <v>44</v>
      </c>
      <c r="B164" t="s">
        <v>12</v>
      </c>
      <c r="C164" t="s">
        <v>16</v>
      </c>
      <c r="D164" s="32">
        <v>585.16</v>
      </c>
      <c r="E164" s="32">
        <v>17</v>
      </c>
      <c r="F164" s="32">
        <v>0.1</v>
      </c>
      <c r="G164" s="32">
        <v>263.32</v>
      </c>
    </row>
    <row r="165" spans="1:7" x14ac:dyDescent="0.35">
      <c r="A165" t="s">
        <v>32</v>
      </c>
      <c r="B165" t="s">
        <v>19</v>
      </c>
      <c r="C165" t="s">
        <v>16</v>
      </c>
      <c r="D165" s="32">
        <v>1109.98</v>
      </c>
      <c r="E165" s="32">
        <v>5</v>
      </c>
      <c r="F165" s="32">
        <v>0.2</v>
      </c>
      <c r="G165" s="32">
        <v>443.99</v>
      </c>
    </row>
    <row r="166" spans="1:7" x14ac:dyDescent="0.35">
      <c r="A166" t="s">
        <v>46</v>
      </c>
      <c r="B166" t="s">
        <v>19</v>
      </c>
      <c r="C166" t="s">
        <v>13</v>
      </c>
      <c r="D166" s="32">
        <v>1098.08</v>
      </c>
      <c r="E166" s="32">
        <v>9</v>
      </c>
      <c r="F166" s="32">
        <v>0.1</v>
      </c>
      <c r="G166" s="32">
        <v>395.31</v>
      </c>
    </row>
    <row r="167" spans="1:7" x14ac:dyDescent="0.35">
      <c r="A167" t="s">
        <v>49</v>
      </c>
      <c r="B167" t="s">
        <v>12</v>
      </c>
      <c r="C167" t="s">
        <v>40</v>
      </c>
      <c r="D167" s="32">
        <v>827.25</v>
      </c>
      <c r="E167" s="32">
        <v>7</v>
      </c>
      <c r="F167" s="32">
        <v>0.1</v>
      </c>
      <c r="G167" s="32">
        <v>335.04</v>
      </c>
    </row>
    <row r="168" spans="1:7" x14ac:dyDescent="0.35">
      <c r="A168" t="s">
        <v>30</v>
      </c>
      <c r="B168" t="s">
        <v>35</v>
      </c>
      <c r="C168" t="s">
        <v>16</v>
      </c>
      <c r="D168" s="32">
        <v>741.88</v>
      </c>
      <c r="E168" s="32">
        <v>16</v>
      </c>
      <c r="F168" s="32">
        <v>0.1</v>
      </c>
      <c r="G168" s="32">
        <v>333.85</v>
      </c>
    </row>
    <row r="169" spans="1:7" x14ac:dyDescent="0.35">
      <c r="A169" t="s">
        <v>11</v>
      </c>
      <c r="B169" t="s">
        <v>19</v>
      </c>
      <c r="C169" t="s">
        <v>40</v>
      </c>
      <c r="D169" s="32">
        <v>1311.26</v>
      </c>
      <c r="E169" s="32">
        <v>6</v>
      </c>
      <c r="F169" s="32">
        <v>0.1</v>
      </c>
      <c r="G169" s="32">
        <v>531.05999999999995</v>
      </c>
    </row>
    <row r="170" spans="1:7" x14ac:dyDescent="0.35">
      <c r="A170" t="s">
        <v>32</v>
      </c>
      <c r="B170" t="s">
        <v>21</v>
      </c>
      <c r="C170" t="s">
        <v>40</v>
      </c>
      <c r="D170" s="32">
        <v>573.32000000000005</v>
      </c>
      <c r="E170" s="32">
        <v>19</v>
      </c>
      <c r="F170" s="32">
        <v>0.1</v>
      </c>
      <c r="G170" s="32">
        <v>232.19</v>
      </c>
    </row>
    <row r="171" spans="1:7" x14ac:dyDescent="0.35">
      <c r="A171" t="s">
        <v>24</v>
      </c>
      <c r="B171" t="s">
        <v>12</v>
      </c>
      <c r="C171" t="s">
        <v>22</v>
      </c>
      <c r="D171" s="32">
        <v>1115.22</v>
      </c>
      <c r="E171" s="32">
        <v>14</v>
      </c>
      <c r="F171" s="32">
        <v>0.2</v>
      </c>
      <c r="G171" s="32">
        <v>223.04</v>
      </c>
    </row>
    <row r="172" spans="1:7" x14ac:dyDescent="0.35">
      <c r="A172" t="s">
        <v>46</v>
      </c>
      <c r="B172" t="s">
        <v>25</v>
      </c>
      <c r="C172" t="s">
        <v>16</v>
      </c>
      <c r="D172" s="32">
        <v>845.84</v>
      </c>
      <c r="E172" s="32">
        <v>4</v>
      </c>
      <c r="F172" s="32">
        <v>0</v>
      </c>
      <c r="G172" s="32">
        <v>422.92</v>
      </c>
    </row>
    <row r="173" spans="1:7" x14ac:dyDescent="0.35">
      <c r="A173" t="s">
        <v>56</v>
      </c>
      <c r="B173" t="s">
        <v>12</v>
      </c>
      <c r="C173" t="s">
        <v>22</v>
      </c>
      <c r="D173" s="32">
        <v>1029.8</v>
      </c>
      <c r="E173" s="32">
        <v>3</v>
      </c>
      <c r="F173" s="32">
        <v>0</v>
      </c>
      <c r="G173" s="32">
        <v>257.45</v>
      </c>
    </row>
    <row r="174" spans="1:7" x14ac:dyDescent="0.35">
      <c r="A174" t="s">
        <v>32</v>
      </c>
      <c r="B174" t="s">
        <v>25</v>
      </c>
      <c r="C174" t="s">
        <v>13</v>
      </c>
      <c r="D174" s="32">
        <v>1189.83</v>
      </c>
      <c r="E174" s="32">
        <v>2</v>
      </c>
      <c r="F174" s="32">
        <v>0.2</v>
      </c>
      <c r="G174" s="32">
        <v>380.75</v>
      </c>
    </row>
    <row r="175" spans="1:7" x14ac:dyDescent="0.35">
      <c r="A175" t="s">
        <v>44</v>
      </c>
      <c r="B175" t="s">
        <v>21</v>
      </c>
      <c r="C175" t="s">
        <v>13</v>
      </c>
      <c r="D175" s="32">
        <v>704.28</v>
      </c>
      <c r="E175" s="32">
        <v>15</v>
      </c>
      <c r="F175" s="32">
        <v>0.2</v>
      </c>
      <c r="G175" s="32">
        <v>225.37</v>
      </c>
    </row>
    <row r="176" spans="1:7" x14ac:dyDescent="0.35">
      <c r="A176" t="s">
        <v>48</v>
      </c>
      <c r="B176" t="s">
        <v>35</v>
      </c>
      <c r="C176" t="s">
        <v>40</v>
      </c>
      <c r="D176" s="32">
        <v>1618.22</v>
      </c>
      <c r="E176" s="32">
        <v>12</v>
      </c>
      <c r="F176" s="32">
        <v>0.2</v>
      </c>
      <c r="G176" s="32">
        <v>582.55999999999995</v>
      </c>
    </row>
    <row r="177" spans="1:7" x14ac:dyDescent="0.35">
      <c r="A177" t="s">
        <v>54</v>
      </c>
      <c r="B177" t="s">
        <v>35</v>
      </c>
      <c r="C177" t="s">
        <v>13</v>
      </c>
      <c r="D177" s="32">
        <v>1014.43</v>
      </c>
      <c r="E177" s="32">
        <v>2</v>
      </c>
      <c r="F177" s="32">
        <v>0.15</v>
      </c>
      <c r="G177" s="32">
        <v>344.91</v>
      </c>
    </row>
    <row r="178" spans="1:7" x14ac:dyDescent="0.35">
      <c r="A178" t="s">
        <v>32</v>
      </c>
      <c r="B178" t="s">
        <v>35</v>
      </c>
      <c r="C178" t="s">
        <v>16</v>
      </c>
      <c r="D178" s="32">
        <v>826.97</v>
      </c>
      <c r="E178" s="32">
        <v>18</v>
      </c>
      <c r="F178" s="32">
        <v>0.2</v>
      </c>
      <c r="G178" s="32">
        <v>330.79</v>
      </c>
    </row>
    <row r="179" spans="1:7" x14ac:dyDescent="0.35">
      <c r="A179" t="s">
        <v>32</v>
      </c>
      <c r="B179" t="s">
        <v>35</v>
      </c>
      <c r="C179" t="s">
        <v>16</v>
      </c>
      <c r="D179" s="32">
        <v>1022.23</v>
      </c>
      <c r="E179" s="32">
        <v>8</v>
      </c>
      <c r="F179" s="32">
        <v>0.1</v>
      </c>
      <c r="G179" s="32">
        <v>460</v>
      </c>
    </row>
    <row r="180" spans="1:7" x14ac:dyDescent="0.35">
      <c r="A180" t="s">
        <v>30</v>
      </c>
      <c r="B180" t="s">
        <v>19</v>
      </c>
      <c r="C180" t="s">
        <v>13</v>
      </c>
      <c r="D180" s="32">
        <v>1099.69</v>
      </c>
      <c r="E180" s="32">
        <v>6</v>
      </c>
      <c r="F180" s="32">
        <v>0</v>
      </c>
      <c r="G180" s="32">
        <v>439.88</v>
      </c>
    </row>
    <row r="181" spans="1:7" x14ac:dyDescent="0.35">
      <c r="A181" t="s">
        <v>65</v>
      </c>
      <c r="B181" t="s">
        <v>25</v>
      </c>
      <c r="C181" t="s">
        <v>13</v>
      </c>
      <c r="D181" s="32">
        <v>710.52</v>
      </c>
      <c r="E181" s="32">
        <v>8</v>
      </c>
      <c r="F181" s="32">
        <v>0.1</v>
      </c>
      <c r="G181" s="32">
        <v>255.79</v>
      </c>
    </row>
    <row r="182" spans="1:7" x14ac:dyDescent="0.35">
      <c r="A182" t="s">
        <v>60</v>
      </c>
      <c r="B182" t="s">
        <v>25</v>
      </c>
      <c r="C182" t="s">
        <v>13</v>
      </c>
      <c r="D182" s="32">
        <v>499.18</v>
      </c>
      <c r="E182" s="32">
        <v>15</v>
      </c>
      <c r="F182" s="32">
        <v>0.2</v>
      </c>
      <c r="G182" s="32">
        <v>159.74</v>
      </c>
    </row>
    <row r="183" spans="1:7" x14ac:dyDescent="0.35">
      <c r="A183" t="s">
        <v>39</v>
      </c>
      <c r="B183" t="s">
        <v>21</v>
      </c>
      <c r="C183" t="s">
        <v>13</v>
      </c>
      <c r="D183" s="32">
        <v>1064.19</v>
      </c>
      <c r="E183" s="32">
        <v>18</v>
      </c>
      <c r="F183" s="32">
        <v>0.05</v>
      </c>
      <c r="G183" s="32">
        <v>404.39</v>
      </c>
    </row>
    <row r="184" spans="1:7" x14ac:dyDescent="0.35">
      <c r="A184" t="s">
        <v>39</v>
      </c>
      <c r="B184" t="s">
        <v>19</v>
      </c>
      <c r="C184" t="s">
        <v>40</v>
      </c>
      <c r="D184" s="32">
        <v>438.76</v>
      </c>
      <c r="E184" s="32">
        <v>18</v>
      </c>
      <c r="F184" s="32">
        <v>0.05</v>
      </c>
      <c r="G184" s="32">
        <v>187.57</v>
      </c>
    </row>
    <row r="185" spans="1:7" x14ac:dyDescent="0.35">
      <c r="A185" t="s">
        <v>56</v>
      </c>
      <c r="B185" t="s">
        <v>12</v>
      </c>
      <c r="C185" t="s">
        <v>16</v>
      </c>
      <c r="D185" s="32">
        <v>864.98</v>
      </c>
      <c r="E185" s="32">
        <v>2</v>
      </c>
      <c r="F185" s="32">
        <v>0.05</v>
      </c>
      <c r="G185" s="32">
        <v>410.87</v>
      </c>
    </row>
    <row r="186" spans="1:7" x14ac:dyDescent="0.35">
      <c r="A186" t="s">
        <v>56</v>
      </c>
      <c r="B186" t="s">
        <v>12</v>
      </c>
      <c r="C186" t="s">
        <v>28</v>
      </c>
      <c r="D186" s="32">
        <v>984.93</v>
      </c>
      <c r="E186" s="32">
        <v>14</v>
      </c>
      <c r="F186" s="32">
        <v>0.2</v>
      </c>
      <c r="G186" s="32">
        <v>275.77999999999997</v>
      </c>
    </row>
    <row r="187" spans="1:7" x14ac:dyDescent="0.35">
      <c r="A187" t="s">
        <v>56</v>
      </c>
      <c r="B187" t="s">
        <v>12</v>
      </c>
      <c r="C187" t="s">
        <v>16</v>
      </c>
      <c r="D187" s="32">
        <v>1493.49</v>
      </c>
      <c r="E187" s="32">
        <v>18</v>
      </c>
      <c r="F187" s="32">
        <v>0</v>
      </c>
      <c r="G187" s="32">
        <v>746.74</v>
      </c>
    </row>
    <row r="188" spans="1:7" x14ac:dyDescent="0.35">
      <c r="A188" t="s">
        <v>54</v>
      </c>
      <c r="B188" t="s">
        <v>21</v>
      </c>
      <c r="C188" t="s">
        <v>16</v>
      </c>
      <c r="D188" s="32">
        <v>689.43</v>
      </c>
      <c r="E188" s="32">
        <v>9</v>
      </c>
      <c r="F188" s="32">
        <v>0.1</v>
      </c>
      <c r="G188" s="32">
        <v>310.24</v>
      </c>
    </row>
    <row r="189" spans="1:7" x14ac:dyDescent="0.35">
      <c r="A189" t="s">
        <v>60</v>
      </c>
      <c r="B189" t="s">
        <v>21</v>
      </c>
      <c r="C189" t="s">
        <v>16</v>
      </c>
      <c r="D189" s="32">
        <v>682.24</v>
      </c>
      <c r="E189" s="32">
        <v>1</v>
      </c>
      <c r="F189" s="32">
        <v>0</v>
      </c>
      <c r="G189" s="32">
        <v>341.12</v>
      </c>
    </row>
    <row r="190" spans="1:7" x14ac:dyDescent="0.35">
      <c r="A190" t="s">
        <v>27</v>
      </c>
      <c r="B190" t="s">
        <v>25</v>
      </c>
      <c r="C190" t="s">
        <v>22</v>
      </c>
      <c r="D190" s="32">
        <v>458.54</v>
      </c>
      <c r="E190" s="32">
        <v>15</v>
      </c>
      <c r="F190" s="32">
        <v>0.2</v>
      </c>
      <c r="G190" s="32">
        <v>91.71</v>
      </c>
    </row>
    <row r="191" spans="1:7" x14ac:dyDescent="0.35">
      <c r="A191" t="s">
        <v>27</v>
      </c>
      <c r="B191" t="s">
        <v>21</v>
      </c>
      <c r="C191" t="s">
        <v>28</v>
      </c>
      <c r="D191" s="32">
        <v>1184.25</v>
      </c>
      <c r="E191" s="32">
        <v>11</v>
      </c>
      <c r="F191" s="32">
        <v>0.2</v>
      </c>
      <c r="G191" s="32">
        <v>331.59</v>
      </c>
    </row>
    <row r="192" spans="1:7" x14ac:dyDescent="0.35">
      <c r="A192" t="s">
        <v>11</v>
      </c>
      <c r="B192" t="s">
        <v>21</v>
      </c>
      <c r="C192" t="s">
        <v>16</v>
      </c>
      <c r="D192" s="32">
        <v>762.14</v>
      </c>
      <c r="E192" s="32">
        <v>9</v>
      </c>
      <c r="F192" s="32">
        <v>0</v>
      </c>
      <c r="G192" s="32">
        <v>381.07</v>
      </c>
    </row>
    <row r="193" spans="1:7" x14ac:dyDescent="0.35">
      <c r="A193" t="s">
        <v>54</v>
      </c>
      <c r="B193" t="s">
        <v>25</v>
      </c>
      <c r="C193" t="s">
        <v>13</v>
      </c>
      <c r="D193" s="32">
        <v>750.71</v>
      </c>
      <c r="E193" s="32">
        <v>10</v>
      </c>
      <c r="F193" s="32">
        <v>0.15</v>
      </c>
      <c r="G193" s="32">
        <v>255.24</v>
      </c>
    </row>
    <row r="194" spans="1:7" x14ac:dyDescent="0.35">
      <c r="A194" t="s">
        <v>72</v>
      </c>
      <c r="B194" t="s">
        <v>35</v>
      </c>
      <c r="C194" t="s">
        <v>16</v>
      </c>
      <c r="D194" s="32">
        <v>1456.94</v>
      </c>
      <c r="E194" s="32">
        <v>14</v>
      </c>
      <c r="F194" s="32">
        <v>0.05</v>
      </c>
      <c r="G194" s="32">
        <v>692.05</v>
      </c>
    </row>
    <row r="195" spans="1:7" x14ac:dyDescent="0.35">
      <c r="A195" t="s">
        <v>62</v>
      </c>
      <c r="B195" t="s">
        <v>19</v>
      </c>
      <c r="C195" t="s">
        <v>28</v>
      </c>
      <c r="D195" s="32">
        <v>1093.3800000000001</v>
      </c>
      <c r="E195" s="32">
        <v>17</v>
      </c>
      <c r="F195" s="32">
        <v>0.1</v>
      </c>
      <c r="G195" s="32">
        <v>344.41</v>
      </c>
    </row>
    <row r="196" spans="1:7" x14ac:dyDescent="0.35">
      <c r="A196" t="s">
        <v>44</v>
      </c>
      <c r="B196" t="s">
        <v>12</v>
      </c>
      <c r="C196" t="s">
        <v>16</v>
      </c>
      <c r="D196" s="32">
        <v>934.27</v>
      </c>
      <c r="E196" s="32">
        <v>8</v>
      </c>
      <c r="F196" s="32">
        <v>0.15</v>
      </c>
      <c r="G196" s="32">
        <v>397.06</v>
      </c>
    </row>
    <row r="197" spans="1:7" x14ac:dyDescent="0.35">
      <c r="A197" t="s">
        <v>37</v>
      </c>
      <c r="B197" t="s">
        <v>35</v>
      </c>
      <c r="C197" t="s">
        <v>16</v>
      </c>
      <c r="D197" s="32">
        <v>1465.35</v>
      </c>
      <c r="E197" s="32">
        <v>8</v>
      </c>
      <c r="F197" s="32">
        <v>0.2</v>
      </c>
      <c r="G197" s="32">
        <v>586.14</v>
      </c>
    </row>
    <row r="198" spans="1:7" x14ac:dyDescent="0.35">
      <c r="A198" t="s">
        <v>15</v>
      </c>
      <c r="B198" t="s">
        <v>21</v>
      </c>
      <c r="C198" t="s">
        <v>40</v>
      </c>
      <c r="D198" s="32">
        <v>740.8</v>
      </c>
      <c r="E198" s="32">
        <v>3</v>
      </c>
      <c r="F198" s="32">
        <v>0</v>
      </c>
      <c r="G198" s="32">
        <v>333.36</v>
      </c>
    </row>
    <row r="199" spans="1:7" x14ac:dyDescent="0.35">
      <c r="A199" t="s">
        <v>44</v>
      </c>
      <c r="B199" t="s">
        <v>12</v>
      </c>
      <c r="C199" t="s">
        <v>40</v>
      </c>
      <c r="D199" s="32">
        <v>545.44000000000005</v>
      </c>
      <c r="E199" s="32">
        <v>17</v>
      </c>
      <c r="F199" s="32">
        <v>0</v>
      </c>
      <c r="G199" s="32">
        <v>245.45</v>
      </c>
    </row>
    <row r="200" spans="1:7" x14ac:dyDescent="0.35">
      <c r="A200" t="s">
        <v>37</v>
      </c>
      <c r="B200" t="s">
        <v>19</v>
      </c>
      <c r="C200" t="s">
        <v>13</v>
      </c>
      <c r="D200" s="32">
        <v>997.61</v>
      </c>
      <c r="E200" s="32">
        <v>8</v>
      </c>
      <c r="F200" s="32">
        <v>0.05</v>
      </c>
      <c r="G200" s="32">
        <v>379.09</v>
      </c>
    </row>
    <row r="201" spans="1:7" x14ac:dyDescent="0.35">
      <c r="A201" t="s">
        <v>37</v>
      </c>
      <c r="B201" t="s">
        <v>21</v>
      </c>
      <c r="C201" t="s">
        <v>16</v>
      </c>
      <c r="D201" s="32">
        <v>928.32</v>
      </c>
      <c r="E201" s="32">
        <v>2</v>
      </c>
      <c r="F201" s="32">
        <v>0.05</v>
      </c>
      <c r="G201" s="32">
        <v>440.95</v>
      </c>
    </row>
  </sheetData>
  <mergeCells count="1">
    <mergeCell ref="I3:M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ADC6-6FEA-4B4B-9390-5D9AB68BCE42}">
  <dimension ref="A1:T56"/>
  <sheetViews>
    <sheetView showGridLines="0" showRowColHeaders="0" topLeftCell="A5" workbookViewId="0">
      <selection activeCell="H25" sqref="H25"/>
    </sheetView>
  </sheetViews>
  <sheetFormatPr defaultRowHeight="14.5" x14ac:dyDescent="0.35"/>
  <sheetData>
    <row r="1" spans="1:20" x14ac:dyDescent="0.35">
      <c r="A1" s="44"/>
      <c r="B1" s="44"/>
      <c r="C1" s="44"/>
      <c r="D1" s="44"/>
      <c r="E1" s="44"/>
      <c r="F1" s="44"/>
      <c r="G1" s="54" t="s">
        <v>174</v>
      </c>
      <c r="H1" s="54"/>
      <c r="I1" s="54"/>
      <c r="J1" s="54"/>
      <c r="K1" s="54"/>
      <c r="L1" s="54"/>
      <c r="M1" s="54"/>
      <c r="N1" s="54"/>
      <c r="O1" s="44"/>
      <c r="P1" s="44"/>
      <c r="Q1" s="44"/>
      <c r="R1" s="44"/>
      <c r="S1" s="44"/>
      <c r="T1" s="44"/>
    </row>
    <row r="2" spans="1:20" x14ac:dyDescent="0.35">
      <c r="A2" s="44"/>
      <c r="B2" s="44"/>
      <c r="C2" s="44"/>
      <c r="D2" s="44"/>
      <c r="E2" s="44"/>
      <c r="F2" s="44"/>
      <c r="G2" s="54"/>
      <c r="H2" s="54"/>
      <c r="I2" s="54"/>
      <c r="J2" s="54"/>
      <c r="K2" s="54"/>
      <c r="L2" s="54"/>
      <c r="M2" s="54"/>
      <c r="N2" s="54"/>
      <c r="O2" s="44"/>
      <c r="P2" s="44"/>
      <c r="Q2" s="44"/>
      <c r="R2" s="44"/>
      <c r="S2" s="44"/>
      <c r="T2" s="44"/>
    </row>
    <row r="3" spans="1:20" x14ac:dyDescent="0.35">
      <c r="A3" s="44"/>
      <c r="B3" s="44"/>
      <c r="C3" s="44"/>
      <c r="D3" s="44"/>
      <c r="E3" s="44"/>
      <c r="F3" s="44"/>
      <c r="G3" s="54"/>
      <c r="H3" s="54"/>
      <c r="I3" s="54"/>
      <c r="J3" s="54"/>
      <c r="K3" s="54"/>
      <c r="L3" s="54"/>
      <c r="M3" s="54"/>
      <c r="N3" s="54"/>
      <c r="O3" s="44"/>
      <c r="P3" s="44"/>
      <c r="Q3" s="44"/>
      <c r="R3" s="44"/>
      <c r="S3" s="44"/>
      <c r="T3" s="44"/>
    </row>
    <row r="4" spans="1:20" x14ac:dyDescent="0.35">
      <c r="A4" s="44"/>
      <c r="B4" s="44"/>
      <c r="C4" s="44"/>
      <c r="D4" s="44"/>
      <c r="E4" s="44"/>
      <c r="F4" s="44"/>
      <c r="G4" s="44"/>
      <c r="H4" s="44"/>
      <c r="I4" s="44"/>
      <c r="J4" s="44"/>
      <c r="K4" s="44"/>
      <c r="L4" s="44"/>
      <c r="M4" s="44"/>
      <c r="N4" s="44"/>
      <c r="O4" s="44"/>
      <c r="P4" s="44"/>
      <c r="Q4" s="44"/>
      <c r="R4" s="44"/>
      <c r="S4" s="44"/>
      <c r="T4" s="44"/>
    </row>
    <row r="5" spans="1:20" x14ac:dyDescent="0.35">
      <c r="A5" s="44"/>
      <c r="B5" s="44"/>
      <c r="C5" s="44"/>
      <c r="D5" s="44"/>
      <c r="E5" s="44"/>
      <c r="F5" s="44"/>
      <c r="G5" s="44"/>
      <c r="H5" s="44"/>
      <c r="I5" s="44"/>
      <c r="J5" s="44"/>
      <c r="K5" s="44"/>
      <c r="L5" s="44"/>
      <c r="M5" s="44"/>
      <c r="N5" s="44"/>
      <c r="O5" s="44"/>
      <c r="P5" s="44"/>
      <c r="Q5" s="44"/>
      <c r="R5" s="44"/>
      <c r="S5" s="44"/>
      <c r="T5" s="44"/>
    </row>
    <row r="6" spans="1:20" x14ac:dyDescent="0.35">
      <c r="A6" s="44"/>
      <c r="B6" s="44"/>
      <c r="C6" s="44"/>
      <c r="D6" s="44"/>
      <c r="E6" s="44"/>
      <c r="F6" s="44"/>
      <c r="G6" s="44"/>
      <c r="H6" s="44"/>
      <c r="I6" s="44"/>
      <c r="J6" s="44"/>
      <c r="K6" s="44"/>
      <c r="L6" s="44"/>
      <c r="M6" s="44"/>
      <c r="N6" s="44"/>
      <c r="O6" s="44"/>
      <c r="P6" s="44"/>
      <c r="Q6" s="44"/>
      <c r="R6" s="44"/>
      <c r="S6" s="44"/>
      <c r="T6" s="44"/>
    </row>
    <row r="7" spans="1:20" x14ac:dyDescent="0.35">
      <c r="A7" s="44"/>
      <c r="B7" s="44"/>
      <c r="C7" s="44"/>
      <c r="D7" s="44"/>
      <c r="E7" s="44"/>
      <c r="F7" s="44"/>
      <c r="G7" s="44"/>
      <c r="H7" s="44"/>
      <c r="I7" s="44"/>
      <c r="J7" s="44"/>
      <c r="K7" s="44"/>
      <c r="L7" s="44"/>
      <c r="M7" s="44"/>
      <c r="N7" s="44"/>
      <c r="O7" s="44"/>
      <c r="P7" s="44"/>
      <c r="Q7" s="44"/>
      <c r="R7" s="44"/>
      <c r="S7" s="44"/>
      <c r="T7" s="44"/>
    </row>
    <row r="8" spans="1:20" x14ac:dyDescent="0.35">
      <c r="A8" s="44"/>
      <c r="B8" s="44"/>
      <c r="C8" s="44"/>
      <c r="D8" s="44"/>
      <c r="E8" s="44"/>
      <c r="F8" s="44"/>
      <c r="G8" s="44"/>
      <c r="H8" s="44"/>
      <c r="I8" s="44"/>
      <c r="J8" s="44"/>
      <c r="K8" s="44"/>
      <c r="L8" s="44"/>
      <c r="M8" s="44"/>
      <c r="N8" s="44"/>
      <c r="O8" s="44"/>
      <c r="P8" s="44"/>
      <c r="Q8" s="44"/>
      <c r="R8" s="44"/>
      <c r="S8" s="44"/>
      <c r="T8" s="44"/>
    </row>
    <row r="9" spans="1:20" x14ac:dyDescent="0.35">
      <c r="A9" s="44"/>
      <c r="B9" s="44"/>
      <c r="C9" s="44"/>
      <c r="D9" s="44"/>
      <c r="E9" s="44"/>
      <c r="F9" s="44"/>
      <c r="G9" s="44"/>
      <c r="H9" s="44"/>
      <c r="I9" s="44"/>
      <c r="J9" s="44"/>
      <c r="K9" s="44"/>
      <c r="L9" s="44"/>
      <c r="M9" s="44"/>
      <c r="N9" s="44"/>
      <c r="O9" s="44"/>
      <c r="P9" s="44"/>
      <c r="Q9" s="44"/>
      <c r="R9" s="44"/>
      <c r="S9" s="44"/>
      <c r="T9" s="44"/>
    </row>
    <row r="10" spans="1:20" x14ac:dyDescent="0.35">
      <c r="A10" s="44"/>
      <c r="B10" s="44"/>
      <c r="C10" s="44"/>
      <c r="D10" s="44"/>
      <c r="E10" s="44"/>
      <c r="F10" s="44"/>
      <c r="G10" s="44"/>
      <c r="H10" s="44"/>
      <c r="I10" s="44"/>
      <c r="J10" s="44"/>
      <c r="K10" s="44"/>
      <c r="L10" s="44"/>
      <c r="M10" s="44"/>
      <c r="N10" s="44"/>
      <c r="O10" s="44"/>
      <c r="P10" s="44"/>
      <c r="Q10" s="44"/>
      <c r="R10" s="44"/>
      <c r="S10" s="44"/>
      <c r="T10" s="44"/>
    </row>
    <row r="11" spans="1:20" x14ac:dyDescent="0.35">
      <c r="A11" s="44"/>
      <c r="B11" s="44"/>
      <c r="C11" s="44"/>
      <c r="D11" s="44"/>
      <c r="E11" s="44"/>
      <c r="F11" s="44"/>
      <c r="G11" s="44"/>
      <c r="H11" s="44"/>
      <c r="I11" s="44"/>
      <c r="J11" s="44"/>
      <c r="K11" s="44"/>
      <c r="L11" s="44"/>
      <c r="M11" s="44"/>
      <c r="N11" s="44"/>
      <c r="O11" s="44"/>
      <c r="P11" s="44"/>
      <c r="Q11" s="44"/>
      <c r="R11" s="44"/>
      <c r="S11" s="44"/>
      <c r="T11" s="44"/>
    </row>
    <row r="12" spans="1:20" x14ac:dyDescent="0.35">
      <c r="A12" s="44"/>
      <c r="B12" s="44"/>
      <c r="C12" s="44"/>
      <c r="D12" s="44"/>
      <c r="E12" s="44"/>
      <c r="F12" s="44"/>
      <c r="G12" s="44"/>
      <c r="H12" s="44"/>
      <c r="I12" s="44"/>
      <c r="J12" s="44"/>
      <c r="K12" s="44"/>
      <c r="L12" s="44"/>
      <c r="M12" s="44"/>
      <c r="N12" s="44"/>
      <c r="O12" s="44"/>
      <c r="P12" s="44"/>
      <c r="Q12" s="44"/>
      <c r="R12" s="44"/>
      <c r="S12" s="44"/>
      <c r="T12" s="44"/>
    </row>
    <row r="13" spans="1:20" x14ac:dyDescent="0.35">
      <c r="A13" s="44"/>
      <c r="B13" s="44"/>
      <c r="C13" s="44"/>
      <c r="D13" s="44"/>
      <c r="E13" s="44"/>
      <c r="F13" s="44"/>
      <c r="G13" s="44"/>
      <c r="H13" s="44"/>
      <c r="I13" s="44"/>
      <c r="J13" s="44"/>
      <c r="K13" s="44"/>
      <c r="L13" s="44"/>
      <c r="M13" s="44"/>
      <c r="N13" s="44"/>
      <c r="O13" s="44"/>
      <c r="P13" s="44"/>
      <c r="Q13" s="44"/>
      <c r="R13" s="44"/>
      <c r="S13" s="44"/>
      <c r="T13" s="44"/>
    </row>
    <row r="14" spans="1:20" x14ac:dyDescent="0.35">
      <c r="A14" s="44"/>
      <c r="B14" s="44"/>
      <c r="C14" s="44"/>
      <c r="D14" s="44"/>
      <c r="E14" s="44"/>
      <c r="F14" s="44"/>
      <c r="G14" s="44"/>
      <c r="H14" s="44"/>
      <c r="I14" s="44"/>
      <c r="J14" s="44"/>
      <c r="K14" s="44"/>
      <c r="L14" s="44"/>
      <c r="M14" s="44"/>
      <c r="N14" s="44"/>
      <c r="O14" s="44"/>
      <c r="P14" s="44"/>
      <c r="Q14" s="44"/>
      <c r="R14" s="44"/>
      <c r="S14" s="44"/>
      <c r="T14" s="44"/>
    </row>
    <row r="15" spans="1:20" x14ac:dyDescent="0.35">
      <c r="A15" s="44"/>
      <c r="B15" s="44"/>
      <c r="C15" s="44"/>
      <c r="D15" s="44"/>
      <c r="E15" s="44"/>
      <c r="F15" s="44"/>
      <c r="G15" s="44"/>
      <c r="H15" s="44"/>
      <c r="I15" s="44"/>
      <c r="J15" s="44"/>
      <c r="K15" s="44"/>
      <c r="L15" s="44"/>
      <c r="M15" s="44"/>
      <c r="N15" s="44"/>
      <c r="O15" s="44"/>
      <c r="P15" s="44"/>
      <c r="Q15" s="44"/>
      <c r="R15" s="44"/>
      <c r="S15" s="44"/>
      <c r="T15" s="44"/>
    </row>
    <row r="16" spans="1:20" x14ac:dyDescent="0.35">
      <c r="A16" s="44"/>
      <c r="B16" s="44"/>
      <c r="C16" s="44"/>
      <c r="D16" s="44"/>
      <c r="E16" s="44"/>
      <c r="F16" s="44"/>
      <c r="G16" s="44"/>
      <c r="H16" s="44"/>
      <c r="I16" s="44"/>
      <c r="J16" s="44"/>
      <c r="K16" s="44"/>
      <c r="L16" s="44"/>
      <c r="M16" s="44"/>
      <c r="N16" s="44"/>
      <c r="O16" s="44"/>
      <c r="P16" s="44"/>
      <c r="Q16" s="44"/>
      <c r="R16" s="44"/>
      <c r="S16" s="44"/>
      <c r="T16" s="44"/>
    </row>
    <row r="17" spans="1:20" x14ac:dyDescent="0.35">
      <c r="A17" s="44"/>
      <c r="B17" s="44"/>
      <c r="C17" s="44"/>
      <c r="D17" s="44"/>
      <c r="E17" s="44"/>
      <c r="F17" s="44"/>
      <c r="G17" s="44"/>
      <c r="H17" s="44"/>
      <c r="I17" s="44"/>
      <c r="J17" s="44"/>
      <c r="K17" s="44"/>
      <c r="L17" s="44"/>
      <c r="M17" s="44"/>
      <c r="N17" s="44"/>
      <c r="O17" s="44"/>
      <c r="P17" s="44"/>
      <c r="Q17" s="44"/>
      <c r="R17" s="44"/>
      <c r="S17" s="44"/>
      <c r="T17" s="44"/>
    </row>
    <row r="18" spans="1:20" x14ac:dyDescent="0.35">
      <c r="A18" s="44"/>
      <c r="B18" s="44"/>
      <c r="C18" s="44"/>
      <c r="D18" s="44"/>
      <c r="E18" s="44"/>
      <c r="F18" s="44"/>
      <c r="G18" s="44"/>
      <c r="H18" s="44"/>
      <c r="I18" s="44"/>
      <c r="J18" s="44"/>
      <c r="K18" s="44"/>
      <c r="L18" s="44"/>
      <c r="M18" s="44"/>
      <c r="N18" s="44"/>
      <c r="O18" s="44"/>
      <c r="P18" s="44"/>
      <c r="Q18" s="44"/>
      <c r="R18" s="44"/>
      <c r="S18" s="44"/>
      <c r="T18" s="44"/>
    </row>
    <row r="19" spans="1:20" x14ac:dyDescent="0.35">
      <c r="A19" s="44"/>
      <c r="B19" s="44"/>
      <c r="C19" s="44"/>
      <c r="D19" s="44"/>
      <c r="E19" s="44"/>
      <c r="F19" s="44"/>
      <c r="G19" s="44"/>
      <c r="H19" s="44"/>
      <c r="I19" s="44"/>
      <c r="J19" s="44"/>
      <c r="K19" s="44"/>
      <c r="L19" s="44"/>
      <c r="M19" s="44"/>
      <c r="N19" s="44"/>
      <c r="O19" s="44"/>
      <c r="P19" s="44"/>
      <c r="Q19" s="44"/>
      <c r="R19" s="44"/>
      <c r="S19" s="44"/>
      <c r="T19" s="44"/>
    </row>
    <row r="20" spans="1:20" x14ac:dyDescent="0.35">
      <c r="A20" s="44"/>
      <c r="B20" s="44"/>
      <c r="C20" s="44"/>
      <c r="D20" s="44"/>
      <c r="E20" s="44"/>
      <c r="F20" s="44"/>
      <c r="G20" s="44"/>
      <c r="H20" s="44"/>
      <c r="I20" s="44"/>
      <c r="J20" s="44"/>
      <c r="K20" s="44"/>
      <c r="L20" s="44"/>
      <c r="M20" s="44"/>
      <c r="N20" s="44"/>
      <c r="O20" s="44"/>
      <c r="P20" s="44"/>
      <c r="Q20" s="44"/>
      <c r="R20" s="44"/>
      <c r="S20" s="44"/>
      <c r="T20" s="44"/>
    </row>
    <row r="21" spans="1:20" x14ac:dyDescent="0.35">
      <c r="A21" s="44"/>
      <c r="B21" s="44"/>
      <c r="C21" s="44"/>
      <c r="D21" s="44"/>
      <c r="E21" s="44"/>
      <c r="F21" s="44"/>
      <c r="G21" s="44"/>
      <c r="H21" s="44"/>
      <c r="I21" s="44"/>
      <c r="J21" s="44"/>
      <c r="K21" s="44"/>
      <c r="L21" s="44"/>
      <c r="M21" s="44"/>
      <c r="N21" s="44"/>
      <c r="O21" s="44"/>
      <c r="P21" s="44"/>
      <c r="Q21" s="44"/>
      <c r="R21" s="44"/>
      <c r="S21" s="44"/>
      <c r="T21" s="44"/>
    </row>
    <row r="22" spans="1:20" x14ac:dyDescent="0.35">
      <c r="A22" s="44"/>
      <c r="B22" s="44"/>
      <c r="C22" s="44"/>
      <c r="D22" s="44"/>
      <c r="E22" s="44"/>
      <c r="F22" s="44"/>
      <c r="G22" s="44"/>
      <c r="H22" s="44"/>
      <c r="I22" s="44"/>
      <c r="J22" s="44"/>
      <c r="K22" s="44"/>
      <c r="L22" s="44"/>
      <c r="M22" s="44"/>
      <c r="N22" s="44"/>
      <c r="O22" s="44"/>
      <c r="P22" s="44"/>
      <c r="Q22" s="44"/>
      <c r="R22" s="44"/>
      <c r="S22" s="44"/>
      <c r="T22" s="44"/>
    </row>
    <row r="23" spans="1:20" x14ac:dyDescent="0.35">
      <c r="A23" s="44"/>
      <c r="B23" s="44"/>
      <c r="C23" s="44"/>
      <c r="D23" s="44"/>
      <c r="E23" s="44"/>
      <c r="F23" s="44"/>
      <c r="G23" s="44"/>
      <c r="H23" s="44"/>
      <c r="I23" s="44"/>
      <c r="J23" s="44"/>
      <c r="K23" s="44"/>
      <c r="L23" s="44"/>
      <c r="M23" s="44"/>
      <c r="N23" s="44"/>
      <c r="O23" s="44"/>
      <c r="P23" s="44"/>
      <c r="Q23" s="44"/>
      <c r="R23" s="44"/>
      <c r="S23" s="44"/>
      <c r="T23" s="44"/>
    </row>
    <row r="24" spans="1:20" x14ac:dyDescent="0.35">
      <c r="A24" s="44"/>
      <c r="B24" s="44"/>
      <c r="C24" s="44"/>
      <c r="D24" s="44"/>
      <c r="E24" s="44"/>
      <c r="F24" s="44"/>
      <c r="G24" s="44"/>
      <c r="H24" s="44"/>
      <c r="I24" s="44"/>
      <c r="J24" s="44"/>
      <c r="K24" s="44"/>
      <c r="L24" s="44"/>
      <c r="M24" s="44"/>
      <c r="N24" s="44"/>
      <c r="O24" s="44"/>
      <c r="P24" s="44"/>
      <c r="Q24" s="44"/>
      <c r="R24" s="44"/>
      <c r="S24" s="44"/>
      <c r="T24" s="44"/>
    </row>
    <row r="25" spans="1:20" ht="26" x14ac:dyDescent="0.6">
      <c r="A25" s="44"/>
      <c r="B25" s="55" t="s">
        <v>175</v>
      </c>
      <c r="C25" s="55"/>
      <c r="D25" s="55"/>
      <c r="E25" s="55"/>
      <c r="F25" s="55"/>
      <c r="G25" s="44"/>
      <c r="H25" s="44"/>
      <c r="I25" s="44"/>
      <c r="J25" s="44"/>
      <c r="K25" s="44"/>
      <c r="L25" s="44"/>
      <c r="M25" s="44"/>
      <c r="N25" s="44"/>
      <c r="O25" s="44"/>
      <c r="P25" s="44"/>
      <c r="Q25" s="44"/>
      <c r="R25" s="44"/>
      <c r="S25" s="44"/>
      <c r="T25" s="44"/>
    </row>
    <row r="26" spans="1:20" ht="21" x14ac:dyDescent="0.5">
      <c r="A26" s="44"/>
      <c r="B26" s="56">
        <f>GETPIVOTDATA("Sales/Purchase",'Pivot Tables'!$A$3)</f>
        <v>195217.76</v>
      </c>
      <c r="C26" s="56"/>
      <c r="D26" s="56"/>
      <c r="E26" s="56"/>
      <c r="F26" s="56"/>
      <c r="G26" s="44"/>
      <c r="H26" s="44"/>
      <c r="I26" s="44"/>
      <c r="J26" s="44"/>
      <c r="K26" s="44"/>
      <c r="L26" s="44"/>
      <c r="M26" s="44"/>
      <c r="N26" s="44"/>
      <c r="O26" s="44"/>
      <c r="P26" s="44"/>
      <c r="Q26" s="44"/>
      <c r="R26" s="44"/>
      <c r="S26" s="44"/>
      <c r="T26" s="44"/>
    </row>
    <row r="27" spans="1:20" x14ac:dyDescent="0.35">
      <c r="A27" s="44"/>
      <c r="B27" s="44"/>
      <c r="C27" s="44"/>
      <c r="D27" s="44"/>
      <c r="E27" s="44"/>
      <c r="F27" s="44"/>
      <c r="G27" s="44"/>
      <c r="H27" s="44"/>
      <c r="I27" s="44"/>
      <c r="J27" s="44"/>
      <c r="K27" s="44"/>
      <c r="L27" s="44"/>
      <c r="M27" s="44"/>
      <c r="N27" s="44"/>
      <c r="O27" s="44"/>
      <c r="P27" s="44"/>
      <c r="Q27" s="44"/>
      <c r="R27" s="44"/>
      <c r="S27" s="44"/>
      <c r="T27" s="44"/>
    </row>
    <row r="28" spans="1:20" x14ac:dyDescent="0.35">
      <c r="A28" s="44"/>
      <c r="B28" s="44"/>
      <c r="C28" s="44"/>
      <c r="D28" s="44"/>
      <c r="E28" s="44"/>
      <c r="F28" s="44"/>
      <c r="G28" s="44"/>
      <c r="H28" s="44"/>
      <c r="I28" s="44"/>
      <c r="J28" s="44"/>
      <c r="K28" s="44"/>
      <c r="L28" s="44"/>
      <c r="M28" s="44"/>
      <c r="N28" s="44"/>
      <c r="O28" s="44"/>
      <c r="P28" s="44"/>
      <c r="Q28" s="44"/>
      <c r="R28" s="44"/>
      <c r="S28" s="44"/>
      <c r="T28" s="44"/>
    </row>
    <row r="29" spans="1:20" x14ac:dyDescent="0.35">
      <c r="A29" s="44"/>
      <c r="B29" s="44"/>
      <c r="C29" s="44"/>
      <c r="D29" s="44"/>
      <c r="E29" s="44"/>
      <c r="F29" s="44"/>
      <c r="G29" s="44"/>
      <c r="H29" s="44"/>
      <c r="I29" s="44"/>
      <c r="J29" s="44"/>
      <c r="K29" s="44"/>
      <c r="L29" s="44"/>
      <c r="M29" s="44"/>
      <c r="N29" s="44"/>
      <c r="O29" s="44"/>
      <c r="P29" s="44"/>
      <c r="Q29" s="44"/>
      <c r="R29" s="44"/>
      <c r="S29" s="44"/>
      <c r="T29" s="44"/>
    </row>
    <row r="30" spans="1:20" x14ac:dyDescent="0.35">
      <c r="A30" s="44"/>
      <c r="B30" s="44"/>
      <c r="C30" s="44"/>
      <c r="D30" s="44"/>
      <c r="E30" s="44"/>
      <c r="F30" s="44"/>
      <c r="G30" s="44"/>
      <c r="H30" s="44"/>
      <c r="I30" s="44"/>
      <c r="J30" s="44"/>
      <c r="K30" s="44"/>
      <c r="L30" s="44"/>
      <c r="M30" s="44"/>
      <c r="N30" s="44"/>
      <c r="O30" s="44"/>
      <c r="P30" s="44"/>
      <c r="Q30" s="44"/>
      <c r="R30" s="44"/>
      <c r="S30" s="44"/>
      <c r="T30" s="44"/>
    </row>
    <row r="31" spans="1:20" x14ac:dyDescent="0.35">
      <c r="A31" s="44"/>
      <c r="B31" s="44"/>
      <c r="C31" s="44"/>
      <c r="D31" s="44"/>
      <c r="E31" s="44"/>
      <c r="F31" s="44"/>
      <c r="G31" s="44"/>
      <c r="H31" s="44"/>
      <c r="I31" s="44"/>
      <c r="J31" s="44"/>
      <c r="K31" s="44"/>
      <c r="L31" s="44"/>
      <c r="M31" s="44"/>
      <c r="N31" s="44"/>
      <c r="O31" s="44"/>
      <c r="P31" s="44"/>
      <c r="Q31" s="44"/>
      <c r="R31" s="44"/>
      <c r="S31" s="44"/>
      <c r="T31" s="44"/>
    </row>
    <row r="32" spans="1:20" x14ac:dyDescent="0.35">
      <c r="A32" s="44"/>
      <c r="B32" s="44"/>
      <c r="C32" s="44"/>
      <c r="D32" s="44"/>
      <c r="E32" s="44"/>
      <c r="F32" s="44"/>
      <c r="G32" s="44"/>
      <c r="H32" s="44"/>
      <c r="I32" s="44"/>
      <c r="J32" s="44"/>
      <c r="K32" s="44"/>
      <c r="L32" s="44"/>
      <c r="M32" s="44"/>
      <c r="N32" s="44"/>
      <c r="O32" s="44"/>
      <c r="P32" s="44"/>
      <c r="Q32" s="44"/>
      <c r="R32" s="44"/>
      <c r="S32" s="44"/>
      <c r="T32" s="44"/>
    </row>
    <row r="33" spans="1:20" x14ac:dyDescent="0.35">
      <c r="A33" s="44"/>
      <c r="B33" s="44"/>
      <c r="C33" s="44"/>
      <c r="D33" s="44"/>
      <c r="E33" s="44"/>
      <c r="F33" s="44"/>
      <c r="G33" s="44"/>
      <c r="H33" s="44"/>
      <c r="I33" s="44"/>
      <c r="J33" s="44"/>
      <c r="K33" s="44"/>
      <c r="L33" s="44"/>
      <c r="M33" s="44"/>
      <c r="N33" s="44"/>
      <c r="O33" s="44"/>
      <c r="P33" s="44"/>
      <c r="Q33" s="44"/>
      <c r="R33" s="44"/>
      <c r="S33" s="44"/>
      <c r="T33" s="44"/>
    </row>
    <row r="34" spans="1:20" x14ac:dyDescent="0.35">
      <c r="A34" s="44"/>
      <c r="B34" s="44"/>
      <c r="C34" s="44"/>
      <c r="D34" s="44"/>
      <c r="E34" s="44"/>
      <c r="F34" s="44"/>
      <c r="G34" s="44"/>
      <c r="H34" s="44"/>
      <c r="I34" s="44"/>
      <c r="J34" s="44"/>
      <c r="K34" s="44"/>
      <c r="L34" s="44"/>
      <c r="M34" s="44"/>
      <c r="N34" s="44"/>
      <c r="O34" s="44"/>
      <c r="P34" s="44"/>
      <c r="Q34" s="44"/>
      <c r="R34" s="44"/>
      <c r="S34" s="44"/>
      <c r="T34" s="44"/>
    </row>
    <row r="35" spans="1:20" x14ac:dyDescent="0.35">
      <c r="A35" s="44"/>
      <c r="B35" s="44"/>
      <c r="C35" s="44"/>
      <c r="D35" s="44"/>
      <c r="E35" s="44"/>
      <c r="F35" s="44"/>
      <c r="G35" s="44"/>
      <c r="H35" s="44"/>
      <c r="I35" s="44"/>
      <c r="J35" s="44"/>
      <c r="K35" s="44"/>
      <c r="L35" s="44"/>
      <c r="M35" s="44"/>
      <c r="N35" s="44"/>
      <c r="O35" s="44"/>
      <c r="P35" s="44"/>
      <c r="Q35" s="44"/>
      <c r="R35" s="44"/>
      <c r="S35" s="44"/>
      <c r="T35" s="44"/>
    </row>
    <row r="36" spans="1:20" x14ac:dyDescent="0.35">
      <c r="A36" s="44"/>
      <c r="B36" s="44"/>
      <c r="C36" s="44"/>
      <c r="D36" s="44"/>
      <c r="E36" s="44"/>
      <c r="F36" s="44"/>
      <c r="G36" s="44"/>
      <c r="H36" s="44"/>
      <c r="I36" s="44"/>
      <c r="J36" s="44"/>
      <c r="K36" s="44"/>
      <c r="L36" s="44"/>
      <c r="M36" s="44"/>
      <c r="N36" s="44"/>
      <c r="O36" s="44"/>
      <c r="P36" s="44"/>
      <c r="Q36" s="44"/>
      <c r="R36" s="44"/>
      <c r="S36" s="44"/>
      <c r="T36" s="44"/>
    </row>
    <row r="37" spans="1:20" x14ac:dyDescent="0.35">
      <c r="A37" s="44"/>
      <c r="B37" s="44"/>
      <c r="C37" s="44"/>
      <c r="D37" s="44"/>
      <c r="E37" s="44"/>
      <c r="F37" s="44"/>
      <c r="G37" s="44"/>
      <c r="H37" s="44"/>
      <c r="I37" s="44"/>
      <c r="J37" s="44"/>
      <c r="K37" s="44"/>
      <c r="L37" s="44"/>
      <c r="M37" s="44"/>
      <c r="N37" s="44"/>
      <c r="O37" s="44"/>
      <c r="P37" s="44"/>
      <c r="Q37" s="44"/>
      <c r="R37" s="44"/>
      <c r="S37" s="44"/>
      <c r="T37" s="44"/>
    </row>
    <row r="38" spans="1:20" x14ac:dyDescent="0.35">
      <c r="A38" s="44"/>
      <c r="B38" s="44"/>
      <c r="C38" s="44"/>
      <c r="D38" s="44"/>
      <c r="E38" s="44"/>
      <c r="F38" s="44"/>
      <c r="G38" s="44"/>
      <c r="H38" s="44"/>
      <c r="I38" s="44"/>
      <c r="J38" s="44"/>
      <c r="K38" s="44"/>
      <c r="L38" s="44"/>
      <c r="M38" s="44"/>
      <c r="N38" s="44"/>
      <c r="O38" s="44"/>
      <c r="P38" s="44"/>
      <c r="Q38" s="44"/>
      <c r="R38" s="44"/>
      <c r="S38" s="44"/>
      <c r="T38" s="44"/>
    </row>
    <row r="39" spans="1:20" x14ac:dyDescent="0.35">
      <c r="A39" s="44"/>
      <c r="B39" s="44"/>
      <c r="C39" s="44"/>
      <c r="D39" s="44"/>
      <c r="E39" s="44"/>
      <c r="F39" s="44"/>
      <c r="G39" s="44"/>
      <c r="H39" s="44"/>
      <c r="I39" s="44"/>
      <c r="J39" s="44"/>
      <c r="K39" s="44"/>
      <c r="L39" s="44"/>
      <c r="M39" s="44"/>
      <c r="N39" s="44"/>
      <c r="O39" s="44"/>
      <c r="P39" s="44"/>
      <c r="Q39" s="44"/>
      <c r="R39" s="44"/>
      <c r="S39" s="44"/>
      <c r="T39" s="44"/>
    </row>
    <row r="40" spans="1:20" x14ac:dyDescent="0.35">
      <c r="A40" s="44"/>
      <c r="B40" s="44"/>
      <c r="C40" s="44"/>
      <c r="D40" s="44"/>
      <c r="E40" s="44"/>
      <c r="F40" s="44"/>
      <c r="G40" s="44"/>
      <c r="H40" s="44"/>
      <c r="I40" s="44"/>
      <c r="J40" s="44"/>
      <c r="K40" s="44"/>
      <c r="L40" s="44"/>
      <c r="M40" s="44"/>
      <c r="N40" s="44"/>
      <c r="O40" s="44"/>
      <c r="P40" s="44"/>
      <c r="Q40" s="44"/>
      <c r="R40" s="44"/>
      <c r="S40" s="44"/>
      <c r="T40" s="44"/>
    </row>
    <row r="41" spans="1:20" x14ac:dyDescent="0.35">
      <c r="A41" s="44"/>
      <c r="B41" s="44"/>
      <c r="C41" s="44"/>
      <c r="D41" s="44"/>
      <c r="E41" s="44"/>
      <c r="F41" s="44"/>
      <c r="G41" s="44"/>
      <c r="H41" s="44"/>
      <c r="I41" s="44"/>
      <c r="J41" s="44"/>
      <c r="K41" s="44"/>
      <c r="L41" s="44"/>
      <c r="M41" s="44"/>
      <c r="N41" s="44"/>
      <c r="O41" s="44"/>
      <c r="P41" s="44"/>
      <c r="Q41" s="44"/>
      <c r="R41" s="44"/>
      <c r="S41" s="44"/>
      <c r="T41" s="44"/>
    </row>
    <row r="42" spans="1:20" x14ac:dyDescent="0.35">
      <c r="A42" s="44"/>
      <c r="B42" s="44"/>
      <c r="C42" s="44"/>
      <c r="D42" s="44"/>
      <c r="E42" s="44"/>
      <c r="F42" s="44"/>
      <c r="G42" s="44"/>
      <c r="H42" s="44"/>
      <c r="I42" s="44"/>
      <c r="J42" s="44"/>
      <c r="K42" s="44"/>
      <c r="L42" s="44"/>
      <c r="M42" s="44"/>
      <c r="N42" s="44"/>
      <c r="O42" s="44"/>
      <c r="P42" s="44"/>
      <c r="Q42" s="44"/>
      <c r="R42" s="44"/>
      <c r="S42" s="44"/>
      <c r="T42" s="44"/>
    </row>
    <row r="43" spans="1:20" x14ac:dyDescent="0.35">
      <c r="A43" s="44"/>
      <c r="B43" s="44"/>
      <c r="C43" s="44"/>
      <c r="D43" s="44"/>
      <c r="E43" s="44"/>
      <c r="F43" s="44"/>
      <c r="G43" s="44"/>
      <c r="H43" s="44"/>
      <c r="I43" s="44"/>
      <c r="J43" s="44"/>
      <c r="K43" s="44"/>
      <c r="L43" s="44"/>
      <c r="M43" s="44"/>
      <c r="N43" s="44"/>
      <c r="O43" s="44"/>
      <c r="P43" s="44"/>
      <c r="Q43" s="44"/>
      <c r="R43" s="44"/>
      <c r="S43" s="44"/>
      <c r="T43" s="44"/>
    </row>
    <row r="44" spans="1:20" x14ac:dyDescent="0.35">
      <c r="A44" s="44"/>
      <c r="B44" s="44"/>
      <c r="C44" s="44"/>
      <c r="D44" s="44"/>
      <c r="E44" s="44"/>
      <c r="F44" s="44"/>
      <c r="G44" s="44"/>
      <c r="H44" s="44"/>
      <c r="I44" s="44"/>
      <c r="J44" s="44"/>
      <c r="K44" s="44"/>
      <c r="L44" s="44"/>
      <c r="M44" s="44"/>
      <c r="N44" s="44"/>
      <c r="O44" s="44"/>
      <c r="P44" s="44"/>
      <c r="Q44" s="44"/>
      <c r="R44" s="44"/>
      <c r="S44" s="44"/>
      <c r="T44" s="44"/>
    </row>
    <row r="45" spans="1:20" x14ac:dyDescent="0.35">
      <c r="A45" s="44"/>
      <c r="B45" s="44"/>
      <c r="C45" s="44"/>
      <c r="D45" s="44"/>
      <c r="E45" s="44"/>
      <c r="F45" s="44"/>
      <c r="G45" s="44"/>
      <c r="H45" s="44"/>
      <c r="I45" s="44"/>
      <c r="J45" s="44"/>
      <c r="K45" s="44"/>
      <c r="L45" s="44"/>
      <c r="M45" s="44"/>
      <c r="N45" s="44"/>
      <c r="O45" s="44"/>
      <c r="P45" s="44"/>
      <c r="Q45" s="44"/>
      <c r="R45" s="44"/>
      <c r="S45" s="44"/>
      <c r="T45" s="44"/>
    </row>
    <row r="46" spans="1:20" x14ac:dyDescent="0.35">
      <c r="A46" s="44"/>
      <c r="B46" s="44"/>
      <c r="C46" s="44"/>
      <c r="D46" s="44"/>
      <c r="E46" s="44"/>
      <c r="F46" s="44"/>
      <c r="G46" s="44"/>
      <c r="H46" s="44"/>
      <c r="I46" s="44"/>
      <c r="J46" s="44"/>
      <c r="K46" s="44"/>
      <c r="L46" s="44"/>
      <c r="M46" s="44"/>
      <c r="N46" s="44"/>
      <c r="O46" s="44"/>
      <c r="P46" s="44"/>
      <c r="Q46" s="44"/>
      <c r="R46" s="44"/>
      <c r="S46" s="44"/>
      <c r="T46" s="44"/>
    </row>
    <row r="47" spans="1:20" x14ac:dyDescent="0.35">
      <c r="A47" s="44"/>
      <c r="B47" s="44"/>
      <c r="C47" s="44"/>
      <c r="D47" s="44"/>
      <c r="E47" s="44"/>
      <c r="F47" s="44"/>
      <c r="G47" s="44"/>
      <c r="H47" s="44"/>
      <c r="I47" s="44"/>
      <c r="J47" s="44"/>
      <c r="K47" s="44"/>
      <c r="L47" s="44"/>
      <c r="M47" s="44"/>
      <c r="N47" s="44"/>
      <c r="O47" s="44"/>
      <c r="P47" s="44"/>
      <c r="Q47" s="44"/>
      <c r="R47" s="44"/>
      <c r="S47" s="44"/>
      <c r="T47" s="44"/>
    </row>
    <row r="48" spans="1:20" x14ac:dyDescent="0.35">
      <c r="A48" s="44"/>
      <c r="B48" s="44"/>
      <c r="C48" s="44"/>
      <c r="D48" s="44"/>
      <c r="E48" s="44"/>
      <c r="F48" s="44"/>
      <c r="G48" s="44"/>
      <c r="H48" s="44"/>
      <c r="I48" s="44"/>
      <c r="J48" s="44"/>
      <c r="K48" s="44"/>
      <c r="L48" s="44"/>
      <c r="M48" s="44"/>
      <c r="N48" s="44"/>
      <c r="O48" s="44"/>
      <c r="P48" s="44"/>
      <c r="Q48" s="44"/>
      <c r="R48" s="44"/>
      <c r="S48" s="44"/>
      <c r="T48" s="44"/>
    </row>
    <row r="49" spans="1:20" x14ac:dyDescent="0.35">
      <c r="A49" s="44"/>
      <c r="B49" s="44"/>
      <c r="C49" s="44"/>
      <c r="D49" s="44"/>
      <c r="E49" s="44"/>
      <c r="F49" s="44"/>
      <c r="G49" s="44"/>
      <c r="H49" s="44"/>
      <c r="I49" s="44"/>
      <c r="J49" s="44"/>
      <c r="K49" s="44"/>
      <c r="L49" s="44"/>
      <c r="M49" s="44"/>
      <c r="N49" s="44"/>
      <c r="O49" s="44"/>
      <c r="P49" s="44"/>
      <c r="Q49" s="44"/>
      <c r="R49" s="44"/>
      <c r="S49" s="44"/>
      <c r="T49" s="44"/>
    </row>
    <row r="50" spans="1:20" x14ac:dyDescent="0.35">
      <c r="A50" s="44"/>
      <c r="B50" s="44"/>
      <c r="C50" s="44"/>
      <c r="D50" s="44"/>
      <c r="E50" s="44"/>
      <c r="F50" s="44"/>
      <c r="G50" s="44"/>
      <c r="H50" s="44"/>
      <c r="I50" s="44"/>
      <c r="J50" s="44"/>
      <c r="K50" s="44"/>
      <c r="L50" s="44"/>
      <c r="M50" s="44"/>
      <c r="N50" s="44"/>
      <c r="O50" s="44"/>
      <c r="P50" s="44"/>
      <c r="Q50" s="44"/>
      <c r="R50" s="44"/>
      <c r="S50" s="44"/>
      <c r="T50" s="44"/>
    </row>
    <row r="51" spans="1:20" x14ac:dyDescent="0.35">
      <c r="A51" s="44"/>
      <c r="B51" s="44"/>
      <c r="C51" s="44"/>
      <c r="D51" s="44"/>
      <c r="E51" s="44"/>
      <c r="F51" s="44"/>
      <c r="G51" s="44"/>
      <c r="H51" s="44"/>
      <c r="I51" s="44"/>
      <c r="J51" s="44"/>
      <c r="K51" s="44"/>
      <c r="L51" s="44"/>
      <c r="M51" s="44"/>
      <c r="N51" s="44"/>
      <c r="O51" s="44"/>
      <c r="P51" s="44"/>
      <c r="Q51" s="44"/>
      <c r="R51" s="44"/>
      <c r="S51" s="44"/>
      <c r="T51" s="44"/>
    </row>
    <row r="52" spans="1:20" x14ac:dyDescent="0.35">
      <c r="A52" s="44"/>
      <c r="B52" s="44"/>
      <c r="C52" s="44"/>
      <c r="D52" s="44"/>
      <c r="E52" s="44"/>
      <c r="F52" s="44"/>
      <c r="G52" s="44"/>
      <c r="H52" s="44"/>
      <c r="I52" s="44"/>
      <c r="J52" s="44"/>
      <c r="K52" s="44"/>
      <c r="L52" s="44"/>
      <c r="M52" s="44"/>
      <c r="N52" s="44"/>
      <c r="O52" s="44"/>
      <c r="P52" s="44"/>
      <c r="Q52" s="44"/>
      <c r="R52" s="44"/>
      <c r="S52" s="44"/>
      <c r="T52" s="44"/>
    </row>
    <row r="53" spans="1:20" x14ac:dyDescent="0.35">
      <c r="A53" s="44"/>
      <c r="B53" s="44"/>
      <c r="C53" s="44"/>
      <c r="D53" s="44"/>
      <c r="E53" s="44"/>
      <c r="F53" s="44"/>
      <c r="G53" s="44"/>
      <c r="H53" s="44"/>
      <c r="I53" s="44"/>
      <c r="J53" s="44"/>
      <c r="K53" s="44"/>
      <c r="L53" s="44"/>
      <c r="M53" s="44"/>
      <c r="N53" s="44"/>
      <c r="O53" s="44"/>
      <c r="P53" s="44"/>
      <c r="Q53" s="44"/>
      <c r="R53" s="44"/>
      <c r="S53" s="44"/>
      <c r="T53" s="44"/>
    </row>
    <row r="54" spans="1:20" x14ac:dyDescent="0.35">
      <c r="A54" s="44"/>
      <c r="B54" s="44"/>
      <c r="C54" s="44"/>
      <c r="D54" s="44"/>
      <c r="E54" s="44"/>
      <c r="F54" s="44"/>
      <c r="G54" s="44"/>
      <c r="H54" s="44"/>
      <c r="I54" s="44"/>
      <c r="J54" s="44"/>
      <c r="K54" s="44"/>
      <c r="L54" s="44"/>
      <c r="M54" s="44"/>
      <c r="N54" s="44"/>
      <c r="O54" s="44"/>
      <c r="P54" s="44"/>
      <c r="Q54" s="44"/>
      <c r="R54" s="44"/>
      <c r="S54" s="44"/>
      <c r="T54" s="44"/>
    </row>
    <row r="55" spans="1:20" x14ac:dyDescent="0.35">
      <c r="A55" s="44"/>
      <c r="B55" s="44"/>
      <c r="C55" s="44"/>
      <c r="D55" s="44"/>
      <c r="E55" s="44"/>
      <c r="F55" s="44"/>
      <c r="G55" s="44"/>
      <c r="H55" s="44"/>
      <c r="I55" s="44"/>
      <c r="J55" s="44"/>
      <c r="K55" s="44"/>
      <c r="L55" s="44"/>
      <c r="M55" s="44"/>
      <c r="N55" s="44"/>
      <c r="O55" s="44"/>
      <c r="P55" s="44"/>
      <c r="Q55" s="44"/>
      <c r="R55" s="44"/>
      <c r="S55" s="44"/>
      <c r="T55" s="44"/>
    </row>
    <row r="56" spans="1:20" x14ac:dyDescent="0.35">
      <c r="A56" s="44"/>
      <c r="B56" s="44"/>
      <c r="C56" s="44"/>
      <c r="D56" s="44"/>
      <c r="E56" s="44"/>
      <c r="F56" s="44"/>
      <c r="G56" s="44"/>
      <c r="H56" s="44"/>
      <c r="I56" s="44"/>
      <c r="J56" s="44"/>
      <c r="K56" s="44"/>
      <c r="L56" s="44"/>
      <c r="M56" s="44"/>
      <c r="N56" s="44"/>
      <c r="O56" s="44"/>
      <c r="P56" s="44"/>
      <c r="Q56" s="44"/>
      <c r="R56" s="44"/>
      <c r="S56" s="44"/>
      <c r="T56" s="44"/>
    </row>
  </sheetData>
  <mergeCells count="3">
    <mergeCell ref="G1:N3"/>
    <mergeCell ref="B25:F25"/>
    <mergeCell ref="B26:F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CAC09C-40E4-48A1-B951-9AC07CF7C0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Dataset</vt:lpstr>
      <vt:lpstr>What if</vt:lpstr>
      <vt:lpstr>Pivot Tables</vt:lpstr>
      <vt:lpstr>Regression</vt:lpstr>
      <vt:lpstr>Descriptive Statistics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Unnati Atkotiya</cp:lastModifiedBy>
  <dcterms:modified xsi:type="dcterms:W3CDTF">2026-02-16T09:04:03Z</dcterms:modified>
</cp:coreProperties>
</file>